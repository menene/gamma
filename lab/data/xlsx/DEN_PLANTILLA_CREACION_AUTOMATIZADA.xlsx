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portalcmi.sharepoint.com/sites/TeamDatosMaestrosMateriales/Documentos compartidos/DEN/Plantillas/"/>
    </mc:Choice>
  </mc:AlternateContent>
  <xr:revisionPtr revIDLastSave="1149" documentId="8_{EE4353ED-51A2-4E46-ACEA-9EDF8B70F855}" xr6:coauthVersionLast="47" xr6:coauthVersionMax="47" xr10:uidLastSave="{278A10D2-3AD7-4314-B7CA-3C3EE142E9FC}"/>
  <bookViews>
    <workbookView xWindow="-120" yWindow="-120" windowWidth="20730" windowHeight="11040" xr2:uid="{59FB513B-9C4F-4B81-9E6B-21AE958DCCAD}"/>
  </bookViews>
  <sheets>
    <sheet name="Plantilla" sheetId="1" r:id="rId1"/>
    <sheet name="Clases" sheetId="3" r:id="rId2"/>
  </sheets>
  <externalReferences>
    <externalReference r:id="rId3"/>
    <externalReference r:id="rId4"/>
  </externalReferences>
  <definedNames>
    <definedName name="_xlnm._FilterDatabase" localSheetId="1" hidden="1">Clases!$A$1:$R$1539</definedName>
    <definedName name="_xlnm._FilterDatabase" localSheetId="0" hidden="1">Plantilla!$A$2:$AK$50</definedName>
    <definedName name="MAT_TYPE">[1]DATA_CUSA!$C$3:$C$9</definedName>
    <definedName name="PAIS_IP">'[2]Plantilla IP'!#REF!</definedName>
    <definedName name="RAMO">[1]DATA_CUSA!$A$3</definedName>
    <definedName name="SOC_406">[1]CAMPOS406!$C$7:$C$11</definedName>
    <definedName name="UMB">[1]DATA_CUSA!$E$3:$E$547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6" i="1" l="1"/>
  <c r="J6" i="1"/>
  <c r="H6" i="1"/>
  <c r="G6" i="1"/>
  <c r="E6" i="1"/>
  <c r="B6" i="1"/>
  <c r="AJ6" i="1" s="1"/>
  <c r="A6" i="1"/>
  <c r="AA5" i="1"/>
  <c r="J5" i="1"/>
  <c r="H5" i="1"/>
  <c r="G5" i="1"/>
  <c r="E5" i="1"/>
  <c r="B5" i="1"/>
  <c r="AJ5" i="1" s="1"/>
  <c r="A5" i="1"/>
  <c r="AA4" i="1"/>
  <c r="J4" i="1"/>
  <c r="H4" i="1"/>
  <c r="G4" i="1"/>
  <c r="E4" i="1"/>
  <c r="B4" i="1"/>
  <c r="AE4" i="1" s="1"/>
  <c r="A4" i="1"/>
  <c r="AA3" i="1"/>
  <c r="J3" i="1"/>
  <c r="H3" i="1"/>
  <c r="G3" i="1"/>
  <c r="E3" i="1"/>
  <c r="B3" i="1"/>
  <c r="AJ3" i="1" s="1"/>
  <c r="A3" i="1"/>
  <c r="AE6" i="1" l="1"/>
  <c r="AE5" i="1"/>
  <c r="AJ4" i="1"/>
  <c r="AE3" i="1"/>
  <c r="P1538" i="3" l="1"/>
  <c r="R1539" i="3"/>
  <c r="Q1539" i="3"/>
  <c r="P1539" i="3"/>
  <c r="O1539" i="3"/>
  <c r="N1539" i="3"/>
  <c r="M1539" i="3"/>
  <c r="R1538" i="3"/>
  <c r="Q1538" i="3"/>
  <c r="O1538" i="3"/>
  <c r="N1538" i="3"/>
  <c r="M1538" i="3"/>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Q31" i="3"/>
  <c r="R31" i="3"/>
  <c r="Q32" i="3"/>
  <c r="R32" i="3"/>
  <c r="Q33" i="3"/>
  <c r="R33" i="3"/>
  <c r="Q34" i="3"/>
  <c r="R34" i="3"/>
  <c r="Q35" i="3"/>
  <c r="R35" i="3"/>
  <c r="Q36" i="3"/>
  <c r="R36" i="3"/>
  <c r="Q37" i="3"/>
  <c r="R37" i="3"/>
  <c r="Q38" i="3"/>
  <c r="R38" i="3"/>
  <c r="Q39" i="3"/>
  <c r="R39" i="3"/>
  <c r="Q40" i="3"/>
  <c r="R40" i="3"/>
  <c r="Q41" i="3"/>
  <c r="R41" i="3"/>
  <c r="Q42" i="3"/>
  <c r="R42" i="3"/>
  <c r="Q43" i="3"/>
  <c r="R43" i="3"/>
  <c r="Q44" i="3"/>
  <c r="R44" i="3"/>
  <c r="Q45" i="3"/>
  <c r="R45" i="3"/>
  <c r="Q46" i="3"/>
  <c r="R46" i="3"/>
  <c r="Q47" i="3"/>
  <c r="R47" i="3"/>
  <c r="Q48" i="3"/>
  <c r="R48" i="3"/>
  <c r="Q49" i="3"/>
  <c r="R49" i="3"/>
  <c r="Q50" i="3"/>
  <c r="R50" i="3"/>
  <c r="Q51" i="3"/>
  <c r="R51" i="3"/>
  <c r="Q52" i="3"/>
  <c r="R52" i="3"/>
  <c r="Q53" i="3"/>
  <c r="R53" i="3"/>
  <c r="Q54" i="3"/>
  <c r="R54" i="3"/>
  <c r="Q55" i="3"/>
  <c r="R55" i="3"/>
  <c r="Q56" i="3"/>
  <c r="R56" i="3"/>
  <c r="Q57" i="3"/>
  <c r="R57" i="3"/>
  <c r="Q58" i="3"/>
  <c r="R58" i="3"/>
  <c r="Q59" i="3"/>
  <c r="R59" i="3"/>
  <c r="Q60" i="3"/>
  <c r="R60" i="3"/>
  <c r="Q61" i="3"/>
  <c r="R61" i="3"/>
  <c r="Q62" i="3"/>
  <c r="R62" i="3"/>
  <c r="Q63" i="3"/>
  <c r="R63" i="3"/>
  <c r="Q64" i="3"/>
  <c r="R64" i="3"/>
  <c r="Q65" i="3"/>
  <c r="R65" i="3"/>
  <c r="Q66" i="3"/>
  <c r="R66" i="3"/>
  <c r="Q67" i="3"/>
  <c r="R67" i="3"/>
  <c r="Q68" i="3"/>
  <c r="R68" i="3"/>
  <c r="Q69" i="3"/>
  <c r="R69" i="3"/>
  <c r="Q70" i="3"/>
  <c r="R70" i="3"/>
  <c r="Q71" i="3"/>
  <c r="R71" i="3"/>
  <c r="Q72" i="3"/>
  <c r="R72" i="3"/>
  <c r="Q73" i="3"/>
  <c r="R73" i="3"/>
  <c r="Q74" i="3"/>
  <c r="R74" i="3"/>
  <c r="Q75" i="3"/>
  <c r="R75" i="3"/>
  <c r="Q76" i="3"/>
  <c r="R76" i="3"/>
  <c r="Q77" i="3"/>
  <c r="R77" i="3"/>
  <c r="Q78" i="3"/>
  <c r="R78" i="3"/>
  <c r="Q79" i="3"/>
  <c r="R79" i="3"/>
  <c r="Q80" i="3"/>
  <c r="R80" i="3"/>
  <c r="Q81" i="3"/>
  <c r="R81" i="3"/>
  <c r="Q82" i="3"/>
  <c r="R82" i="3"/>
  <c r="Q83" i="3"/>
  <c r="R83" i="3"/>
  <c r="Q84" i="3"/>
  <c r="R84" i="3"/>
  <c r="Q85" i="3"/>
  <c r="R85" i="3"/>
  <c r="Q86" i="3"/>
  <c r="R86" i="3"/>
  <c r="Q87" i="3"/>
  <c r="R87" i="3"/>
  <c r="Q88" i="3"/>
  <c r="R88" i="3"/>
  <c r="Q89" i="3"/>
  <c r="R89" i="3"/>
  <c r="Q90" i="3"/>
  <c r="R90" i="3"/>
  <c r="Q91" i="3"/>
  <c r="R91" i="3"/>
  <c r="Q92" i="3"/>
  <c r="R92" i="3"/>
  <c r="Q93" i="3"/>
  <c r="R93" i="3"/>
  <c r="Q94" i="3"/>
  <c r="R94" i="3"/>
  <c r="Q95" i="3"/>
  <c r="R95" i="3"/>
  <c r="Q96" i="3"/>
  <c r="R96" i="3"/>
  <c r="Q97" i="3"/>
  <c r="R97" i="3"/>
  <c r="Q98" i="3"/>
  <c r="R98" i="3"/>
  <c r="Q99" i="3"/>
  <c r="R99" i="3"/>
  <c r="Q100" i="3"/>
  <c r="R100" i="3"/>
  <c r="Q101" i="3"/>
  <c r="R101" i="3"/>
  <c r="Q102" i="3"/>
  <c r="R102" i="3"/>
  <c r="Q103" i="3"/>
  <c r="R103" i="3"/>
  <c r="Q104" i="3"/>
  <c r="R104" i="3"/>
  <c r="Q105" i="3"/>
  <c r="R105" i="3"/>
  <c r="Q106" i="3"/>
  <c r="R106" i="3"/>
  <c r="Q107" i="3"/>
  <c r="R107" i="3"/>
  <c r="Q108" i="3"/>
  <c r="R108" i="3"/>
  <c r="Q109" i="3"/>
  <c r="R109" i="3"/>
  <c r="Q110" i="3"/>
  <c r="R110" i="3"/>
  <c r="Q111" i="3"/>
  <c r="R111" i="3"/>
  <c r="Q112" i="3"/>
  <c r="R112" i="3"/>
  <c r="Q113" i="3"/>
  <c r="R113" i="3"/>
  <c r="Q114" i="3"/>
  <c r="R114" i="3"/>
  <c r="Q115" i="3"/>
  <c r="R115" i="3"/>
  <c r="Q116" i="3"/>
  <c r="R116" i="3"/>
  <c r="Q117" i="3"/>
  <c r="R117" i="3"/>
  <c r="Q118" i="3"/>
  <c r="R118" i="3"/>
  <c r="Q119" i="3"/>
  <c r="R119" i="3"/>
  <c r="Q120" i="3"/>
  <c r="R120" i="3"/>
  <c r="Q121" i="3"/>
  <c r="R121" i="3"/>
  <c r="Q122" i="3"/>
  <c r="R122" i="3"/>
  <c r="Q123" i="3"/>
  <c r="R123" i="3"/>
  <c r="Q124" i="3"/>
  <c r="R124" i="3"/>
  <c r="Q125" i="3"/>
  <c r="R125" i="3"/>
  <c r="Q126" i="3"/>
  <c r="R126" i="3"/>
  <c r="Q127" i="3"/>
  <c r="R127" i="3"/>
  <c r="Q128" i="3"/>
  <c r="R128" i="3"/>
  <c r="Q129" i="3"/>
  <c r="R129" i="3"/>
  <c r="Q130" i="3"/>
  <c r="R130" i="3"/>
  <c r="Q131" i="3"/>
  <c r="R131" i="3"/>
  <c r="Q132" i="3"/>
  <c r="R132" i="3"/>
  <c r="Q133" i="3"/>
  <c r="R133" i="3"/>
  <c r="Q134" i="3"/>
  <c r="R134" i="3"/>
  <c r="Q135" i="3"/>
  <c r="R135" i="3"/>
  <c r="Q136" i="3"/>
  <c r="R136" i="3"/>
  <c r="Q137" i="3"/>
  <c r="R137" i="3"/>
  <c r="Q138" i="3"/>
  <c r="R138" i="3"/>
  <c r="Q139" i="3"/>
  <c r="R139" i="3"/>
  <c r="Q140" i="3"/>
  <c r="R140" i="3"/>
  <c r="Q141" i="3"/>
  <c r="R141" i="3"/>
  <c r="Q142" i="3"/>
  <c r="R142" i="3"/>
  <c r="Q143" i="3"/>
  <c r="R143" i="3"/>
  <c r="Q144" i="3"/>
  <c r="R144" i="3"/>
  <c r="Q145" i="3"/>
  <c r="R145" i="3"/>
  <c r="Q146" i="3"/>
  <c r="R146" i="3"/>
  <c r="Q147" i="3"/>
  <c r="R147" i="3"/>
  <c r="Q148" i="3"/>
  <c r="R148" i="3"/>
  <c r="Q149" i="3"/>
  <c r="R149" i="3"/>
  <c r="Q150" i="3"/>
  <c r="R150" i="3"/>
  <c r="Q151" i="3"/>
  <c r="R151" i="3"/>
  <c r="Q152" i="3"/>
  <c r="R152" i="3"/>
  <c r="Q153" i="3"/>
  <c r="R153" i="3"/>
  <c r="Q154" i="3"/>
  <c r="R154" i="3"/>
  <c r="Q155" i="3"/>
  <c r="R155" i="3"/>
  <c r="Q156" i="3"/>
  <c r="R156" i="3"/>
  <c r="Q157" i="3"/>
  <c r="R157" i="3"/>
  <c r="Q158" i="3"/>
  <c r="R158" i="3"/>
  <c r="Q159" i="3"/>
  <c r="R159" i="3"/>
  <c r="Q160" i="3"/>
  <c r="R160" i="3"/>
  <c r="Q161" i="3"/>
  <c r="R161" i="3"/>
  <c r="Q162" i="3"/>
  <c r="R162" i="3"/>
  <c r="Q163" i="3"/>
  <c r="R163" i="3"/>
  <c r="Q164" i="3"/>
  <c r="R164" i="3"/>
  <c r="Q165" i="3"/>
  <c r="R165" i="3"/>
  <c r="Q166" i="3"/>
  <c r="R166" i="3"/>
  <c r="Q167" i="3"/>
  <c r="R167" i="3"/>
  <c r="Q168" i="3"/>
  <c r="R168" i="3"/>
  <c r="Q169" i="3"/>
  <c r="R169" i="3"/>
  <c r="Q170" i="3"/>
  <c r="R170" i="3"/>
  <c r="Q171" i="3"/>
  <c r="R171" i="3"/>
  <c r="Q172" i="3"/>
  <c r="R172" i="3"/>
  <c r="Q173" i="3"/>
  <c r="R173" i="3"/>
  <c r="Q174" i="3"/>
  <c r="R174" i="3"/>
  <c r="Q175" i="3"/>
  <c r="R175" i="3"/>
  <c r="Q176" i="3"/>
  <c r="R176" i="3"/>
  <c r="Q177" i="3"/>
  <c r="R177" i="3"/>
  <c r="Q178" i="3"/>
  <c r="R178" i="3"/>
  <c r="Q179" i="3"/>
  <c r="R179" i="3"/>
  <c r="Q180" i="3"/>
  <c r="R180" i="3"/>
  <c r="Q181" i="3"/>
  <c r="R181" i="3"/>
  <c r="Q182" i="3"/>
  <c r="R182" i="3"/>
  <c r="Q183" i="3"/>
  <c r="R183" i="3"/>
  <c r="Q184" i="3"/>
  <c r="R184" i="3"/>
  <c r="Q185" i="3"/>
  <c r="R185" i="3"/>
  <c r="Q186" i="3"/>
  <c r="R186" i="3"/>
  <c r="Q187" i="3"/>
  <c r="R187" i="3"/>
  <c r="Q188" i="3"/>
  <c r="R188" i="3"/>
  <c r="Q189" i="3"/>
  <c r="R189" i="3"/>
  <c r="Q190" i="3"/>
  <c r="R190" i="3"/>
  <c r="Q191" i="3"/>
  <c r="R191" i="3"/>
  <c r="Q192" i="3"/>
  <c r="R192" i="3"/>
  <c r="Q193" i="3"/>
  <c r="R193" i="3"/>
  <c r="Q194" i="3"/>
  <c r="R194" i="3"/>
  <c r="Q195" i="3"/>
  <c r="R195" i="3"/>
  <c r="Q196" i="3"/>
  <c r="R196" i="3"/>
  <c r="Q197" i="3"/>
  <c r="R197" i="3"/>
  <c r="Q198" i="3"/>
  <c r="R198" i="3"/>
  <c r="Q199" i="3"/>
  <c r="R199" i="3"/>
  <c r="Q200" i="3"/>
  <c r="R200" i="3"/>
  <c r="Q201" i="3"/>
  <c r="R201" i="3"/>
  <c r="Q202" i="3"/>
  <c r="R202" i="3"/>
  <c r="Q203" i="3"/>
  <c r="R203" i="3"/>
  <c r="Q204" i="3"/>
  <c r="R204" i="3"/>
  <c r="Q205" i="3"/>
  <c r="R205" i="3"/>
  <c r="Q206" i="3"/>
  <c r="R206" i="3"/>
  <c r="Q207" i="3"/>
  <c r="R207" i="3"/>
  <c r="Q208" i="3"/>
  <c r="R208" i="3"/>
  <c r="Q209" i="3"/>
  <c r="R209" i="3"/>
  <c r="Q210" i="3"/>
  <c r="R210" i="3"/>
  <c r="Q211" i="3"/>
  <c r="R211" i="3"/>
  <c r="Q212" i="3"/>
  <c r="R212" i="3"/>
  <c r="Q213" i="3"/>
  <c r="R213" i="3"/>
  <c r="Q214" i="3"/>
  <c r="R214" i="3"/>
  <c r="Q215" i="3"/>
  <c r="R215" i="3"/>
  <c r="Q216" i="3"/>
  <c r="R216" i="3"/>
  <c r="Q217" i="3"/>
  <c r="R217" i="3"/>
  <c r="Q218" i="3"/>
  <c r="R218" i="3"/>
  <c r="Q219" i="3"/>
  <c r="R219" i="3"/>
  <c r="Q220" i="3"/>
  <c r="R220" i="3"/>
  <c r="Q221" i="3"/>
  <c r="R221" i="3"/>
  <c r="Q222" i="3"/>
  <c r="R222" i="3"/>
  <c r="Q223" i="3"/>
  <c r="R223" i="3"/>
  <c r="Q224" i="3"/>
  <c r="R224" i="3"/>
  <c r="Q225" i="3"/>
  <c r="R225" i="3"/>
  <c r="Q226" i="3"/>
  <c r="R226" i="3"/>
  <c r="Q227" i="3"/>
  <c r="R227" i="3"/>
  <c r="Q228" i="3"/>
  <c r="R228" i="3"/>
  <c r="Q229" i="3"/>
  <c r="R229" i="3"/>
  <c r="Q230" i="3"/>
  <c r="R230" i="3"/>
  <c r="Q231" i="3"/>
  <c r="R231" i="3"/>
  <c r="Q232" i="3"/>
  <c r="R232" i="3"/>
  <c r="Q233" i="3"/>
  <c r="R233" i="3"/>
  <c r="Q234" i="3"/>
  <c r="R234" i="3"/>
  <c r="Q235" i="3"/>
  <c r="R235" i="3"/>
  <c r="Q236" i="3"/>
  <c r="R236" i="3"/>
  <c r="Q237" i="3"/>
  <c r="R237" i="3"/>
  <c r="Q238" i="3"/>
  <c r="R238" i="3"/>
  <c r="Q239" i="3"/>
  <c r="R239" i="3"/>
  <c r="Q240" i="3"/>
  <c r="R240" i="3"/>
  <c r="Q241" i="3"/>
  <c r="R241" i="3"/>
  <c r="Q242" i="3"/>
  <c r="R242" i="3"/>
  <c r="Q243" i="3"/>
  <c r="R243" i="3"/>
  <c r="Q244" i="3"/>
  <c r="R244" i="3"/>
  <c r="Q245" i="3"/>
  <c r="R245" i="3"/>
  <c r="Q246" i="3"/>
  <c r="R246" i="3"/>
  <c r="Q247" i="3"/>
  <c r="R247" i="3"/>
  <c r="Q248" i="3"/>
  <c r="R248" i="3"/>
  <c r="Q249" i="3"/>
  <c r="R249" i="3"/>
  <c r="Q250" i="3"/>
  <c r="R250" i="3"/>
  <c r="Q251" i="3"/>
  <c r="R251" i="3"/>
  <c r="Q252" i="3"/>
  <c r="R252" i="3"/>
  <c r="Q253" i="3"/>
  <c r="R253" i="3"/>
  <c r="Q254" i="3"/>
  <c r="R254" i="3"/>
  <c r="Q255" i="3"/>
  <c r="R255" i="3"/>
  <c r="Q256" i="3"/>
  <c r="R256" i="3"/>
  <c r="Q257" i="3"/>
  <c r="R257" i="3"/>
  <c r="Q258" i="3"/>
  <c r="R258" i="3"/>
  <c r="Q259" i="3"/>
  <c r="R259" i="3"/>
  <c r="Q260" i="3"/>
  <c r="R260" i="3"/>
  <c r="Q261" i="3"/>
  <c r="R261" i="3"/>
  <c r="Q262" i="3"/>
  <c r="R262" i="3"/>
  <c r="Q263" i="3"/>
  <c r="R263" i="3"/>
  <c r="Q264" i="3"/>
  <c r="R264" i="3"/>
  <c r="Q265" i="3"/>
  <c r="R265" i="3"/>
  <c r="Q266" i="3"/>
  <c r="R266" i="3"/>
  <c r="Q267" i="3"/>
  <c r="R267" i="3"/>
  <c r="Q268" i="3"/>
  <c r="R268" i="3"/>
  <c r="Q269" i="3"/>
  <c r="R269" i="3"/>
  <c r="Q270" i="3"/>
  <c r="R270" i="3"/>
  <c r="Q271" i="3"/>
  <c r="R271" i="3"/>
  <c r="Q272" i="3"/>
  <c r="R272" i="3"/>
  <c r="Q273" i="3"/>
  <c r="R273" i="3"/>
  <c r="Q274" i="3"/>
  <c r="R274" i="3"/>
  <c r="Q275" i="3"/>
  <c r="R275" i="3"/>
  <c r="Q276" i="3"/>
  <c r="R276" i="3"/>
  <c r="Q277" i="3"/>
  <c r="R277" i="3"/>
  <c r="Q278" i="3"/>
  <c r="R278" i="3"/>
  <c r="Q279" i="3"/>
  <c r="R279" i="3"/>
  <c r="Q280" i="3"/>
  <c r="R280" i="3"/>
  <c r="Q281" i="3"/>
  <c r="R281" i="3"/>
  <c r="Q282" i="3"/>
  <c r="R282" i="3"/>
  <c r="Q283" i="3"/>
  <c r="R283" i="3"/>
  <c r="Q284" i="3"/>
  <c r="R284" i="3"/>
  <c r="Q285" i="3"/>
  <c r="R285" i="3"/>
  <c r="Q286" i="3"/>
  <c r="R286" i="3"/>
  <c r="Q287" i="3"/>
  <c r="R287" i="3"/>
  <c r="Q288" i="3"/>
  <c r="R288" i="3"/>
  <c r="Q289" i="3"/>
  <c r="R289" i="3"/>
  <c r="Q290" i="3"/>
  <c r="R290" i="3"/>
  <c r="Q291" i="3"/>
  <c r="R291" i="3"/>
  <c r="Q292" i="3"/>
  <c r="R292" i="3"/>
  <c r="Q293" i="3"/>
  <c r="R293" i="3"/>
  <c r="Q294" i="3"/>
  <c r="R294" i="3"/>
  <c r="Q295" i="3"/>
  <c r="R295" i="3"/>
  <c r="Q296" i="3"/>
  <c r="R296" i="3"/>
  <c r="Q297" i="3"/>
  <c r="R297" i="3"/>
  <c r="Q298" i="3"/>
  <c r="R298" i="3"/>
  <c r="Q299" i="3"/>
  <c r="R299" i="3"/>
  <c r="Q300" i="3"/>
  <c r="R300" i="3"/>
  <c r="Q301" i="3"/>
  <c r="R301" i="3"/>
  <c r="Q302" i="3"/>
  <c r="R302" i="3"/>
  <c r="Q303" i="3"/>
  <c r="R303" i="3"/>
  <c r="Q304" i="3"/>
  <c r="R304" i="3"/>
  <c r="Q305" i="3"/>
  <c r="R305" i="3"/>
  <c r="Q306" i="3"/>
  <c r="R306" i="3"/>
  <c r="Q307" i="3"/>
  <c r="R307" i="3"/>
  <c r="Q308" i="3"/>
  <c r="R308" i="3"/>
  <c r="Q309" i="3"/>
  <c r="R309" i="3"/>
  <c r="Q310" i="3"/>
  <c r="R310" i="3"/>
  <c r="Q311" i="3"/>
  <c r="R311" i="3"/>
  <c r="Q312" i="3"/>
  <c r="R312" i="3"/>
  <c r="Q313" i="3"/>
  <c r="R313" i="3"/>
  <c r="Q314" i="3"/>
  <c r="R314" i="3"/>
  <c r="Q315" i="3"/>
  <c r="R315" i="3"/>
  <c r="Q316" i="3"/>
  <c r="R316" i="3"/>
  <c r="Q317" i="3"/>
  <c r="R317" i="3"/>
  <c r="Q318" i="3"/>
  <c r="R318" i="3"/>
  <c r="Q319" i="3"/>
  <c r="R319" i="3"/>
  <c r="Q320" i="3"/>
  <c r="R320" i="3"/>
  <c r="Q321" i="3"/>
  <c r="R321" i="3"/>
  <c r="Q322" i="3"/>
  <c r="R322" i="3"/>
  <c r="Q323" i="3"/>
  <c r="R323" i="3"/>
  <c r="Q324" i="3"/>
  <c r="R324" i="3"/>
  <c r="Q325" i="3"/>
  <c r="R325" i="3"/>
  <c r="Q326" i="3"/>
  <c r="R326" i="3"/>
  <c r="Q327" i="3"/>
  <c r="R327" i="3"/>
  <c r="Q328" i="3"/>
  <c r="R328" i="3"/>
  <c r="Q329" i="3"/>
  <c r="R329" i="3"/>
  <c r="Q330" i="3"/>
  <c r="R330" i="3"/>
  <c r="Q331" i="3"/>
  <c r="R331" i="3"/>
  <c r="Q332" i="3"/>
  <c r="R332" i="3"/>
  <c r="Q333" i="3"/>
  <c r="R333" i="3"/>
  <c r="Q334" i="3"/>
  <c r="R334" i="3"/>
  <c r="Q335" i="3"/>
  <c r="R335" i="3"/>
  <c r="Q336" i="3"/>
  <c r="R336" i="3"/>
  <c r="Q337" i="3"/>
  <c r="R337" i="3"/>
  <c r="Q338" i="3"/>
  <c r="R338" i="3"/>
  <c r="Q339" i="3"/>
  <c r="R339" i="3"/>
  <c r="Q340" i="3"/>
  <c r="R340" i="3"/>
  <c r="Q341" i="3"/>
  <c r="R341" i="3"/>
  <c r="Q342" i="3"/>
  <c r="R342" i="3"/>
  <c r="Q343" i="3"/>
  <c r="R343" i="3"/>
  <c r="Q344" i="3"/>
  <c r="R344" i="3"/>
  <c r="Q345" i="3"/>
  <c r="R345" i="3"/>
  <c r="Q346" i="3"/>
  <c r="R346" i="3"/>
  <c r="Q347" i="3"/>
  <c r="R347" i="3"/>
  <c r="Q348" i="3"/>
  <c r="R348" i="3"/>
  <c r="Q349" i="3"/>
  <c r="R349" i="3"/>
  <c r="Q350" i="3"/>
  <c r="R350" i="3"/>
  <c r="Q351" i="3"/>
  <c r="R351" i="3"/>
  <c r="Q352" i="3"/>
  <c r="R352" i="3"/>
  <c r="Q353" i="3"/>
  <c r="R353" i="3"/>
  <c r="Q354" i="3"/>
  <c r="R354" i="3"/>
  <c r="Q355" i="3"/>
  <c r="R355" i="3"/>
  <c r="Q356" i="3"/>
  <c r="R356" i="3"/>
  <c r="Q357" i="3"/>
  <c r="R357" i="3"/>
  <c r="Q358" i="3"/>
  <c r="R358" i="3"/>
  <c r="Q359" i="3"/>
  <c r="R359" i="3"/>
  <c r="Q360" i="3"/>
  <c r="R360" i="3"/>
  <c r="Q361" i="3"/>
  <c r="R361" i="3"/>
  <c r="Q362" i="3"/>
  <c r="R362" i="3"/>
  <c r="Q363" i="3"/>
  <c r="R363" i="3"/>
  <c r="Q364" i="3"/>
  <c r="R364" i="3"/>
  <c r="Q365" i="3"/>
  <c r="R365" i="3"/>
  <c r="Q366" i="3"/>
  <c r="R366" i="3"/>
  <c r="Q367" i="3"/>
  <c r="R367" i="3"/>
  <c r="Q368" i="3"/>
  <c r="R368" i="3"/>
  <c r="Q369" i="3"/>
  <c r="R369" i="3"/>
  <c r="Q370" i="3"/>
  <c r="R370" i="3"/>
  <c r="Q371" i="3"/>
  <c r="R371" i="3"/>
  <c r="Q372" i="3"/>
  <c r="R372" i="3"/>
  <c r="Q373" i="3"/>
  <c r="R373" i="3"/>
  <c r="Q374" i="3"/>
  <c r="R374" i="3"/>
  <c r="Q375" i="3"/>
  <c r="R375" i="3"/>
  <c r="Q376" i="3"/>
  <c r="R376" i="3"/>
  <c r="Q377" i="3"/>
  <c r="R377" i="3"/>
  <c r="Q378" i="3"/>
  <c r="R378" i="3"/>
  <c r="Q379" i="3"/>
  <c r="R379" i="3"/>
  <c r="Q380" i="3"/>
  <c r="R380" i="3"/>
  <c r="Q381" i="3"/>
  <c r="R381" i="3"/>
  <c r="Q382" i="3"/>
  <c r="R382" i="3"/>
  <c r="Q383" i="3"/>
  <c r="R383" i="3"/>
  <c r="Q384" i="3"/>
  <c r="R384" i="3"/>
  <c r="Q385" i="3"/>
  <c r="R385" i="3"/>
  <c r="Q386" i="3"/>
  <c r="R386" i="3"/>
  <c r="Q387" i="3"/>
  <c r="R387" i="3"/>
  <c r="Q388" i="3"/>
  <c r="R388" i="3"/>
  <c r="Q389" i="3"/>
  <c r="R389" i="3"/>
  <c r="Q390" i="3"/>
  <c r="R390" i="3"/>
  <c r="Q391" i="3"/>
  <c r="R391" i="3"/>
  <c r="Q392" i="3"/>
  <c r="R392" i="3"/>
  <c r="Q393" i="3"/>
  <c r="R393" i="3"/>
  <c r="Q394" i="3"/>
  <c r="R394" i="3"/>
  <c r="Q395" i="3"/>
  <c r="R395" i="3"/>
  <c r="Q396" i="3"/>
  <c r="R396" i="3"/>
  <c r="Q397" i="3"/>
  <c r="R397" i="3"/>
  <c r="Q398" i="3"/>
  <c r="R398" i="3"/>
  <c r="Q399" i="3"/>
  <c r="R399" i="3"/>
  <c r="Q400" i="3"/>
  <c r="R400" i="3"/>
  <c r="Q401" i="3"/>
  <c r="R401" i="3"/>
  <c r="Q402" i="3"/>
  <c r="R402" i="3"/>
  <c r="Q403" i="3"/>
  <c r="R403" i="3"/>
  <c r="Q404" i="3"/>
  <c r="R404" i="3"/>
  <c r="Q405" i="3"/>
  <c r="R405" i="3"/>
  <c r="Q406" i="3"/>
  <c r="R406" i="3"/>
  <c r="Q407" i="3"/>
  <c r="R407" i="3"/>
  <c r="Q408" i="3"/>
  <c r="R408" i="3"/>
  <c r="Q409" i="3"/>
  <c r="R409" i="3"/>
  <c r="Q410" i="3"/>
  <c r="R410" i="3"/>
  <c r="Q411" i="3"/>
  <c r="R411" i="3"/>
  <c r="Q412" i="3"/>
  <c r="R412" i="3"/>
  <c r="Q413" i="3"/>
  <c r="R413" i="3"/>
  <c r="Q414" i="3"/>
  <c r="R414" i="3"/>
  <c r="Q415" i="3"/>
  <c r="R415" i="3"/>
  <c r="Q416" i="3"/>
  <c r="R416" i="3"/>
  <c r="Q417" i="3"/>
  <c r="R417" i="3"/>
  <c r="Q418" i="3"/>
  <c r="R418" i="3"/>
  <c r="Q419" i="3"/>
  <c r="R419" i="3"/>
  <c r="Q420" i="3"/>
  <c r="R420" i="3"/>
  <c r="Q421" i="3"/>
  <c r="R421" i="3"/>
  <c r="Q422" i="3"/>
  <c r="R422" i="3"/>
  <c r="Q423" i="3"/>
  <c r="R423" i="3"/>
  <c r="Q424" i="3"/>
  <c r="R424" i="3"/>
  <c r="Q425" i="3"/>
  <c r="R425" i="3"/>
  <c r="Q426" i="3"/>
  <c r="R426" i="3"/>
  <c r="Q427" i="3"/>
  <c r="R427" i="3"/>
  <c r="Q428" i="3"/>
  <c r="R428" i="3"/>
  <c r="Q429" i="3"/>
  <c r="R429" i="3"/>
  <c r="Q430" i="3"/>
  <c r="R430" i="3"/>
  <c r="Q431" i="3"/>
  <c r="R431" i="3"/>
  <c r="Q432" i="3"/>
  <c r="R432" i="3"/>
  <c r="Q433" i="3"/>
  <c r="R433" i="3"/>
  <c r="Q434" i="3"/>
  <c r="R434" i="3"/>
  <c r="Q435" i="3"/>
  <c r="R435" i="3"/>
  <c r="Q436" i="3"/>
  <c r="R436" i="3"/>
  <c r="Q437" i="3"/>
  <c r="R437" i="3"/>
  <c r="Q438" i="3"/>
  <c r="R438" i="3"/>
  <c r="Q439" i="3"/>
  <c r="R439" i="3"/>
  <c r="Q440" i="3"/>
  <c r="R440" i="3"/>
  <c r="Q441" i="3"/>
  <c r="R441" i="3"/>
  <c r="Q442" i="3"/>
  <c r="R442" i="3"/>
  <c r="Q443" i="3"/>
  <c r="R443" i="3"/>
  <c r="Q444" i="3"/>
  <c r="R444" i="3"/>
  <c r="Q445" i="3"/>
  <c r="R445" i="3"/>
  <c r="Q446" i="3"/>
  <c r="R446" i="3"/>
  <c r="Q447" i="3"/>
  <c r="R447" i="3"/>
  <c r="Q448" i="3"/>
  <c r="R448" i="3"/>
  <c r="Q449" i="3"/>
  <c r="R449" i="3"/>
  <c r="Q450" i="3"/>
  <c r="R450" i="3"/>
  <c r="Q451" i="3"/>
  <c r="R451" i="3"/>
  <c r="Q452" i="3"/>
  <c r="R452" i="3"/>
  <c r="Q453" i="3"/>
  <c r="R453" i="3"/>
  <c r="Q454" i="3"/>
  <c r="R454" i="3"/>
  <c r="Q455" i="3"/>
  <c r="R455" i="3"/>
  <c r="Q456" i="3"/>
  <c r="R456" i="3"/>
  <c r="Q457" i="3"/>
  <c r="R457" i="3"/>
  <c r="Q458" i="3"/>
  <c r="R458" i="3"/>
  <c r="Q459" i="3"/>
  <c r="R459" i="3"/>
  <c r="Q460" i="3"/>
  <c r="R460" i="3"/>
  <c r="Q461" i="3"/>
  <c r="R461" i="3"/>
  <c r="Q462" i="3"/>
  <c r="R462" i="3"/>
  <c r="Q463" i="3"/>
  <c r="R463" i="3"/>
  <c r="Q464" i="3"/>
  <c r="R464" i="3"/>
  <c r="Q465" i="3"/>
  <c r="R465" i="3"/>
  <c r="Q466" i="3"/>
  <c r="R466" i="3"/>
  <c r="Q467" i="3"/>
  <c r="R467" i="3"/>
  <c r="Q468" i="3"/>
  <c r="R468" i="3"/>
  <c r="Q469" i="3"/>
  <c r="R469" i="3"/>
  <c r="Q470" i="3"/>
  <c r="R470" i="3"/>
  <c r="Q471" i="3"/>
  <c r="R471" i="3"/>
  <c r="Q472" i="3"/>
  <c r="R472" i="3"/>
  <c r="Q473" i="3"/>
  <c r="R473" i="3"/>
  <c r="Q474" i="3"/>
  <c r="R474" i="3"/>
  <c r="Q475" i="3"/>
  <c r="R475" i="3"/>
  <c r="Q476" i="3"/>
  <c r="R476" i="3"/>
  <c r="Q477" i="3"/>
  <c r="R477" i="3"/>
  <c r="Q478" i="3"/>
  <c r="R478" i="3"/>
  <c r="Q479" i="3"/>
  <c r="R479" i="3"/>
  <c r="Q480" i="3"/>
  <c r="R480" i="3"/>
  <c r="Q481" i="3"/>
  <c r="R481" i="3"/>
  <c r="Q482" i="3"/>
  <c r="R482" i="3"/>
  <c r="Q483" i="3"/>
  <c r="R483" i="3"/>
  <c r="Q484" i="3"/>
  <c r="R484" i="3"/>
  <c r="Q485" i="3"/>
  <c r="R485" i="3"/>
  <c r="Q486" i="3"/>
  <c r="R486" i="3"/>
  <c r="Q487" i="3"/>
  <c r="R487" i="3"/>
  <c r="Q488" i="3"/>
  <c r="R488" i="3"/>
  <c r="Q489" i="3"/>
  <c r="R489" i="3"/>
  <c r="Q490" i="3"/>
  <c r="R490" i="3"/>
  <c r="Q491" i="3"/>
  <c r="R491" i="3"/>
  <c r="Q492" i="3"/>
  <c r="R492" i="3"/>
  <c r="Q493" i="3"/>
  <c r="R493" i="3"/>
  <c r="Q494" i="3"/>
  <c r="R494" i="3"/>
  <c r="Q495" i="3"/>
  <c r="R495" i="3"/>
  <c r="Q496" i="3"/>
  <c r="R496" i="3"/>
  <c r="Q497" i="3"/>
  <c r="R497" i="3"/>
  <c r="Q498" i="3"/>
  <c r="R498" i="3"/>
  <c r="Q499" i="3"/>
  <c r="R499" i="3"/>
  <c r="Q500" i="3"/>
  <c r="R500" i="3"/>
  <c r="Q501" i="3"/>
  <c r="R501" i="3"/>
  <c r="Q502" i="3"/>
  <c r="R502" i="3"/>
  <c r="Q503" i="3"/>
  <c r="R503" i="3"/>
  <c r="Q504" i="3"/>
  <c r="R504" i="3"/>
  <c r="Q505" i="3"/>
  <c r="R505" i="3"/>
  <c r="Q506" i="3"/>
  <c r="R506" i="3"/>
  <c r="Q507" i="3"/>
  <c r="R507" i="3"/>
  <c r="Q508" i="3"/>
  <c r="R508" i="3"/>
  <c r="Q509" i="3"/>
  <c r="R509" i="3"/>
  <c r="Q510" i="3"/>
  <c r="R510" i="3"/>
  <c r="Q511" i="3"/>
  <c r="R511" i="3"/>
  <c r="Q512" i="3"/>
  <c r="R512" i="3"/>
  <c r="Q513" i="3"/>
  <c r="R513" i="3"/>
  <c r="Q514" i="3"/>
  <c r="R514" i="3"/>
  <c r="Q515" i="3"/>
  <c r="R515" i="3"/>
  <c r="Q516" i="3"/>
  <c r="R516" i="3"/>
  <c r="Q517" i="3"/>
  <c r="R517" i="3"/>
  <c r="Q518" i="3"/>
  <c r="R518" i="3"/>
  <c r="Q519" i="3"/>
  <c r="R519" i="3"/>
  <c r="Q520" i="3"/>
  <c r="R520" i="3"/>
  <c r="Q521" i="3"/>
  <c r="R521" i="3"/>
  <c r="Q522" i="3"/>
  <c r="R522" i="3"/>
  <c r="Q523" i="3"/>
  <c r="R523" i="3"/>
  <c r="Q524" i="3"/>
  <c r="R524" i="3"/>
  <c r="Q525" i="3"/>
  <c r="R525" i="3"/>
  <c r="Q526" i="3"/>
  <c r="R526" i="3"/>
  <c r="Q527" i="3"/>
  <c r="R527" i="3"/>
  <c r="Q528" i="3"/>
  <c r="R528" i="3"/>
  <c r="Q529" i="3"/>
  <c r="R529" i="3"/>
  <c r="Q530" i="3"/>
  <c r="R530" i="3"/>
  <c r="Q531" i="3"/>
  <c r="R531" i="3"/>
  <c r="Q532" i="3"/>
  <c r="R532" i="3"/>
  <c r="Q533" i="3"/>
  <c r="R533" i="3"/>
  <c r="Q534" i="3"/>
  <c r="R534" i="3"/>
  <c r="Q535" i="3"/>
  <c r="R535" i="3"/>
  <c r="Q536" i="3"/>
  <c r="R536" i="3"/>
  <c r="Q537" i="3"/>
  <c r="R537" i="3"/>
  <c r="Q538" i="3"/>
  <c r="R538" i="3"/>
  <c r="Q539" i="3"/>
  <c r="R539" i="3"/>
  <c r="Q540" i="3"/>
  <c r="R540" i="3"/>
  <c r="Q541" i="3"/>
  <c r="R541" i="3"/>
  <c r="Q542" i="3"/>
  <c r="R542" i="3"/>
  <c r="Q543" i="3"/>
  <c r="R543" i="3"/>
  <c r="Q544" i="3"/>
  <c r="R544" i="3"/>
  <c r="Q545" i="3"/>
  <c r="R545" i="3"/>
  <c r="Q546" i="3"/>
  <c r="R546" i="3"/>
  <c r="Q547" i="3"/>
  <c r="R547" i="3"/>
  <c r="Q548" i="3"/>
  <c r="R548" i="3"/>
  <c r="Q549" i="3"/>
  <c r="R549" i="3"/>
  <c r="Q550" i="3"/>
  <c r="R550" i="3"/>
  <c r="Q551" i="3"/>
  <c r="R551" i="3"/>
  <c r="Q552" i="3"/>
  <c r="R552" i="3"/>
  <c r="Q553" i="3"/>
  <c r="R553" i="3"/>
  <c r="Q554" i="3"/>
  <c r="R554" i="3"/>
  <c r="Q555" i="3"/>
  <c r="R555" i="3"/>
  <c r="Q556" i="3"/>
  <c r="R556" i="3"/>
  <c r="Q557" i="3"/>
  <c r="R557" i="3"/>
  <c r="Q558" i="3"/>
  <c r="R558" i="3"/>
  <c r="Q559" i="3"/>
  <c r="R559" i="3"/>
  <c r="Q560" i="3"/>
  <c r="R560" i="3"/>
  <c r="Q561" i="3"/>
  <c r="R561" i="3"/>
  <c r="Q562" i="3"/>
  <c r="R562" i="3"/>
  <c r="Q563" i="3"/>
  <c r="R563" i="3"/>
  <c r="Q564" i="3"/>
  <c r="R564" i="3"/>
  <c r="Q565" i="3"/>
  <c r="R565" i="3"/>
  <c r="Q566" i="3"/>
  <c r="R566" i="3"/>
  <c r="Q567" i="3"/>
  <c r="R567" i="3"/>
  <c r="Q568" i="3"/>
  <c r="R568" i="3"/>
  <c r="Q569" i="3"/>
  <c r="R569" i="3"/>
  <c r="Q570" i="3"/>
  <c r="R570" i="3"/>
  <c r="Q571" i="3"/>
  <c r="R571" i="3"/>
  <c r="Q572" i="3"/>
  <c r="R572" i="3"/>
  <c r="Q573" i="3"/>
  <c r="R573" i="3"/>
  <c r="Q574" i="3"/>
  <c r="R574" i="3"/>
  <c r="Q575" i="3"/>
  <c r="R575" i="3"/>
  <c r="Q576" i="3"/>
  <c r="R576" i="3"/>
  <c r="Q577" i="3"/>
  <c r="R577" i="3"/>
  <c r="Q578" i="3"/>
  <c r="R578" i="3"/>
  <c r="Q579" i="3"/>
  <c r="R579" i="3"/>
  <c r="Q580" i="3"/>
  <c r="R580" i="3"/>
  <c r="Q581" i="3"/>
  <c r="R581" i="3"/>
  <c r="Q582" i="3"/>
  <c r="R582" i="3"/>
  <c r="Q583" i="3"/>
  <c r="R583" i="3"/>
  <c r="Q584" i="3"/>
  <c r="R584" i="3"/>
  <c r="Q585" i="3"/>
  <c r="R585" i="3"/>
  <c r="Q586" i="3"/>
  <c r="R586" i="3"/>
  <c r="Q587" i="3"/>
  <c r="R587" i="3"/>
  <c r="Q588" i="3"/>
  <c r="R588" i="3"/>
  <c r="Q589" i="3"/>
  <c r="R589" i="3"/>
  <c r="Q590" i="3"/>
  <c r="R590" i="3"/>
  <c r="Q591" i="3"/>
  <c r="R591" i="3"/>
  <c r="Q592" i="3"/>
  <c r="R592" i="3"/>
  <c r="Q593" i="3"/>
  <c r="R593" i="3"/>
  <c r="Q594" i="3"/>
  <c r="R594" i="3"/>
  <c r="Q595" i="3"/>
  <c r="R595" i="3"/>
  <c r="Q596" i="3"/>
  <c r="R596" i="3"/>
  <c r="Q597" i="3"/>
  <c r="R597" i="3"/>
  <c r="Q598" i="3"/>
  <c r="R598" i="3"/>
  <c r="Q599" i="3"/>
  <c r="R599" i="3"/>
  <c r="Q600" i="3"/>
  <c r="R600" i="3"/>
  <c r="Q601" i="3"/>
  <c r="R601" i="3"/>
  <c r="Q602" i="3"/>
  <c r="R602" i="3"/>
  <c r="Q603" i="3"/>
  <c r="R603" i="3"/>
  <c r="Q604" i="3"/>
  <c r="R604" i="3"/>
  <c r="Q605" i="3"/>
  <c r="R605" i="3"/>
  <c r="Q606" i="3"/>
  <c r="R606" i="3"/>
  <c r="Q607" i="3"/>
  <c r="R607" i="3"/>
  <c r="Q608" i="3"/>
  <c r="R608" i="3"/>
  <c r="Q609" i="3"/>
  <c r="R609" i="3"/>
  <c r="Q610" i="3"/>
  <c r="R610" i="3"/>
  <c r="Q611" i="3"/>
  <c r="R611" i="3"/>
  <c r="Q612" i="3"/>
  <c r="R612" i="3"/>
  <c r="Q613" i="3"/>
  <c r="R613" i="3"/>
  <c r="Q614" i="3"/>
  <c r="R614" i="3"/>
  <c r="Q615" i="3"/>
  <c r="R615" i="3"/>
  <c r="Q616" i="3"/>
  <c r="R616" i="3"/>
  <c r="Q617" i="3"/>
  <c r="R617" i="3"/>
  <c r="Q618" i="3"/>
  <c r="R618" i="3"/>
  <c r="Q619" i="3"/>
  <c r="R619" i="3"/>
  <c r="Q620" i="3"/>
  <c r="R620" i="3"/>
  <c r="Q621" i="3"/>
  <c r="R621" i="3"/>
  <c r="Q622" i="3"/>
  <c r="R622" i="3"/>
  <c r="Q623" i="3"/>
  <c r="R623" i="3"/>
  <c r="Q624" i="3"/>
  <c r="R624" i="3"/>
  <c r="Q625" i="3"/>
  <c r="R625" i="3"/>
  <c r="Q626" i="3"/>
  <c r="R626" i="3"/>
  <c r="Q627" i="3"/>
  <c r="R627" i="3"/>
  <c r="Q628" i="3"/>
  <c r="R628" i="3"/>
  <c r="Q629" i="3"/>
  <c r="R629" i="3"/>
  <c r="Q630" i="3"/>
  <c r="R630" i="3"/>
  <c r="Q631" i="3"/>
  <c r="R631" i="3"/>
  <c r="Q632" i="3"/>
  <c r="R632" i="3"/>
  <c r="Q633" i="3"/>
  <c r="R633" i="3"/>
  <c r="Q634" i="3"/>
  <c r="R634" i="3"/>
  <c r="Q635" i="3"/>
  <c r="R635" i="3"/>
  <c r="Q636" i="3"/>
  <c r="R636" i="3"/>
  <c r="Q637" i="3"/>
  <c r="R637" i="3"/>
  <c r="Q638" i="3"/>
  <c r="R638" i="3"/>
  <c r="Q639" i="3"/>
  <c r="R639" i="3"/>
  <c r="Q640" i="3"/>
  <c r="R640" i="3"/>
  <c r="Q641" i="3"/>
  <c r="R641" i="3"/>
  <c r="Q642" i="3"/>
  <c r="R642" i="3"/>
  <c r="Q643" i="3"/>
  <c r="R643" i="3"/>
  <c r="Q644" i="3"/>
  <c r="R644" i="3"/>
  <c r="Q645" i="3"/>
  <c r="R645" i="3"/>
  <c r="Q646" i="3"/>
  <c r="R646" i="3"/>
  <c r="Q647" i="3"/>
  <c r="R647" i="3"/>
  <c r="Q648" i="3"/>
  <c r="R648" i="3"/>
  <c r="Q649" i="3"/>
  <c r="R649" i="3"/>
  <c r="Q650" i="3"/>
  <c r="R650" i="3"/>
  <c r="Q651" i="3"/>
  <c r="R651" i="3"/>
  <c r="Q652" i="3"/>
  <c r="R652" i="3"/>
  <c r="Q653" i="3"/>
  <c r="R653" i="3"/>
  <c r="Q654" i="3"/>
  <c r="R654" i="3"/>
  <c r="Q655" i="3"/>
  <c r="R655" i="3"/>
  <c r="Q656" i="3"/>
  <c r="R656" i="3"/>
  <c r="Q657" i="3"/>
  <c r="R657" i="3"/>
  <c r="Q658" i="3"/>
  <c r="R658" i="3"/>
  <c r="Q659" i="3"/>
  <c r="R659" i="3"/>
  <c r="Q660" i="3"/>
  <c r="R660" i="3"/>
  <c r="Q661" i="3"/>
  <c r="R661" i="3"/>
  <c r="Q662" i="3"/>
  <c r="R662" i="3"/>
  <c r="Q663" i="3"/>
  <c r="R663" i="3"/>
  <c r="Q664" i="3"/>
  <c r="R664" i="3"/>
  <c r="Q665" i="3"/>
  <c r="R665" i="3"/>
  <c r="Q666" i="3"/>
  <c r="R666" i="3"/>
  <c r="Q667" i="3"/>
  <c r="R667" i="3"/>
  <c r="Q668" i="3"/>
  <c r="R668" i="3"/>
  <c r="Q669" i="3"/>
  <c r="R669" i="3"/>
  <c r="Q670" i="3"/>
  <c r="R670" i="3"/>
  <c r="Q671" i="3"/>
  <c r="R671" i="3"/>
  <c r="Q672" i="3"/>
  <c r="R672" i="3"/>
  <c r="Q673" i="3"/>
  <c r="R673" i="3"/>
  <c r="Q674" i="3"/>
  <c r="R674" i="3"/>
  <c r="Q675" i="3"/>
  <c r="R675" i="3"/>
  <c r="Q676" i="3"/>
  <c r="R676" i="3"/>
  <c r="Q677" i="3"/>
  <c r="R677" i="3"/>
  <c r="Q678" i="3"/>
  <c r="R678" i="3"/>
  <c r="Q679" i="3"/>
  <c r="R679" i="3"/>
  <c r="Q680" i="3"/>
  <c r="R680" i="3"/>
  <c r="Q681" i="3"/>
  <c r="R681" i="3"/>
  <c r="Q682" i="3"/>
  <c r="R682" i="3"/>
  <c r="Q683" i="3"/>
  <c r="R683" i="3"/>
  <c r="Q684" i="3"/>
  <c r="R684" i="3"/>
  <c r="Q685" i="3"/>
  <c r="R685" i="3"/>
  <c r="Q686" i="3"/>
  <c r="R686" i="3"/>
  <c r="Q687" i="3"/>
  <c r="R687" i="3"/>
  <c r="Q688" i="3"/>
  <c r="R688" i="3"/>
  <c r="Q689" i="3"/>
  <c r="R689" i="3"/>
  <c r="Q690" i="3"/>
  <c r="R690" i="3"/>
  <c r="Q691" i="3"/>
  <c r="R691" i="3"/>
  <c r="Q692" i="3"/>
  <c r="R692" i="3"/>
  <c r="Q693" i="3"/>
  <c r="R693" i="3"/>
  <c r="Q694" i="3"/>
  <c r="R694" i="3"/>
  <c r="Q695" i="3"/>
  <c r="R695" i="3"/>
  <c r="Q696" i="3"/>
  <c r="R696" i="3"/>
  <c r="Q697" i="3"/>
  <c r="R697" i="3"/>
  <c r="Q698" i="3"/>
  <c r="R698" i="3"/>
  <c r="Q699" i="3"/>
  <c r="R699" i="3"/>
  <c r="Q700" i="3"/>
  <c r="R700" i="3"/>
  <c r="Q701" i="3"/>
  <c r="R701" i="3"/>
  <c r="Q702" i="3"/>
  <c r="R702" i="3"/>
  <c r="Q703" i="3"/>
  <c r="R703" i="3"/>
  <c r="Q704" i="3"/>
  <c r="R704" i="3"/>
  <c r="Q705" i="3"/>
  <c r="R705" i="3"/>
  <c r="Q706" i="3"/>
  <c r="R706" i="3"/>
  <c r="Q707" i="3"/>
  <c r="R707" i="3"/>
  <c r="Q708" i="3"/>
  <c r="R708" i="3"/>
  <c r="Q709" i="3"/>
  <c r="R709" i="3"/>
  <c r="Q710" i="3"/>
  <c r="R710" i="3"/>
  <c r="Q711" i="3"/>
  <c r="R711" i="3"/>
  <c r="Q712" i="3"/>
  <c r="R712" i="3"/>
  <c r="Q713" i="3"/>
  <c r="R713" i="3"/>
  <c r="Q714" i="3"/>
  <c r="R714" i="3"/>
  <c r="Q715" i="3"/>
  <c r="R715" i="3"/>
  <c r="Q716" i="3"/>
  <c r="R716" i="3"/>
  <c r="Q717" i="3"/>
  <c r="R717" i="3"/>
  <c r="Q718" i="3"/>
  <c r="R718" i="3"/>
  <c r="Q719" i="3"/>
  <c r="R719" i="3"/>
  <c r="Q720" i="3"/>
  <c r="R720" i="3"/>
  <c r="Q721" i="3"/>
  <c r="R721" i="3"/>
  <c r="Q722" i="3"/>
  <c r="R722" i="3"/>
  <c r="Q723" i="3"/>
  <c r="R723" i="3"/>
  <c r="Q724" i="3"/>
  <c r="R724" i="3"/>
  <c r="Q725" i="3"/>
  <c r="R725" i="3"/>
  <c r="Q726" i="3"/>
  <c r="R726" i="3"/>
  <c r="Q727" i="3"/>
  <c r="R727" i="3"/>
  <c r="Q728" i="3"/>
  <c r="R728" i="3"/>
  <c r="Q729" i="3"/>
  <c r="R729" i="3"/>
  <c r="Q730" i="3"/>
  <c r="R730" i="3"/>
  <c r="Q731" i="3"/>
  <c r="R731" i="3"/>
  <c r="Q732" i="3"/>
  <c r="R732" i="3"/>
  <c r="Q733" i="3"/>
  <c r="R733" i="3"/>
  <c r="Q734" i="3"/>
  <c r="R734" i="3"/>
  <c r="Q735" i="3"/>
  <c r="R735" i="3"/>
  <c r="Q736" i="3"/>
  <c r="R736" i="3"/>
  <c r="Q737" i="3"/>
  <c r="R737" i="3"/>
  <c r="Q738" i="3"/>
  <c r="R738" i="3"/>
  <c r="Q739" i="3"/>
  <c r="R739" i="3"/>
  <c r="Q740" i="3"/>
  <c r="R740" i="3"/>
  <c r="Q741" i="3"/>
  <c r="R741" i="3"/>
  <c r="Q742" i="3"/>
  <c r="R742" i="3"/>
  <c r="Q743" i="3"/>
  <c r="R743" i="3"/>
  <c r="Q744" i="3"/>
  <c r="R744" i="3"/>
  <c r="Q745" i="3"/>
  <c r="R745" i="3"/>
  <c r="Q746" i="3"/>
  <c r="R746" i="3"/>
  <c r="Q747" i="3"/>
  <c r="R747" i="3"/>
  <c r="Q748" i="3"/>
  <c r="R748" i="3"/>
  <c r="Q749" i="3"/>
  <c r="R749" i="3"/>
  <c r="Q750" i="3"/>
  <c r="R750" i="3"/>
  <c r="Q751" i="3"/>
  <c r="R751" i="3"/>
  <c r="Q752" i="3"/>
  <c r="R752" i="3"/>
  <c r="Q753" i="3"/>
  <c r="R753" i="3"/>
  <c r="Q754" i="3"/>
  <c r="R754" i="3"/>
  <c r="Q755" i="3"/>
  <c r="R755" i="3"/>
  <c r="Q756" i="3"/>
  <c r="R756" i="3"/>
  <c r="Q757" i="3"/>
  <c r="R757" i="3"/>
  <c r="Q758" i="3"/>
  <c r="R758" i="3"/>
  <c r="Q759" i="3"/>
  <c r="R759" i="3"/>
  <c r="Q760" i="3"/>
  <c r="R760" i="3"/>
  <c r="Q761" i="3"/>
  <c r="R761" i="3"/>
  <c r="Q762" i="3"/>
  <c r="R762" i="3"/>
  <c r="Q763" i="3"/>
  <c r="R763" i="3"/>
  <c r="Q764" i="3"/>
  <c r="R764" i="3"/>
  <c r="Q765" i="3"/>
  <c r="R765" i="3"/>
  <c r="Q766" i="3"/>
  <c r="R766" i="3"/>
  <c r="Q767" i="3"/>
  <c r="R767" i="3"/>
  <c r="Q768" i="3"/>
  <c r="R768" i="3"/>
  <c r="Q769" i="3"/>
  <c r="R769" i="3"/>
  <c r="Q770" i="3"/>
  <c r="R770" i="3"/>
  <c r="Q771" i="3"/>
  <c r="R771" i="3"/>
  <c r="Q772" i="3"/>
  <c r="R772" i="3"/>
  <c r="Q773" i="3"/>
  <c r="R773" i="3"/>
  <c r="Q774" i="3"/>
  <c r="R774" i="3"/>
  <c r="Q775" i="3"/>
  <c r="R775" i="3"/>
  <c r="Q776" i="3"/>
  <c r="R776" i="3"/>
  <c r="Q777" i="3"/>
  <c r="R777" i="3"/>
  <c r="Q778" i="3"/>
  <c r="R778" i="3"/>
  <c r="Q779" i="3"/>
  <c r="R779" i="3"/>
  <c r="Q780" i="3"/>
  <c r="R780" i="3"/>
  <c r="Q781" i="3"/>
  <c r="R781" i="3"/>
  <c r="Q782" i="3"/>
  <c r="R782" i="3"/>
  <c r="Q783" i="3"/>
  <c r="R783" i="3"/>
  <c r="Q784" i="3"/>
  <c r="R784" i="3"/>
  <c r="Q785" i="3"/>
  <c r="R785" i="3"/>
  <c r="Q786" i="3"/>
  <c r="R786" i="3"/>
  <c r="Q787" i="3"/>
  <c r="R787" i="3"/>
  <c r="Q788" i="3"/>
  <c r="R788" i="3"/>
  <c r="Q789" i="3"/>
  <c r="R789" i="3"/>
  <c r="Q790" i="3"/>
  <c r="R790" i="3"/>
  <c r="Q791" i="3"/>
  <c r="R791" i="3"/>
  <c r="Q792" i="3"/>
  <c r="R792" i="3"/>
  <c r="Q793" i="3"/>
  <c r="R793" i="3"/>
  <c r="Q794" i="3"/>
  <c r="R794" i="3"/>
  <c r="Q795" i="3"/>
  <c r="R795" i="3"/>
  <c r="Q796" i="3"/>
  <c r="R796" i="3"/>
  <c r="Q797" i="3"/>
  <c r="R797" i="3"/>
  <c r="Q798" i="3"/>
  <c r="R798" i="3"/>
  <c r="Q799" i="3"/>
  <c r="R799" i="3"/>
  <c r="Q800" i="3"/>
  <c r="R800" i="3"/>
  <c r="Q801" i="3"/>
  <c r="R801" i="3"/>
  <c r="Q802" i="3"/>
  <c r="R802" i="3"/>
  <c r="Q803" i="3"/>
  <c r="R803" i="3"/>
  <c r="Q804" i="3"/>
  <c r="R804" i="3"/>
  <c r="Q805" i="3"/>
  <c r="R805" i="3"/>
  <c r="Q806" i="3"/>
  <c r="R806" i="3"/>
  <c r="Q807" i="3"/>
  <c r="R807" i="3"/>
  <c r="Q808" i="3"/>
  <c r="R808" i="3"/>
  <c r="Q809" i="3"/>
  <c r="R809" i="3"/>
  <c r="Q810" i="3"/>
  <c r="R810" i="3"/>
  <c r="Q811" i="3"/>
  <c r="R811" i="3"/>
  <c r="Q812" i="3"/>
  <c r="R812" i="3"/>
  <c r="Q813" i="3"/>
  <c r="R813" i="3"/>
  <c r="Q814" i="3"/>
  <c r="R814" i="3"/>
  <c r="Q815" i="3"/>
  <c r="R815" i="3"/>
  <c r="Q816" i="3"/>
  <c r="R816" i="3"/>
  <c r="Q817" i="3"/>
  <c r="R817" i="3"/>
  <c r="Q818" i="3"/>
  <c r="R818" i="3"/>
  <c r="Q819" i="3"/>
  <c r="R819" i="3"/>
  <c r="Q820" i="3"/>
  <c r="R820" i="3"/>
  <c r="Q821" i="3"/>
  <c r="R821" i="3"/>
  <c r="Q822" i="3"/>
  <c r="R822" i="3"/>
  <c r="Q823" i="3"/>
  <c r="R823" i="3"/>
  <c r="Q824" i="3"/>
  <c r="R824" i="3"/>
  <c r="Q825" i="3"/>
  <c r="R825" i="3"/>
  <c r="Q826" i="3"/>
  <c r="R826" i="3"/>
  <c r="Q827" i="3"/>
  <c r="R827" i="3"/>
  <c r="Q828" i="3"/>
  <c r="R828" i="3"/>
  <c r="Q829" i="3"/>
  <c r="R829" i="3"/>
  <c r="Q830" i="3"/>
  <c r="R830" i="3"/>
  <c r="Q831" i="3"/>
  <c r="R831" i="3"/>
  <c r="Q832" i="3"/>
  <c r="R832" i="3"/>
  <c r="Q833" i="3"/>
  <c r="R833" i="3"/>
  <c r="Q834" i="3"/>
  <c r="R834" i="3"/>
  <c r="Q835" i="3"/>
  <c r="R835" i="3"/>
  <c r="Q836" i="3"/>
  <c r="R836" i="3"/>
  <c r="Q837" i="3"/>
  <c r="R837" i="3"/>
  <c r="Q838" i="3"/>
  <c r="R838" i="3"/>
  <c r="Q839" i="3"/>
  <c r="R839" i="3"/>
  <c r="Q840" i="3"/>
  <c r="R840" i="3"/>
  <c r="Q841" i="3"/>
  <c r="R841" i="3"/>
  <c r="Q842" i="3"/>
  <c r="R842" i="3"/>
  <c r="Q843" i="3"/>
  <c r="R843" i="3"/>
  <c r="Q844" i="3"/>
  <c r="R844" i="3"/>
  <c r="Q845" i="3"/>
  <c r="R845" i="3"/>
  <c r="Q846" i="3"/>
  <c r="R846" i="3"/>
  <c r="Q847" i="3"/>
  <c r="R847" i="3"/>
  <c r="Q848" i="3"/>
  <c r="R848" i="3"/>
  <c r="Q849" i="3"/>
  <c r="R849" i="3"/>
  <c r="Q850" i="3"/>
  <c r="R850" i="3"/>
  <c r="Q851" i="3"/>
  <c r="R851" i="3"/>
  <c r="Q852" i="3"/>
  <c r="R852" i="3"/>
  <c r="Q853" i="3"/>
  <c r="R853" i="3"/>
  <c r="Q854" i="3"/>
  <c r="R854" i="3"/>
  <c r="Q855" i="3"/>
  <c r="R855" i="3"/>
  <c r="Q856" i="3"/>
  <c r="R856" i="3"/>
  <c r="Q857" i="3"/>
  <c r="R857" i="3"/>
  <c r="Q858" i="3"/>
  <c r="R858" i="3"/>
  <c r="Q859" i="3"/>
  <c r="R859" i="3"/>
  <c r="Q860" i="3"/>
  <c r="R860" i="3"/>
  <c r="Q861" i="3"/>
  <c r="R861" i="3"/>
  <c r="Q862" i="3"/>
  <c r="R862" i="3"/>
  <c r="Q863" i="3"/>
  <c r="R863" i="3"/>
  <c r="Q864" i="3"/>
  <c r="R864" i="3"/>
  <c r="Q865" i="3"/>
  <c r="R865" i="3"/>
  <c r="Q866" i="3"/>
  <c r="R866" i="3"/>
  <c r="Q867" i="3"/>
  <c r="R867" i="3"/>
  <c r="Q868" i="3"/>
  <c r="R868" i="3"/>
  <c r="Q869" i="3"/>
  <c r="R869" i="3"/>
  <c r="Q870" i="3"/>
  <c r="R870" i="3"/>
  <c r="Q871" i="3"/>
  <c r="R871" i="3"/>
  <c r="Q872" i="3"/>
  <c r="R872" i="3"/>
  <c r="Q873" i="3"/>
  <c r="R873" i="3"/>
  <c r="Q874" i="3"/>
  <c r="R874" i="3"/>
  <c r="Q875" i="3"/>
  <c r="R875" i="3"/>
  <c r="Q876" i="3"/>
  <c r="R876" i="3"/>
  <c r="Q877" i="3"/>
  <c r="R877" i="3"/>
  <c r="Q878" i="3"/>
  <c r="R878" i="3"/>
  <c r="Q879" i="3"/>
  <c r="R879" i="3"/>
  <c r="Q880" i="3"/>
  <c r="R880" i="3"/>
  <c r="Q881" i="3"/>
  <c r="R881" i="3"/>
  <c r="Q882" i="3"/>
  <c r="R882" i="3"/>
  <c r="Q883" i="3"/>
  <c r="R883" i="3"/>
  <c r="Q884" i="3"/>
  <c r="R884" i="3"/>
  <c r="Q885" i="3"/>
  <c r="R885" i="3"/>
  <c r="Q886" i="3"/>
  <c r="R886" i="3"/>
  <c r="Q887" i="3"/>
  <c r="R887" i="3"/>
  <c r="Q888" i="3"/>
  <c r="R888" i="3"/>
  <c r="Q889" i="3"/>
  <c r="R889" i="3"/>
  <c r="Q890" i="3"/>
  <c r="R890" i="3"/>
  <c r="Q891" i="3"/>
  <c r="R891" i="3"/>
  <c r="Q892" i="3"/>
  <c r="R892" i="3"/>
  <c r="Q893" i="3"/>
  <c r="R893" i="3"/>
  <c r="Q894" i="3"/>
  <c r="R894" i="3"/>
  <c r="Q895" i="3"/>
  <c r="R895" i="3"/>
  <c r="Q896" i="3"/>
  <c r="R896" i="3"/>
  <c r="Q897" i="3"/>
  <c r="R897" i="3"/>
  <c r="Q898" i="3"/>
  <c r="R898" i="3"/>
  <c r="Q899" i="3"/>
  <c r="R899" i="3"/>
  <c r="Q900" i="3"/>
  <c r="R900" i="3"/>
  <c r="Q901" i="3"/>
  <c r="R901" i="3"/>
  <c r="Q902" i="3"/>
  <c r="R902" i="3"/>
  <c r="Q903" i="3"/>
  <c r="R903" i="3"/>
  <c r="Q904" i="3"/>
  <c r="R904" i="3"/>
  <c r="Q905" i="3"/>
  <c r="R905" i="3"/>
  <c r="Q906" i="3"/>
  <c r="R906" i="3"/>
  <c r="Q907" i="3"/>
  <c r="R907" i="3"/>
  <c r="Q908" i="3"/>
  <c r="R908" i="3"/>
  <c r="Q909" i="3"/>
  <c r="R909" i="3"/>
  <c r="Q910" i="3"/>
  <c r="R910" i="3"/>
  <c r="Q911" i="3"/>
  <c r="R911" i="3"/>
  <c r="Q912" i="3"/>
  <c r="R912" i="3"/>
  <c r="Q913" i="3"/>
  <c r="R913" i="3"/>
  <c r="Q914" i="3"/>
  <c r="R914" i="3"/>
  <c r="Q915" i="3"/>
  <c r="R915" i="3"/>
  <c r="Q916" i="3"/>
  <c r="R916" i="3"/>
  <c r="Q917" i="3"/>
  <c r="R917" i="3"/>
  <c r="Q918" i="3"/>
  <c r="R918" i="3"/>
  <c r="Q919" i="3"/>
  <c r="R919" i="3"/>
  <c r="Q920" i="3"/>
  <c r="R920" i="3"/>
  <c r="Q921" i="3"/>
  <c r="R921" i="3"/>
  <c r="Q922" i="3"/>
  <c r="R922" i="3"/>
  <c r="Q923" i="3"/>
  <c r="R923" i="3"/>
  <c r="Q924" i="3"/>
  <c r="R924" i="3"/>
  <c r="Q925" i="3"/>
  <c r="R925" i="3"/>
  <c r="Q926" i="3"/>
  <c r="R926" i="3"/>
  <c r="Q927" i="3"/>
  <c r="R927" i="3"/>
  <c r="Q928" i="3"/>
  <c r="R928" i="3"/>
  <c r="Q929" i="3"/>
  <c r="R929" i="3"/>
  <c r="Q930" i="3"/>
  <c r="R930" i="3"/>
  <c r="Q931" i="3"/>
  <c r="R931" i="3"/>
  <c r="Q932" i="3"/>
  <c r="R932" i="3"/>
  <c r="Q933" i="3"/>
  <c r="R933" i="3"/>
  <c r="Q934" i="3"/>
  <c r="R934" i="3"/>
  <c r="Q935" i="3"/>
  <c r="R935" i="3"/>
  <c r="Q936" i="3"/>
  <c r="R936" i="3"/>
  <c r="Q937" i="3"/>
  <c r="R937" i="3"/>
  <c r="Q938" i="3"/>
  <c r="R938" i="3"/>
  <c r="Q939" i="3"/>
  <c r="R939" i="3"/>
  <c r="Q940" i="3"/>
  <c r="R940" i="3"/>
  <c r="Q941" i="3"/>
  <c r="R941" i="3"/>
  <c r="Q942" i="3"/>
  <c r="R942" i="3"/>
  <c r="Q943" i="3"/>
  <c r="R943" i="3"/>
  <c r="Q944" i="3"/>
  <c r="R944" i="3"/>
  <c r="Q945" i="3"/>
  <c r="R945" i="3"/>
  <c r="Q946" i="3"/>
  <c r="R946" i="3"/>
  <c r="Q947" i="3"/>
  <c r="R947" i="3"/>
  <c r="Q948" i="3"/>
  <c r="R948" i="3"/>
  <c r="Q949" i="3"/>
  <c r="R949" i="3"/>
  <c r="Q950" i="3"/>
  <c r="R950" i="3"/>
  <c r="Q951" i="3"/>
  <c r="R951" i="3"/>
  <c r="Q952" i="3"/>
  <c r="R952" i="3"/>
  <c r="Q953" i="3"/>
  <c r="R953" i="3"/>
  <c r="Q954" i="3"/>
  <c r="R954" i="3"/>
  <c r="Q955" i="3"/>
  <c r="R955" i="3"/>
  <c r="Q956" i="3"/>
  <c r="R956" i="3"/>
  <c r="Q957" i="3"/>
  <c r="R957" i="3"/>
  <c r="Q958" i="3"/>
  <c r="R958" i="3"/>
  <c r="Q959" i="3"/>
  <c r="R959" i="3"/>
  <c r="Q960" i="3"/>
  <c r="R960" i="3"/>
  <c r="Q961" i="3"/>
  <c r="R961" i="3"/>
  <c r="Q962" i="3"/>
  <c r="R962" i="3"/>
  <c r="Q963" i="3"/>
  <c r="R963" i="3"/>
  <c r="Q964" i="3"/>
  <c r="R964" i="3"/>
  <c r="Q965" i="3"/>
  <c r="R965" i="3"/>
  <c r="Q966" i="3"/>
  <c r="R966" i="3"/>
  <c r="Q967" i="3"/>
  <c r="R967" i="3"/>
  <c r="Q968" i="3"/>
  <c r="R968" i="3"/>
  <c r="Q969" i="3"/>
  <c r="R969" i="3"/>
  <c r="Q970" i="3"/>
  <c r="R970" i="3"/>
  <c r="Q971" i="3"/>
  <c r="R971" i="3"/>
  <c r="Q972" i="3"/>
  <c r="R972" i="3"/>
  <c r="Q973" i="3"/>
  <c r="R973" i="3"/>
  <c r="Q974" i="3"/>
  <c r="R974" i="3"/>
  <c r="Q975" i="3"/>
  <c r="R975" i="3"/>
  <c r="Q976" i="3"/>
  <c r="R976" i="3"/>
  <c r="Q977" i="3"/>
  <c r="R977" i="3"/>
  <c r="Q978" i="3"/>
  <c r="R978" i="3"/>
  <c r="Q979" i="3"/>
  <c r="R979" i="3"/>
  <c r="Q980" i="3"/>
  <c r="R980" i="3"/>
  <c r="Q981" i="3"/>
  <c r="R981" i="3"/>
  <c r="Q982" i="3"/>
  <c r="R982" i="3"/>
  <c r="Q983" i="3"/>
  <c r="R983" i="3"/>
  <c r="Q984" i="3"/>
  <c r="R984" i="3"/>
  <c r="Q985" i="3"/>
  <c r="R985" i="3"/>
  <c r="Q986" i="3"/>
  <c r="R986" i="3"/>
  <c r="Q987" i="3"/>
  <c r="R987" i="3"/>
  <c r="Q988" i="3"/>
  <c r="R988" i="3"/>
  <c r="Q989" i="3"/>
  <c r="R989" i="3"/>
  <c r="Q990" i="3"/>
  <c r="R990" i="3"/>
  <c r="Q991" i="3"/>
  <c r="R991" i="3"/>
  <c r="Q992" i="3"/>
  <c r="R992" i="3"/>
  <c r="Q993" i="3"/>
  <c r="R993" i="3"/>
  <c r="Q994" i="3"/>
  <c r="R994" i="3"/>
  <c r="Q995" i="3"/>
  <c r="R995" i="3"/>
  <c r="Q996" i="3"/>
  <c r="R996" i="3"/>
  <c r="Q997" i="3"/>
  <c r="R997" i="3"/>
  <c r="Q998" i="3"/>
  <c r="R998" i="3"/>
  <c r="Q999" i="3"/>
  <c r="R999" i="3"/>
  <c r="Q1000" i="3"/>
  <c r="R1000" i="3"/>
  <c r="Q1001" i="3"/>
  <c r="R1001" i="3"/>
  <c r="Q1002" i="3"/>
  <c r="R1002" i="3"/>
  <c r="Q1003" i="3"/>
  <c r="R1003" i="3"/>
  <c r="Q1004" i="3"/>
  <c r="R1004" i="3"/>
  <c r="Q1005" i="3"/>
  <c r="R1005" i="3"/>
  <c r="Q1006" i="3"/>
  <c r="R1006" i="3"/>
  <c r="Q1007" i="3"/>
  <c r="R1007" i="3"/>
  <c r="Q1008" i="3"/>
  <c r="R1008" i="3"/>
  <c r="Q1009" i="3"/>
  <c r="R1009" i="3"/>
  <c r="Q1010" i="3"/>
  <c r="R1010" i="3"/>
  <c r="Q1011" i="3"/>
  <c r="R1011" i="3"/>
  <c r="Q1012" i="3"/>
  <c r="R1012" i="3"/>
  <c r="Q1013" i="3"/>
  <c r="R1013" i="3"/>
  <c r="Q1014" i="3"/>
  <c r="R1014" i="3"/>
  <c r="Q1015" i="3"/>
  <c r="R1015" i="3"/>
  <c r="Q1016" i="3"/>
  <c r="R1016" i="3"/>
  <c r="Q1017" i="3"/>
  <c r="R1017" i="3"/>
  <c r="Q1018" i="3"/>
  <c r="R1018" i="3"/>
  <c r="Q1019" i="3"/>
  <c r="R1019" i="3"/>
  <c r="Q1020" i="3"/>
  <c r="R1020" i="3"/>
  <c r="Q1021" i="3"/>
  <c r="R1021" i="3"/>
  <c r="Q1022" i="3"/>
  <c r="R1022" i="3"/>
  <c r="Q1023" i="3"/>
  <c r="R1023" i="3"/>
  <c r="Q1024" i="3"/>
  <c r="R1024" i="3"/>
  <c r="Q1025" i="3"/>
  <c r="R1025" i="3"/>
  <c r="Q1026" i="3"/>
  <c r="R1026" i="3"/>
  <c r="Q1027" i="3"/>
  <c r="R1027" i="3"/>
  <c r="Q1028" i="3"/>
  <c r="R1028" i="3"/>
  <c r="Q1029" i="3"/>
  <c r="R1029" i="3"/>
  <c r="Q1030" i="3"/>
  <c r="R1030" i="3"/>
  <c r="Q1031" i="3"/>
  <c r="R1031" i="3"/>
  <c r="Q1032" i="3"/>
  <c r="R1032" i="3"/>
  <c r="Q1033" i="3"/>
  <c r="R1033" i="3"/>
  <c r="Q1034" i="3"/>
  <c r="R1034" i="3"/>
  <c r="Q1035" i="3"/>
  <c r="R1035" i="3"/>
  <c r="Q1036" i="3"/>
  <c r="R1036" i="3"/>
  <c r="Q1037" i="3"/>
  <c r="R1037" i="3"/>
  <c r="Q1038" i="3"/>
  <c r="R1038" i="3"/>
  <c r="Q1039" i="3"/>
  <c r="R1039" i="3"/>
  <c r="Q1040" i="3"/>
  <c r="R1040" i="3"/>
  <c r="Q1041" i="3"/>
  <c r="R1041" i="3"/>
  <c r="Q1042" i="3"/>
  <c r="R1042" i="3"/>
  <c r="Q1043" i="3"/>
  <c r="R1043" i="3"/>
  <c r="Q1044" i="3"/>
  <c r="R1044" i="3"/>
  <c r="Q1045" i="3"/>
  <c r="R1045" i="3"/>
  <c r="Q1046" i="3"/>
  <c r="R1046" i="3"/>
  <c r="Q1047" i="3"/>
  <c r="R1047" i="3"/>
  <c r="Q1048" i="3"/>
  <c r="R1048" i="3"/>
  <c r="Q1049" i="3"/>
  <c r="R1049" i="3"/>
  <c r="Q1050" i="3"/>
  <c r="R1050" i="3"/>
  <c r="Q1051" i="3"/>
  <c r="R1051" i="3"/>
  <c r="Q1052" i="3"/>
  <c r="R1052" i="3"/>
  <c r="Q1053" i="3"/>
  <c r="R1053" i="3"/>
  <c r="Q1054" i="3"/>
  <c r="R1054" i="3"/>
  <c r="Q1055" i="3"/>
  <c r="R1055" i="3"/>
  <c r="Q1056" i="3"/>
  <c r="R1056" i="3"/>
  <c r="Q1057" i="3"/>
  <c r="R1057" i="3"/>
  <c r="Q1058" i="3"/>
  <c r="R1058" i="3"/>
  <c r="Q1059" i="3"/>
  <c r="R1059" i="3"/>
  <c r="Q1060" i="3"/>
  <c r="R1060" i="3"/>
  <c r="Q1061" i="3"/>
  <c r="R1061" i="3"/>
  <c r="Q1062" i="3"/>
  <c r="R1062" i="3"/>
  <c r="Q1063" i="3"/>
  <c r="R1063" i="3"/>
  <c r="Q1064" i="3"/>
  <c r="R1064" i="3"/>
  <c r="Q1065" i="3"/>
  <c r="R1065" i="3"/>
  <c r="Q1066" i="3"/>
  <c r="R1066" i="3"/>
  <c r="Q1067" i="3"/>
  <c r="R1067" i="3"/>
  <c r="Q1068" i="3"/>
  <c r="R1068" i="3"/>
  <c r="Q1069" i="3"/>
  <c r="R1069" i="3"/>
  <c r="Q1070" i="3"/>
  <c r="R1070" i="3"/>
  <c r="Q1071" i="3"/>
  <c r="R1071" i="3"/>
  <c r="Q1072" i="3"/>
  <c r="R1072" i="3"/>
  <c r="Q1073" i="3"/>
  <c r="R1073" i="3"/>
  <c r="Q1074" i="3"/>
  <c r="R1074" i="3"/>
  <c r="Q1075" i="3"/>
  <c r="R1075" i="3"/>
  <c r="Q1076" i="3"/>
  <c r="R1076" i="3"/>
  <c r="Q1077" i="3"/>
  <c r="R1077" i="3"/>
  <c r="Q1078" i="3"/>
  <c r="R1078" i="3"/>
  <c r="Q1079" i="3"/>
  <c r="R1079" i="3"/>
  <c r="Q1080" i="3"/>
  <c r="R1080" i="3"/>
  <c r="Q1081" i="3"/>
  <c r="R1081" i="3"/>
  <c r="Q1082" i="3"/>
  <c r="R1082" i="3"/>
  <c r="Q1083" i="3"/>
  <c r="R1083" i="3"/>
  <c r="Q1084" i="3"/>
  <c r="R1084" i="3"/>
  <c r="Q1085" i="3"/>
  <c r="R1085" i="3"/>
  <c r="Q1086" i="3"/>
  <c r="R1086" i="3"/>
  <c r="Q1087" i="3"/>
  <c r="R1087" i="3"/>
  <c r="Q1088" i="3"/>
  <c r="R1088" i="3"/>
  <c r="Q1089" i="3"/>
  <c r="R1089" i="3"/>
  <c r="Q1090" i="3"/>
  <c r="R1090" i="3"/>
  <c r="Q1091" i="3"/>
  <c r="R1091" i="3"/>
  <c r="Q1092" i="3"/>
  <c r="R1092" i="3"/>
  <c r="Q1093" i="3"/>
  <c r="R1093" i="3"/>
  <c r="Q1094" i="3"/>
  <c r="R1094" i="3"/>
  <c r="Q1095" i="3"/>
  <c r="R1095" i="3"/>
  <c r="Q1096" i="3"/>
  <c r="R1096" i="3"/>
  <c r="Q1097" i="3"/>
  <c r="R1097" i="3"/>
  <c r="Q1098" i="3"/>
  <c r="R1098" i="3"/>
  <c r="Q1099" i="3"/>
  <c r="R1099" i="3"/>
  <c r="Q1100" i="3"/>
  <c r="R1100" i="3"/>
  <c r="Q1101" i="3"/>
  <c r="R1101" i="3"/>
  <c r="Q1102" i="3"/>
  <c r="R1102" i="3"/>
  <c r="Q1103" i="3"/>
  <c r="R1103" i="3"/>
  <c r="Q1104" i="3"/>
  <c r="R1104" i="3"/>
  <c r="Q1105" i="3"/>
  <c r="R1105" i="3"/>
  <c r="Q1106" i="3"/>
  <c r="R1106" i="3"/>
  <c r="Q1107" i="3"/>
  <c r="R1107" i="3"/>
  <c r="Q1108" i="3"/>
  <c r="R1108" i="3"/>
  <c r="Q1109" i="3"/>
  <c r="R1109" i="3"/>
  <c r="Q1110" i="3"/>
  <c r="R1110" i="3"/>
  <c r="Q1111" i="3"/>
  <c r="R1111" i="3"/>
  <c r="Q1112" i="3"/>
  <c r="R1112" i="3"/>
  <c r="Q1113" i="3"/>
  <c r="R1113" i="3"/>
  <c r="Q1114" i="3"/>
  <c r="R1114" i="3"/>
  <c r="Q1115" i="3"/>
  <c r="R1115" i="3"/>
  <c r="Q1116" i="3"/>
  <c r="R1116" i="3"/>
  <c r="Q1117" i="3"/>
  <c r="R1117" i="3"/>
  <c r="Q1118" i="3"/>
  <c r="R1118" i="3"/>
  <c r="Q1119" i="3"/>
  <c r="R1119" i="3"/>
  <c r="Q1120" i="3"/>
  <c r="R1120" i="3"/>
  <c r="Q1121" i="3"/>
  <c r="R1121" i="3"/>
  <c r="Q1122" i="3"/>
  <c r="R1122" i="3"/>
  <c r="Q1123" i="3"/>
  <c r="R1123" i="3"/>
  <c r="Q1124" i="3"/>
  <c r="R1124" i="3"/>
  <c r="Q1125" i="3"/>
  <c r="R1125" i="3"/>
  <c r="Q1126" i="3"/>
  <c r="R1126" i="3"/>
  <c r="Q1127" i="3"/>
  <c r="R1127" i="3"/>
  <c r="Q1128" i="3"/>
  <c r="R1128" i="3"/>
  <c r="Q1129" i="3"/>
  <c r="R1129" i="3"/>
  <c r="Q1130" i="3"/>
  <c r="R1130" i="3"/>
  <c r="Q1131" i="3"/>
  <c r="R1131" i="3"/>
  <c r="Q1132" i="3"/>
  <c r="R1132" i="3"/>
  <c r="Q1133" i="3"/>
  <c r="R1133" i="3"/>
  <c r="Q1134" i="3"/>
  <c r="R1134" i="3"/>
  <c r="Q1135" i="3"/>
  <c r="R1135" i="3"/>
  <c r="Q1136" i="3"/>
  <c r="R1136" i="3"/>
  <c r="Q1137" i="3"/>
  <c r="R1137" i="3"/>
  <c r="Q1138" i="3"/>
  <c r="R1138" i="3"/>
  <c r="Q1139" i="3"/>
  <c r="R1139" i="3"/>
  <c r="Q1140" i="3"/>
  <c r="R1140" i="3"/>
  <c r="Q1141" i="3"/>
  <c r="R1141" i="3"/>
  <c r="Q1142" i="3"/>
  <c r="R1142" i="3"/>
  <c r="Q1143" i="3"/>
  <c r="R1143" i="3"/>
  <c r="Q1144" i="3"/>
  <c r="R1144" i="3"/>
  <c r="Q1145" i="3"/>
  <c r="R1145" i="3"/>
  <c r="Q1146" i="3"/>
  <c r="R1146" i="3"/>
  <c r="Q1147" i="3"/>
  <c r="R1147" i="3"/>
  <c r="Q1148" i="3"/>
  <c r="R1148" i="3"/>
  <c r="Q1149" i="3"/>
  <c r="R1149" i="3"/>
  <c r="Q1150" i="3"/>
  <c r="R1150" i="3"/>
  <c r="Q1151" i="3"/>
  <c r="R1151" i="3"/>
  <c r="Q1152" i="3"/>
  <c r="R1152" i="3"/>
  <c r="Q1153" i="3"/>
  <c r="R1153" i="3"/>
  <c r="Q1154" i="3"/>
  <c r="R1154" i="3"/>
  <c r="Q1155" i="3"/>
  <c r="R1155" i="3"/>
  <c r="Q1156" i="3"/>
  <c r="R1156" i="3"/>
  <c r="Q1157" i="3"/>
  <c r="R1157" i="3"/>
  <c r="Q1158" i="3"/>
  <c r="R1158" i="3"/>
  <c r="Q1159" i="3"/>
  <c r="R1159" i="3"/>
  <c r="Q1160" i="3"/>
  <c r="R1160" i="3"/>
  <c r="Q1161" i="3"/>
  <c r="R1161" i="3"/>
  <c r="Q1162" i="3"/>
  <c r="R1162" i="3"/>
  <c r="Q1163" i="3"/>
  <c r="R1163" i="3"/>
  <c r="Q1164" i="3"/>
  <c r="R1164" i="3"/>
  <c r="Q1165" i="3"/>
  <c r="R1165" i="3"/>
  <c r="Q1166" i="3"/>
  <c r="R1166" i="3"/>
  <c r="Q1167" i="3"/>
  <c r="R1167" i="3"/>
  <c r="Q1168" i="3"/>
  <c r="R1168" i="3"/>
  <c r="Q1169" i="3"/>
  <c r="R1169" i="3"/>
  <c r="Q1170" i="3"/>
  <c r="R1170" i="3"/>
  <c r="Q1171" i="3"/>
  <c r="R1171" i="3"/>
  <c r="Q1172" i="3"/>
  <c r="R1172" i="3"/>
  <c r="Q1173" i="3"/>
  <c r="R1173" i="3"/>
  <c r="Q1174" i="3"/>
  <c r="R1174" i="3"/>
  <c r="Q1175" i="3"/>
  <c r="R1175" i="3"/>
  <c r="Q1176" i="3"/>
  <c r="R1176" i="3"/>
  <c r="Q1177" i="3"/>
  <c r="R1177" i="3"/>
  <c r="Q1178" i="3"/>
  <c r="R1178" i="3"/>
  <c r="Q1179" i="3"/>
  <c r="R1179" i="3"/>
  <c r="Q1180" i="3"/>
  <c r="R1180" i="3"/>
  <c r="Q1181" i="3"/>
  <c r="R1181" i="3"/>
  <c r="Q1182" i="3"/>
  <c r="R1182" i="3"/>
  <c r="Q1183" i="3"/>
  <c r="R1183" i="3"/>
  <c r="Q1184" i="3"/>
  <c r="R1184" i="3"/>
  <c r="Q1185" i="3"/>
  <c r="R1185" i="3"/>
  <c r="Q1186" i="3"/>
  <c r="R1186" i="3"/>
  <c r="Q1187" i="3"/>
  <c r="R1187" i="3"/>
  <c r="Q1188" i="3"/>
  <c r="R1188" i="3"/>
  <c r="Q1189" i="3"/>
  <c r="R1189" i="3"/>
  <c r="Q1190" i="3"/>
  <c r="R1190" i="3"/>
  <c r="Q1191" i="3"/>
  <c r="R1191" i="3"/>
  <c r="Q1192" i="3"/>
  <c r="R1192" i="3"/>
  <c r="Q1193" i="3"/>
  <c r="R1193" i="3"/>
  <c r="Q1194" i="3"/>
  <c r="R1194" i="3"/>
  <c r="Q1195" i="3"/>
  <c r="R1195" i="3"/>
  <c r="Q1196" i="3"/>
  <c r="R1196" i="3"/>
  <c r="Q1197" i="3"/>
  <c r="R1197" i="3"/>
  <c r="Q1198" i="3"/>
  <c r="R1198" i="3"/>
  <c r="Q1199" i="3"/>
  <c r="R1199" i="3"/>
  <c r="Q1200" i="3"/>
  <c r="R1200" i="3"/>
  <c r="Q1201" i="3"/>
  <c r="R1201" i="3"/>
  <c r="Q1202" i="3"/>
  <c r="R1202" i="3"/>
  <c r="Q1203" i="3"/>
  <c r="R1203" i="3"/>
  <c r="Q1204" i="3"/>
  <c r="R1204" i="3"/>
  <c r="Q1205" i="3"/>
  <c r="R1205" i="3"/>
  <c r="Q1206" i="3"/>
  <c r="R1206" i="3"/>
  <c r="Q1207" i="3"/>
  <c r="R1207" i="3"/>
  <c r="Q1208" i="3"/>
  <c r="R1208" i="3"/>
  <c r="Q1209" i="3"/>
  <c r="R1209" i="3"/>
  <c r="Q1210" i="3"/>
  <c r="R1210" i="3"/>
  <c r="Q1211" i="3"/>
  <c r="R1211" i="3"/>
  <c r="Q1212" i="3"/>
  <c r="R1212" i="3"/>
  <c r="Q1213" i="3"/>
  <c r="R1213" i="3"/>
  <c r="Q1214" i="3"/>
  <c r="R1214" i="3"/>
  <c r="Q1215" i="3"/>
  <c r="R1215" i="3"/>
  <c r="Q1216" i="3"/>
  <c r="R1216" i="3"/>
  <c r="Q1217" i="3"/>
  <c r="R1217" i="3"/>
  <c r="Q1218" i="3"/>
  <c r="R1218" i="3"/>
  <c r="Q1219" i="3"/>
  <c r="R1219" i="3"/>
  <c r="Q1220" i="3"/>
  <c r="R1220" i="3"/>
  <c r="Q1221" i="3"/>
  <c r="R1221" i="3"/>
  <c r="Q1222" i="3"/>
  <c r="R1222" i="3"/>
  <c r="Q1223" i="3"/>
  <c r="R1223" i="3"/>
  <c r="Q1224" i="3"/>
  <c r="R1224" i="3"/>
  <c r="Q1225" i="3"/>
  <c r="R1225" i="3"/>
  <c r="Q1226" i="3"/>
  <c r="R1226" i="3"/>
  <c r="Q1227" i="3"/>
  <c r="R1227" i="3"/>
  <c r="Q1228" i="3"/>
  <c r="R1228" i="3"/>
  <c r="Q1229" i="3"/>
  <c r="R1229" i="3"/>
  <c r="Q1230" i="3"/>
  <c r="R1230" i="3"/>
  <c r="Q1231" i="3"/>
  <c r="R1231" i="3"/>
  <c r="Q1232" i="3"/>
  <c r="R1232" i="3"/>
  <c r="Q1233" i="3"/>
  <c r="R1233" i="3"/>
  <c r="Q1234" i="3"/>
  <c r="R1234" i="3"/>
  <c r="Q1235" i="3"/>
  <c r="R1235" i="3"/>
  <c r="Q1236" i="3"/>
  <c r="R1236" i="3"/>
  <c r="Q1237" i="3"/>
  <c r="R1237" i="3"/>
  <c r="Q1238" i="3"/>
  <c r="R1238" i="3"/>
  <c r="Q1239" i="3"/>
  <c r="R1239" i="3"/>
  <c r="Q1240" i="3"/>
  <c r="R1240" i="3"/>
  <c r="Q1241" i="3"/>
  <c r="R1241" i="3"/>
  <c r="Q1242" i="3"/>
  <c r="R1242" i="3"/>
  <c r="Q1243" i="3"/>
  <c r="R1243" i="3"/>
  <c r="Q1244" i="3"/>
  <c r="R1244" i="3"/>
  <c r="Q1245" i="3"/>
  <c r="R1245" i="3"/>
  <c r="Q1246" i="3"/>
  <c r="R1246" i="3"/>
  <c r="Q1247" i="3"/>
  <c r="R1247" i="3"/>
  <c r="Q1248" i="3"/>
  <c r="R1248" i="3"/>
  <c r="Q1249" i="3"/>
  <c r="R1249" i="3"/>
  <c r="Q1250" i="3"/>
  <c r="R1250" i="3"/>
  <c r="Q1251" i="3"/>
  <c r="R1251" i="3"/>
  <c r="Q1252" i="3"/>
  <c r="R1252" i="3"/>
  <c r="Q1253" i="3"/>
  <c r="R1253" i="3"/>
  <c r="Q1254" i="3"/>
  <c r="R1254" i="3"/>
  <c r="Q1255" i="3"/>
  <c r="R1255" i="3"/>
  <c r="Q1256" i="3"/>
  <c r="R1256" i="3"/>
  <c r="Q1257" i="3"/>
  <c r="R1257" i="3"/>
  <c r="Q1258" i="3"/>
  <c r="R1258" i="3"/>
  <c r="Q1259" i="3"/>
  <c r="R1259" i="3"/>
  <c r="Q1260" i="3"/>
  <c r="R1260" i="3"/>
  <c r="Q1261" i="3"/>
  <c r="R1261" i="3"/>
  <c r="Q1262" i="3"/>
  <c r="R1262" i="3"/>
  <c r="Q1263" i="3"/>
  <c r="R1263" i="3"/>
  <c r="Q1264" i="3"/>
  <c r="R1264" i="3"/>
  <c r="Q1265" i="3"/>
  <c r="R1265" i="3"/>
  <c r="Q1266" i="3"/>
  <c r="R1266" i="3"/>
  <c r="Q1267" i="3"/>
  <c r="R1267" i="3"/>
  <c r="Q1268" i="3"/>
  <c r="R1268" i="3"/>
  <c r="Q1269" i="3"/>
  <c r="R1269" i="3"/>
  <c r="Q1270" i="3"/>
  <c r="R1270" i="3"/>
  <c r="Q1271" i="3"/>
  <c r="R1271" i="3"/>
  <c r="Q1272" i="3"/>
  <c r="R1272" i="3"/>
  <c r="Q1273" i="3"/>
  <c r="R1273" i="3"/>
  <c r="Q1274" i="3"/>
  <c r="R1274" i="3"/>
  <c r="Q1275" i="3"/>
  <c r="R1275" i="3"/>
  <c r="Q1276" i="3"/>
  <c r="R1276" i="3"/>
  <c r="Q1277" i="3"/>
  <c r="R1277" i="3"/>
  <c r="Q1278" i="3"/>
  <c r="R1278" i="3"/>
  <c r="Q1279" i="3"/>
  <c r="R1279" i="3"/>
  <c r="Q1280" i="3"/>
  <c r="R1280" i="3"/>
  <c r="Q1281" i="3"/>
  <c r="R1281" i="3"/>
  <c r="Q1282" i="3"/>
  <c r="R1282" i="3"/>
  <c r="Q1283" i="3"/>
  <c r="R1283" i="3"/>
  <c r="Q1284" i="3"/>
  <c r="R1284" i="3"/>
  <c r="Q1285" i="3"/>
  <c r="R1285" i="3"/>
  <c r="Q1286" i="3"/>
  <c r="R1286" i="3"/>
  <c r="Q1287" i="3"/>
  <c r="R1287" i="3"/>
  <c r="Q1288" i="3"/>
  <c r="R1288" i="3"/>
  <c r="Q1289" i="3"/>
  <c r="R1289" i="3"/>
  <c r="Q1290" i="3"/>
  <c r="R1290" i="3"/>
  <c r="Q1291" i="3"/>
  <c r="R1291" i="3"/>
  <c r="Q1292" i="3"/>
  <c r="R1292" i="3"/>
  <c r="Q1293" i="3"/>
  <c r="R1293" i="3"/>
  <c r="Q1294" i="3"/>
  <c r="R1294" i="3"/>
  <c r="Q1295" i="3"/>
  <c r="R1295" i="3"/>
  <c r="Q1296" i="3"/>
  <c r="R1296" i="3"/>
  <c r="Q1297" i="3"/>
  <c r="R1297" i="3"/>
  <c r="Q1298" i="3"/>
  <c r="R1298" i="3"/>
  <c r="Q1299" i="3"/>
  <c r="R1299" i="3"/>
  <c r="Q1300" i="3"/>
  <c r="R1300" i="3"/>
  <c r="Q1301" i="3"/>
  <c r="R1301" i="3"/>
  <c r="Q1302" i="3"/>
  <c r="R1302" i="3"/>
  <c r="Q1303" i="3"/>
  <c r="R1303" i="3"/>
  <c r="Q1304" i="3"/>
  <c r="R1304" i="3"/>
  <c r="Q1305" i="3"/>
  <c r="R1305" i="3"/>
  <c r="Q1306" i="3"/>
  <c r="R1306" i="3"/>
  <c r="Q1307" i="3"/>
  <c r="R1307" i="3"/>
  <c r="Q1308" i="3"/>
  <c r="R1308" i="3"/>
  <c r="Q1309" i="3"/>
  <c r="R1309" i="3"/>
  <c r="Q1310" i="3"/>
  <c r="R1310" i="3"/>
  <c r="Q1311" i="3"/>
  <c r="R1311" i="3"/>
  <c r="Q1312" i="3"/>
  <c r="R1312" i="3"/>
  <c r="Q1313" i="3"/>
  <c r="R1313" i="3"/>
  <c r="Q1314" i="3"/>
  <c r="R1314" i="3"/>
  <c r="Q1315" i="3"/>
  <c r="R1315" i="3"/>
  <c r="Q1316" i="3"/>
  <c r="R1316" i="3"/>
  <c r="Q1317" i="3"/>
  <c r="R1317" i="3"/>
  <c r="Q1318" i="3"/>
  <c r="R1318" i="3"/>
  <c r="Q1319" i="3"/>
  <c r="R1319" i="3"/>
  <c r="Q1320" i="3"/>
  <c r="R1320" i="3"/>
  <c r="Q1321" i="3"/>
  <c r="R1321" i="3"/>
  <c r="Q1322" i="3"/>
  <c r="R1322" i="3"/>
  <c r="Q1323" i="3"/>
  <c r="R1323" i="3"/>
  <c r="Q1324" i="3"/>
  <c r="R1324" i="3"/>
  <c r="Q1325" i="3"/>
  <c r="R1325" i="3"/>
  <c r="Q1326" i="3"/>
  <c r="R1326" i="3"/>
  <c r="Q1327" i="3"/>
  <c r="R1327" i="3"/>
  <c r="Q1328" i="3"/>
  <c r="R1328" i="3"/>
  <c r="Q1329" i="3"/>
  <c r="R1329" i="3"/>
  <c r="Q1330" i="3"/>
  <c r="R1330" i="3"/>
  <c r="Q1331" i="3"/>
  <c r="R1331" i="3"/>
  <c r="Q1332" i="3"/>
  <c r="R1332" i="3"/>
  <c r="Q1333" i="3"/>
  <c r="R1333" i="3"/>
  <c r="Q1334" i="3"/>
  <c r="R1334" i="3"/>
  <c r="Q1335" i="3"/>
  <c r="R1335" i="3"/>
  <c r="Q1336" i="3"/>
  <c r="R1336" i="3"/>
  <c r="Q1337" i="3"/>
  <c r="R1337" i="3"/>
  <c r="Q1338" i="3"/>
  <c r="R1338" i="3"/>
  <c r="Q1339" i="3"/>
  <c r="R1339" i="3"/>
  <c r="Q1340" i="3"/>
  <c r="R1340" i="3"/>
  <c r="Q1341" i="3"/>
  <c r="R1341" i="3"/>
  <c r="Q1342" i="3"/>
  <c r="R1342" i="3"/>
  <c r="Q1343" i="3"/>
  <c r="R1343" i="3"/>
  <c r="Q1344" i="3"/>
  <c r="R1344" i="3"/>
  <c r="Q1345" i="3"/>
  <c r="R1345" i="3"/>
  <c r="Q1346" i="3"/>
  <c r="R1346" i="3"/>
  <c r="Q1347" i="3"/>
  <c r="R1347" i="3"/>
  <c r="Q1348" i="3"/>
  <c r="R1348" i="3"/>
  <c r="Q1349" i="3"/>
  <c r="R1349" i="3"/>
  <c r="Q1350" i="3"/>
  <c r="R1350" i="3"/>
  <c r="Q1351" i="3"/>
  <c r="R1351" i="3"/>
  <c r="Q1352" i="3"/>
  <c r="R1352" i="3"/>
  <c r="Q1353" i="3"/>
  <c r="R1353" i="3"/>
  <c r="Q1354" i="3"/>
  <c r="R1354" i="3"/>
  <c r="Q1355" i="3"/>
  <c r="R1355" i="3"/>
  <c r="Q1356" i="3"/>
  <c r="R1356" i="3"/>
  <c r="Q1357" i="3"/>
  <c r="R1357" i="3"/>
  <c r="Q1358" i="3"/>
  <c r="R1358" i="3"/>
  <c r="Q1359" i="3"/>
  <c r="R1359" i="3"/>
  <c r="Q1360" i="3"/>
  <c r="R1360" i="3"/>
  <c r="Q1361" i="3"/>
  <c r="R1361" i="3"/>
  <c r="Q1362" i="3"/>
  <c r="R1362" i="3"/>
  <c r="Q1363" i="3"/>
  <c r="R1363" i="3"/>
  <c r="Q1364" i="3"/>
  <c r="R1364" i="3"/>
  <c r="Q1365" i="3"/>
  <c r="R1365" i="3"/>
  <c r="Q1366" i="3"/>
  <c r="R1366" i="3"/>
  <c r="Q1367" i="3"/>
  <c r="R1367" i="3"/>
  <c r="Q1368" i="3"/>
  <c r="R1368" i="3"/>
  <c r="Q1369" i="3"/>
  <c r="R1369" i="3"/>
  <c r="Q1370" i="3"/>
  <c r="R1370" i="3"/>
  <c r="Q1371" i="3"/>
  <c r="R1371" i="3"/>
  <c r="Q1372" i="3"/>
  <c r="R1372" i="3"/>
  <c r="Q1373" i="3"/>
  <c r="R1373" i="3"/>
  <c r="Q1374" i="3"/>
  <c r="R1374" i="3"/>
  <c r="Q1375" i="3"/>
  <c r="R1375" i="3"/>
  <c r="Q1376" i="3"/>
  <c r="R1376" i="3"/>
  <c r="Q1377" i="3"/>
  <c r="R1377" i="3"/>
  <c r="Q1378" i="3"/>
  <c r="R1378" i="3"/>
  <c r="Q1379" i="3"/>
  <c r="R1379" i="3"/>
  <c r="Q1380" i="3"/>
  <c r="R1380" i="3"/>
  <c r="Q1381" i="3"/>
  <c r="R1381" i="3"/>
  <c r="Q1382" i="3"/>
  <c r="R1382" i="3"/>
  <c r="Q1383" i="3"/>
  <c r="R1383" i="3"/>
  <c r="Q1384" i="3"/>
  <c r="R1384" i="3"/>
  <c r="Q1385" i="3"/>
  <c r="R1385" i="3"/>
  <c r="Q1386" i="3"/>
  <c r="R1386" i="3"/>
  <c r="Q1387" i="3"/>
  <c r="R1387" i="3"/>
  <c r="Q1388" i="3"/>
  <c r="R1388" i="3"/>
  <c r="Q1389" i="3"/>
  <c r="R1389" i="3"/>
  <c r="Q1390" i="3"/>
  <c r="R1390" i="3"/>
  <c r="Q1391" i="3"/>
  <c r="R1391" i="3"/>
  <c r="Q1392" i="3"/>
  <c r="R1392" i="3"/>
  <c r="Q1393" i="3"/>
  <c r="R1393" i="3"/>
  <c r="Q1394" i="3"/>
  <c r="R1394" i="3"/>
  <c r="Q1395" i="3"/>
  <c r="R1395" i="3"/>
  <c r="Q1396" i="3"/>
  <c r="R1396" i="3"/>
  <c r="Q1397" i="3"/>
  <c r="R1397" i="3"/>
  <c r="Q1398" i="3"/>
  <c r="R1398" i="3"/>
  <c r="Q1399" i="3"/>
  <c r="R1399" i="3"/>
  <c r="Q1400" i="3"/>
  <c r="R1400" i="3"/>
  <c r="Q1401" i="3"/>
  <c r="R1401" i="3"/>
  <c r="Q1402" i="3"/>
  <c r="R1402" i="3"/>
  <c r="Q1403" i="3"/>
  <c r="R1403" i="3"/>
  <c r="Q1404" i="3"/>
  <c r="R1404" i="3"/>
  <c r="Q1405" i="3"/>
  <c r="R1405" i="3"/>
  <c r="Q1406" i="3"/>
  <c r="R1406" i="3"/>
  <c r="Q1407" i="3"/>
  <c r="R1407" i="3"/>
  <c r="Q1408" i="3"/>
  <c r="R1408" i="3"/>
  <c r="Q1409" i="3"/>
  <c r="R1409" i="3"/>
  <c r="Q1410" i="3"/>
  <c r="R1410" i="3"/>
  <c r="Q1411" i="3"/>
  <c r="R1411" i="3"/>
  <c r="Q1412" i="3"/>
  <c r="R1412" i="3"/>
  <c r="Q1413" i="3"/>
  <c r="R1413" i="3"/>
  <c r="Q1414" i="3"/>
  <c r="R1414" i="3"/>
  <c r="Q1415" i="3"/>
  <c r="R1415" i="3"/>
  <c r="Q1416" i="3"/>
  <c r="R1416" i="3"/>
  <c r="Q1417" i="3"/>
  <c r="R1417" i="3"/>
  <c r="Q1418" i="3"/>
  <c r="R1418" i="3"/>
  <c r="Q1419" i="3"/>
  <c r="R1419" i="3"/>
  <c r="Q1420" i="3"/>
  <c r="R1420" i="3"/>
  <c r="Q1421" i="3"/>
  <c r="R1421" i="3"/>
  <c r="Q1422" i="3"/>
  <c r="R1422" i="3"/>
  <c r="Q1423" i="3"/>
  <c r="R1423" i="3"/>
  <c r="Q1424" i="3"/>
  <c r="R1424" i="3"/>
  <c r="Q1425" i="3"/>
  <c r="R1425" i="3"/>
  <c r="Q1426" i="3"/>
  <c r="R1426" i="3"/>
  <c r="Q1427" i="3"/>
  <c r="R1427" i="3"/>
  <c r="Q1428" i="3"/>
  <c r="R1428" i="3"/>
  <c r="Q1429" i="3"/>
  <c r="R1429" i="3"/>
  <c r="Q1430" i="3"/>
  <c r="R1430" i="3"/>
  <c r="Q1431" i="3"/>
  <c r="R1431" i="3"/>
  <c r="Q1432" i="3"/>
  <c r="R1432" i="3"/>
  <c r="Q1433" i="3"/>
  <c r="R1433" i="3"/>
  <c r="Q1434" i="3"/>
  <c r="R1434" i="3"/>
  <c r="Q1435" i="3"/>
  <c r="R1435" i="3"/>
  <c r="Q1436" i="3"/>
  <c r="R1436" i="3"/>
  <c r="Q1437" i="3"/>
  <c r="R1437" i="3"/>
  <c r="Q1438" i="3"/>
  <c r="R1438" i="3"/>
  <c r="Q1439" i="3"/>
  <c r="R1439" i="3"/>
  <c r="Q1440" i="3"/>
  <c r="R1440" i="3"/>
  <c r="Q1441" i="3"/>
  <c r="R1441" i="3"/>
  <c r="Q1442" i="3"/>
  <c r="R1442" i="3"/>
  <c r="Q1443" i="3"/>
  <c r="R1443" i="3"/>
  <c r="Q1444" i="3"/>
  <c r="R1444" i="3"/>
  <c r="Q1445" i="3"/>
  <c r="R1445" i="3"/>
  <c r="Q1446" i="3"/>
  <c r="R1446" i="3"/>
  <c r="Q1447" i="3"/>
  <c r="R1447" i="3"/>
  <c r="Q1448" i="3"/>
  <c r="R1448" i="3"/>
  <c r="Q1449" i="3"/>
  <c r="R1449" i="3"/>
  <c r="Q1450" i="3"/>
  <c r="R1450" i="3"/>
  <c r="Q1451" i="3"/>
  <c r="R1451" i="3"/>
  <c r="Q1452" i="3"/>
  <c r="R1452" i="3"/>
  <c r="Q1453" i="3"/>
  <c r="R1453" i="3"/>
  <c r="Q1454" i="3"/>
  <c r="R1454" i="3"/>
  <c r="Q1455" i="3"/>
  <c r="R1455" i="3"/>
  <c r="Q1456" i="3"/>
  <c r="R1456" i="3"/>
  <c r="Q1457" i="3"/>
  <c r="R1457" i="3"/>
  <c r="Q1458" i="3"/>
  <c r="R1458" i="3"/>
  <c r="Q1459" i="3"/>
  <c r="R1459" i="3"/>
  <c r="Q1460" i="3"/>
  <c r="R1460" i="3"/>
  <c r="Q1461" i="3"/>
  <c r="R1461" i="3"/>
  <c r="Q1462" i="3"/>
  <c r="R1462" i="3"/>
  <c r="Q1463" i="3"/>
  <c r="R1463" i="3"/>
  <c r="Q1464" i="3"/>
  <c r="R1464" i="3"/>
  <c r="Q1465" i="3"/>
  <c r="R1465" i="3"/>
  <c r="Q1466" i="3"/>
  <c r="R1466" i="3"/>
  <c r="Q1467" i="3"/>
  <c r="R1467" i="3"/>
  <c r="Q1468" i="3"/>
  <c r="R1468" i="3"/>
  <c r="Q1469" i="3"/>
  <c r="R1469" i="3"/>
  <c r="Q1470" i="3"/>
  <c r="R1470" i="3"/>
  <c r="Q1471" i="3"/>
  <c r="R1471" i="3"/>
  <c r="Q1472" i="3"/>
  <c r="R1472" i="3"/>
  <c r="Q1473" i="3"/>
  <c r="R1473" i="3"/>
  <c r="Q1474" i="3"/>
  <c r="R1474" i="3"/>
  <c r="Q1475" i="3"/>
  <c r="R1475" i="3"/>
  <c r="Q1476" i="3"/>
  <c r="R1476" i="3"/>
  <c r="Q1477" i="3"/>
  <c r="R1477" i="3"/>
  <c r="Q1478" i="3"/>
  <c r="R1478" i="3"/>
  <c r="Q1479" i="3"/>
  <c r="R1479" i="3"/>
  <c r="Q1480" i="3"/>
  <c r="R1480" i="3"/>
  <c r="Q1481" i="3"/>
  <c r="R1481" i="3"/>
  <c r="Q1482" i="3"/>
  <c r="R1482" i="3"/>
  <c r="Q1483" i="3"/>
  <c r="R1483" i="3"/>
  <c r="Q1484" i="3"/>
  <c r="R1484" i="3"/>
  <c r="Q1485" i="3"/>
  <c r="R1485" i="3"/>
  <c r="Q1486" i="3"/>
  <c r="R1486" i="3"/>
  <c r="Q1487" i="3"/>
  <c r="R1487" i="3"/>
  <c r="Q1488" i="3"/>
  <c r="R1488" i="3"/>
  <c r="Q1489" i="3"/>
  <c r="R1489" i="3"/>
  <c r="Q1490" i="3"/>
  <c r="R1490" i="3"/>
  <c r="Q1491" i="3"/>
  <c r="R1491" i="3"/>
  <c r="Q1492" i="3"/>
  <c r="R1492" i="3"/>
  <c r="Q1493" i="3"/>
  <c r="R1493" i="3"/>
  <c r="Q1494" i="3"/>
  <c r="R1494" i="3"/>
  <c r="Q1495" i="3"/>
  <c r="R1495" i="3"/>
  <c r="Q1496" i="3"/>
  <c r="R1496" i="3"/>
  <c r="Q1497" i="3"/>
  <c r="R1497" i="3"/>
  <c r="Q1498" i="3"/>
  <c r="R1498" i="3"/>
  <c r="Q1499" i="3"/>
  <c r="R1499" i="3"/>
  <c r="Q1500" i="3"/>
  <c r="R1500" i="3"/>
  <c r="Q1501" i="3"/>
  <c r="R1501" i="3"/>
  <c r="Q1502" i="3"/>
  <c r="R1502" i="3"/>
  <c r="Q1503" i="3"/>
  <c r="R1503" i="3"/>
  <c r="Q1504" i="3"/>
  <c r="R1504" i="3"/>
  <c r="Q1505" i="3"/>
  <c r="R1505" i="3"/>
  <c r="Q1506" i="3"/>
  <c r="R1506" i="3"/>
  <c r="Q1507" i="3"/>
  <c r="R1507" i="3"/>
  <c r="Q1508" i="3"/>
  <c r="R1508" i="3"/>
  <c r="Q1509" i="3"/>
  <c r="R1509" i="3"/>
  <c r="Q1510" i="3"/>
  <c r="R1510" i="3"/>
  <c r="Q1511" i="3"/>
  <c r="R1511" i="3"/>
  <c r="Q1512" i="3"/>
  <c r="R1512" i="3"/>
  <c r="Q1513" i="3"/>
  <c r="R1513" i="3"/>
  <c r="Q1514" i="3"/>
  <c r="R1514" i="3"/>
  <c r="Q1515" i="3"/>
  <c r="R1515" i="3"/>
  <c r="Q1516" i="3"/>
  <c r="R1516" i="3"/>
  <c r="Q1517" i="3"/>
  <c r="R1517" i="3"/>
  <c r="Q1518" i="3"/>
  <c r="R1518" i="3"/>
  <c r="Q1519" i="3"/>
  <c r="R1519" i="3"/>
  <c r="Q1520" i="3"/>
  <c r="R1520" i="3"/>
  <c r="Q1521" i="3"/>
  <c r="R1521" i="3"/>
  <c r="Q1522" i="3"/>
  <c r="R1522" i="3"/>
  <c r="Q1523" i="3"/>
  <c r="R1523" i="3"/>
  <c r="Q1524" i="3"/>
  <c r="R1524" i="3"/>
  <c r="Q1525" i="3"/>
  <c r="R1525" i="3"/>
  <c r="Q1526" i="3"/>
  <c r="R1526" i="3"/>
  <c r="Q1527" i="3"/>
  <c r="R1527" i="3"/>
  <c r="Q1528" i="3"/>
  <c r="R1528" i="3"/>
  <c r="Q1529" i="3"/>
  <c r="R1529" i="3"/>
  <c r="Q1530" i="3"/>
  <c r="R1530" i="3"/>
  <c r="Q1531" i="3"/>
  <c r="R1531" i="3"/>
  <c r="Q1532" i="3"/>
  <c r="R1532" i="3"/>
  <c r="Q1533" i="3"/>
  <c r="R1533" i="3"/>
  <c r="Q1534" i="3"/>
  <c r="R1534" i="3"/>
  <c r="Q1535" i="3"/>
  <c r="R1535" i="3"/>
  <c r="Q1536" i="3"/>
  <c r="R1536" i="3"/>
  <c r="Q1537" i="3"/>
  <c r="R1537" i="3"/>
  <c r="R2" i="3"/>
  <c r="Q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 r="O1438" i="3"/>
  <c r="O1439" i="3"/>
  <c r="O1440" i="3"/>
  <c r="O1441" i="3"/>
  <c r="O1442" i="3"/>
  <c r="O1443" i="3"/>
  <c r="O1444" i="3"/>
  <c r="O1445" i="3"/>
  <c r="O1446" i="3"/>
  <c r="O1447" i="3"/>
  <c r="O1448" i="3"/>
  <c r="O1449" i="3"/>
  <c r="O1450" i="3"/>
  <c r="O1451" i="3"/>
  <c r="O1452" i="3"/>
  <c r="O1453" i="3"/>
  <c r="O1454" i="3"/>
  <c r="O1455" i="3"/>
  <c r="O1456" i="3"/>
  <c r="O1457" i="3"/>
  <c r="O1458" i="3"/>
  <c r="O1459" i="3"/>
  <c r="O1460" i="3"/>
  <c r="O1461" i="3"/>
  <c r="O1462" i="3"/>
  <c r="O1463" i="3"/>
  <c r="O1464" i="3"/>
  <c r="O1465" i="3"/>
  <c r="O1466" i="3"/>
  <c r="O1467" i="3"/>
  <c r="O1468" i="3"/>
  <c r="O1469" i="3"/>
  <c r="O1470" i="3"/>
  <c r="O1471" i="3"/>
  <c r="O1472" i="3"/>
  <c r="O1473" i="3"/>
  <c r="O1474" i="3"/>
  <c r="O1475" i="3"/>
  <c r="O1476" i="3"/>
  <c r="O1477" i="3"/>
  <c r="O1478" i="3"/>
  <c r="O1479" i="3"/>
  <c r="O1480" i="3"/>
  <c r="O1481" i="3"/>
  <c r="O1482" i="3"/>
  <c r="O1483" i="3"/>
  <c r="O1484" i="3"/>
  <c r="O1485" i="3"/>
  <c r="O1486" i="3"/>
  <c r="O1487" i="3"/>
  <c r="O1488" i="3"/>
  <c r="O1489" i="3"/>
  <c r="O1490" i="3"/>
  <c r="O1491" i="3"/>
  <c r="O1492" i="3"/>
  <c r="O1493" i="3"/>
  <c r="O1494" i="3"/>
  <c r="O1495" i="3"/>
  <c r="O1496" i="3"/>
  <c r="O1497" i="3"/>
  <c r="O1498" i="3"/>
  <c r="O1499" i="3"/>
  <c r="O1500" i="3"/>
  <c r="O1501" i="3"/>
  <c r="O1502" i="3"/>
  <c r="O1503" i="3"/>
  <c r="O1504" i="3"/>
  <c r="O1505" i="3"/>
  <c r="O1506" i="3"/>
  <c r="O1507" i="3"/>
  <c r="O1508" i="3"/>
  <c r="O1509" i="3"/>
  <c r="O1510" i="3"/>
  <c r="O1511" i="3"/>
  <c r="O1512" i="3"/>
  <c r="O1513" i="3"/>
  <c r="O1514" i="3"/>
  <c r="O1515" i="3"/>
  <c r="O1516" i="3"/>
  <c r="O1517" i="3"/>
  <c r="O1518" i="3"/>
  <c r="O1519" i="3"/>
  <c r="O1520" i="3"/>
  <c r="O1521" i="3"/>
  <c r="O1522" i="3"/>
  <c r="O1523" i="3"/>
  <c r="O1524" i="3"/>
  <c r="O1525" i="3"/>
  <c r="O1526" i="3"/>
  <c r="O1527" i="3"/>
  <c r="O1528" i="3"/>
  <c r="O1529" i="3"/>
  <c r="O1530" i="3"/>
  <c r="O1531" i="3"/>
  <c r="O1532" i="3"/>
  <c r="O1533" i="3"/>
  <c r="O1534" i="3"/>
  <c r="O1535" i="3"/>
  <c r="O1536" i="3"/>
  <c r="O1537" i="3"/>
  <c r="O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Gabriela Alejandra Alvarado Jiménez</author>
    <author>Marcos Estuardo Palacios Peraza</author>
  </authors>
  <commentList>
    <comment ref="A2" authorId="0" shapeId="0" xr:uid="{F21B104C-EFB5-4761-9908-6381DCB8EB5F}">
      <text>
        <r>
          <rPr>
            <b/>
            <sz val="9"/>
            <color indexed="81"/>
            <rFont val="Tahoma"/>
            <family val="2"/>
          </rPr>
          <t>Gabriela Alejandra Alvarado Jiménez:</t>
        </r>
        <r>
          <rPr>
            <sz val="9"/>
            <color indexed="81"/>
            <rFont val="Tahoma"/>
            <family val="2"/>
          </rPr>
          <t xml:space="preserve">
Clave que indica a qué ramo industrial se encuentra asignado el material. Para ENERGIA siempre es E</t>
        </r>
      </text>
    </comment>
    <comment ref="B2" authorId="0" shapeId="0" xr:uid="{1F130398-59BB-400C-9ACF-AD3354E53DF4}">
      <text>
        <r>
          <rPr>
            <b/>
            <sz val="9"/>
            <color indexed="81"/>
            <rFont val="Tahoma"/>
            <family val="2"/>
          </rPr>
          <t>Gabriela Alejandra Alvarado Jiménez:</t>
        </r>
        <r>
          <rPr>
            <sz val="9"/>
            <color indexed="81"/>
            <rFont val="Tahoma"/>
            <family val="2"/>
          </rPr>
          <t xml:space="preserve">
Clave que asigna el material a un grupo de materiales.
El tipo de material establece determinadas propiedades del material y desempeña importantes funciones de control.
</t>
        </r>
      </text>
    </comment>
    <comment ref="C2" authorId="0" shapeId="0" xr:uid="{6007DDDE-3CED-40A8-B059-06CDA9DA0110}">
      <text>
        <r>
          <rPr>
            <b/>
            <sz val="9"/>
            <color indexed="81"/>
            <rFont val="Tahoma"/>
            <family val="2"/>
          </rPr>
          <t>Gabriela Alejandra Alvarado Jiménez:</t>
        </r>
        <r>
          <rPr>
            <sz val="9"/>
            <color indexed="81"/>
            <rFont val="Tahoma"/>
            <family val="2"/>
          </rPr>
          <t xml:space="preserve">
Texto de hasta 40 posiciones que designa más detalladamente el material. El texto breve del material equivale a la denominación del material.</t>
        </r>
      </text>
    </comment>
    <comment ref="D2" authorId="0" shapeId="0" xr:uid="{4B0C7BE0-9136-426B-8447-54467EAE66CB}">
      <text>
        <r>
          <rPr>
            <b/>
            <sz val="9"/>
            <color indexed="81"/>
            <rFont val="Tahoma"/>
            <family val="2"/>
          </rPr>
          <t>Gabriela Alejandra Alvarado Jiménez:</t>
        </r>
        <r>
          <rPr>
            <sz val="9"/>
            <color indexed="81"/>
            <rFont val="Tahoma"/>
            <family val="2"/>
          </rPr>
          <t xml:space="preserve">
Unidad de medida en que se gestiona el stock de material. En la unidad de medida base, el sistema convierte todas las cantidades que el usuario registra en otras unidades de medida (unidades de medida alternativas).</t>
        </r>
      </text>
    </comment>
    <comment ref="K2" authorId="0" shapeId="0" xr:uid="{FA3D48FB-F436-400B-AA5A-0F4113D4DD51}">
      <text>
        <r>
          <rPr>
            <b/>
            <sz val="9"/>
            <color indexed="81"/>
            <rFont val="Tahoma"/>
            <family val="2"/>
          </rPr>
          <t>Gabriela Alejandra Alvarado Jiménez:</t>
        </r>
        <r>
          <rPr>
            <sz val="9"/>
            <color indexed="81"/>
            <rFont val="Tahoma"/>
            <family val="2"/>
          </rPr>
          <t xml:space="preserve">
Clave que identifica un centro de forma unívoca. Corresponde al centro logístico, punto de venta o planta.</t>
        </r>
      </text>
    </comment>
    <comment ref="M2" authorId="0" shapeId="0" xr:uid="{64D5EC8E-B8C9-4B13-B9EC-FB73B4EE34AE}">
      <text>
        <r>
          <rPr>
            <b/>
            <sz val="9"/>
            <color indexed="81"/>
            <rFont val="Tahoma"/>
            <family val="2"/>
          </rPr>
          <t>Gabriela Alejandra Alvarado Jiménez:</t>
        </r>
        <r>
          <rPr>
            <sz val="9"/>
            <color indexed="81"/>
            <rFont val="Tahoma"/>
            <family val="2"/>
          </rPr>
          <t xml:space="preserve">
Identificador de impuesto del material.</t>
        </r>
      </text>
    </comment>
    <comment ref="P2" authorId="0" shapeId="0" xr:uid="{CD2160B8-E5EA-4519-8127-21AD0D9FA202}">
      <text>
        <r>
          <rPr>
            <b/>
            <sz val="9"/>
            <color indexed="81"/>
            <rFont val="Tahoma"/>
            <family val="2"/>
          </rPr>
          <t>Gabriela Alejandra Alvarado Jiménez:</t>
        </r>
        <r>
          <rPr>
            <sz val="9"/>
            <color indexed="81"/>
            <rFont val="Tahoma"/>
            <family val="2"/>
          </rPr>
          <t xml:space="preserve">
Clave que identifica un almacén de forma unívoca.</t>
        </r>
      </text>
    </comment>
    <comment ref="AB2" authorId="0" shapeId="0" xr:uid="{6D25D347-0EE0-461A-8BCE-0AAD1E80B383}">
      <text>
        <r>
          <rPr>
            <b/>
            <sz val="9"/>
            <color indexed="81"/>
            <rFont val="Tahoma"/>
            <family val="2"/>
          </rPr>
          <t>Gabriela Alejandra Alvarado Jiménez:</t>
        </r>
        <r>
          <rPr>
            <sz val="9"/>
            <color indexed="81"/>
            <rFont val="Tahoma"/>
            <family val="2"/>
          </rPr>
          <t xml:space="preserve">
Clave que identifica un almacén de forma unívoca.</t>
        </r>
      </text>
    </comment>
    <comment ref="AC2" authorId="1" shapeId="0" xr:uid="{D5B09ED9-E583-46AB-BDCC-0F71A2AC9DB3}">
      <text>
        <r>
          <rPr>
            <b/>
            <sz val="9"/>
            <color indexed="81"/>
            <rFont val="Tahoma"/>
            <family val="2"/>
          </rPr>
          <t>Marcos Estuardo Palacios Peraza:</t>
        </r>
        <r>
          <rPr>
            <sz val="9"/>
            <color indexed="81"/>
            <rFont val="Tahoma"/>
            <family val="2"/>
          </rPr>
          <t xml:space="preserve">
Clave que identifica un almacén de forma unívoca.</t>
        </r>
      </text>
    </comment>
    <comment ref="AI2" authorId="0" shapeId="0" xr:uid="{627FC27A-D3C4-4743-BA31-ADDEA41B8AC7}">
      <text>
        <r>
          <rPr>
            <b/>
            <sz val="9"/>
            <color indexed="81"/>
            <rFont val="Tahoma"/>
            <family val="2"/>
          </rPr>
          <t>Gabriela Alejandra Alvarado Jiménez:</t>
        </r>
        <r>
          <rPr>
            <sz val="9"/>
            <color indexed="81"/>
            <rFont val="Tahoma"/>
            <family val="2"/>
          </rPr>
          <t xml:space="preserve">
Texto largo de material asignado para la compra, en este texto se amplía la información del material.</t>
        </r>
      </text>
    </comment>
  </commentList>
</comments>
</file>

<file path=xl/sharedStrings.xml><?xml version="1.0" encoding="utf-8"?>
<sst xmlns="http://schemas.openxmlformats.org/spreadsheetml/2006/main" count="16985" uniqueCount="4625">
  <si>
    <t>Vista_Datos 1</t>
  </si>
  <si>
    <t>Vista_Datos 2</t>
  </si>
  <si>
    <t>Vista_Compras</t>
  </si>
  <si>
    <t>Vista_Dat.ce/Almacenam.2</t>
  </si>
  <si>
    <t>Vista_Contabilidad 1</t>
  </si>
  <si>
    <t>Ramo</t>
  </si>
  <si>
    <t>Tipo de material</t>
  </si>
  <si>
    <r>
      <t xml:space="preserve">Texto breve de material
</t>
    </r>
    <r>
      <rPr>
        <b/>
        <sz val="8.4499999999999993"/>
        <color theme="5" tint="-0.249977111117893"/>
        <rFont val="Century Gothic"/>
        <family val="2"/>
      </rPr>
      <t>(máximo 40 caracteres)</t>
    </r>
  </si>
  <si>
    <t>Texto largo de material</t>
  </si>
  <si>
    <t>Unidad de medida base</t>
  </si>
  <si>
    <r>
      <t xml:space="preserve">Grupo de artículos
</t>
    </r>
    <r>
      <rPr>
        <b/>
        <sz val="8.4499999999999993"/>
        <color rgb="FF0070C0"/>
        <rFont val="Century Gothic"/>
        <family val="2"/>
      </rPr>
      <t>COMPLETA DATOS MAESTROS</t>
    </r>
  </si>
  <si>
    <r>
      <t xml:space="preserve">Sector
</t>
    </r>
    <r>
      <rPr>
        <b/>
        <sz val="8.4499999999999993"/>
        <color rgb="FF0070C0"/>
        <rFont val="Century Gothic"/>
        <family val="2"/>
      </rPr>
      <t>COMPLETA DATOS MAESTROS</t>
    </r>
  </si>
  <si>
    <r>
      <t xml:space="preserve">Información de fabricación/inspección
</t>
    </r>
    <r>
      <rPr>
        <b/>
        <sz val="8.4499999999999993"/>
        <color rgb="FF0070C0"/>
        <rFont val="Century Gothic"/>
        <family val="2"/>
      </rPr>
      <t>COMPLETA DATOS MAESTROS</t>
    </r>
  </si>
  <si>
    <r>
      <t xml:space="preserve">Denominación de estándar
</t>
    </r>
    <r>
      <rPr>
        <b/>
        <sz val="8.4499999999999993"/>
        <color rgb="FF0070C0"/>
        <rFont val="Century Gothic"/>
        <family val="2"/>
      </rPr>
      <t>COMPLETA DATOS MAESTROS</t>
    </r>
  </si>
  <si>
    <r>
      <t xml:space="preserve">Materia
</t>
    </r>
    <r>
      <rPr>
        <b/>
        <sz val="8.4499999999999993"/>
        <color rgb="FF0070C0"/>
        <rFont val="Century Gothic"/>
        <family val="2"/>
      </rPr>
      <t>COMPLETA DATOS MAESTROS</t>
    </r>
  </si>
  <si>
    <t>Centro</t>
  </si>
  <si>
    <r>
      <t xml:space="preserve">Grupo de compras
</t>
    </r>
    <r>
      <rPr>
        <b/>
        <sz val="8.4499999999999993"/>
        <color rgb="FF0070C0"/>
        <rFont val="Century Gothic"/>
        <family val="2"/>
      </rPr>
      <t>COMPLETA DATOS MAESTROS</t>
    </r>
  </si>
  <si>
    <r>
      <t xml:space="preserve">Tmpo. Tratamiento EM
</t>
    </r>
    <r>
      <rPr>
        <b/>
        <sz val="8.4499999999999993"/>
        <color rgb="FF0070C0"/>
        <rFont val="Century Gothic"/>
        <family val="2"/>
      </rPr>
      <t>COMPLETA DATOS MAESTROS</t>
    </r>
  </si>
  <si>
    <r>
      <t xml:space="preserve">Ind. Ped.autom.
</t>
    </r>
    <r>
      <rPr>
        <b/>
        <sz val="8.4499999999999993"/>
        <color rgb="FF0070C0"/>
        <rFont val="Century Gothic"/>
        <family val="2"/>
      </rPr>
      <t>COMPLETA DATOS MAESTROS</t>
    </r>
  </si>
  <si>
    <t>ID de impuestos material</t>
  </si>
  <si>
    <t>Almacén</t>
  </si>
  <si>
    <t xml:space="preserve"> Numero Almacen</t>
  </si>
  <si>
    <t>Tipo de Almacen</t>
  </si>
  <si>
    <r>
      <t xml:space="preserve">Centro de beneficio
</t>
    </r>
    <r>
      <rPr>
        <b/>
        <sz val="8.4499999999999993"/>
        <color rgb="FF0070C0"/>
        <rFont val="Century Gothic"/>
        <family val="2"/>
      </rPr>
      <t>COMPLETA DATOS MAESTROS</t>
    </r>
  </si>
  <si>
    <r>
      <t xml:space="preserve">Categoría de valoración
</t>
    </r>
    <r>
      <rPr>
        <b/>
        <sz val="8.4499999999999993"/>
        <color rgb="FF0070C0"/>
        <rFont val="Century Gothic"/>
        <family val="2"/>
      </rPr>
      <t>COMPLETA DATOS MAESTROS</t>
    </r>
  </si>
  <si>
    <r>
      <t xml:space="preserve">Indicador de control de precios
</t>
    </r>
    <r>
      <rPr>
        <b/>
        <sz val="8.4499999999999993"/>
        <color rgb="FF0070C0"/>
        <rFont val="Century Gothic"/>
        <family val="2"/>
      </rPr>
      <t>COMPLETA DATOS MAESTROS</t>
    </r>
  </si>
  <si>
    <r>
      <t xml:space="preserve">Tipo de valoración 
</t>
    </r>
    <r>
      <rPr>
        <b/>
        <sz val="8.4499999999999993"/>
        <color rgb="FF0070C0"/>
        <rFont val="Century Gothic"/>
        <family val="2"/>
      </rPr>
      <t>COMPLETA DATOS MAESTROS</t>
    </r>
  </si>
  <si>
    <r>
      <t xml:space="preserve">Clase de valoración 
</t>
    </r>
    <r>
      <rPr>
        <b/>
        <sz val="8.4499999999999993"/>
        <color rgb="FF0070C0"/>
        <rFont val="Century Gothic"/>
        <family val="2"/>
      </rPr>
      <t>COMPLETA DATOS MAESTROS</t>
    </r>
  </si>
  <si>
    <t>Observaciones</t>
  </si>
  <si>
    <t>086295</t>
  </si>
  <si>
    <t>X</t>
  </si>
  <si>
    <t>ND</t>
  </si>
  <si>
    <t>V</t>
  </si>
  <si>
    <t>Y2</t>
  </si>
  <si>
    <t>81112000 - Servicio de datos</t>
  </si>
  <si>
    <t>DIEN - Servicio</t>
  </si>
  <si>
    <t>10 - Energía</t>
  </si>
  <si>
    <t>E - Energía</t>
  </si>
  <si>
    <t>SER807000 - Administrativos</t>
  </si>
  <si>
    <t>DEN</t>
  </si>
  <si>
    <t/>
  </si>
  <si>
    <t>CMI06100200 - Servicios Especializados</t>
  </si>
  <si>
    <t>060475 - SERVICIOS</t>
  </si>
  <si>
    <t>SERVICIOS</t>
  </si>
  <si>
    <t>060475</t>
  </si>
  <si>
    <t>27120000 - Maquinaria y equipo hidráulico</t>
  </si>
  <si>
    <t>ZRPI - Repuestos Industriales</t>
  </si>
  <si>
    <t>MAQ351000 - Maquinaria</t>
  </si>
  <si>
    <t>CMI06070700 - Mantto Maquinaria y Equipo</t>
  </si>
  <si>
    <t>ZMAQ - Maquinaria</t>
  </si>
  <si>
    <t>TANQUE:COMBUSTIBLE</t>
  </si>
  <si>
    <t>015237</t>
  </si>
  <si>
    <t>41113708 - Medidores de energía</t>
  </si>
  <si>
    <t>50 - Otros</t>
  </si>
  <si>
    <t>REP201100 - Rpto.Ind/Mecánicos</t>
  </si>
  <si>
    <t>CMI02140300 - Herramienta de Medición</t>
  </si>
  <si>
    <t>ACELEROMETRO:ELECTRICO</t>
  </si>
  <si>
    <t>034348</t>
  </si>
  <si>
    <t>12131502 - Cartuchos explosivos</t>
  </si>
  <si>
    <t>ZSUM - Suministros e Insumos</t>
  </si>
  <si>
    <t>SUM231200 - Consumibles</t>
  </si>
  <si>
    <t>CMI05010800 - Químico</t>
  </si>
  <si>
    <t>POLVORA</t>
  </si>
  <si>
    <t>001111</t>
  </si>
  <si>
    <t>ZRPA - Repuestos Automotriz</t>
  </si>
  <si>
    <t>ESCI_004822</t>
  </si>
  <si>
    <t>004822</t>
  </si>
  <si>
    <t>56112100 - Asientos</t>
  </si>
  <si>
    <t>ZMOB - Mobiliario</t>
  </si>
  <si>
    <t>MOB361000 - Mobiliario/Oficina</t>
  </si>
  <si>
    <t>CMI01030400 - Otro-Mobiliario</t>
  </si>
  <si>
    <t>SILLA:COMEDOR</t>
  </si>
  <si>
    <t>053703</t>
  </si>
  <si>
    <t>49201516 - Bicicletas elípticas</t>
  </si>
  <si>
    <t>CMI02170300 - Otros-Suministros Personal</t>
  </si>
  <si>
    <t>EQUIPO:AEROBICO;ELIPTICA</t>
  </si>
  <si>
    <t>051996</t>
  </si>
  <si>
    <t>41113600 - Equipo de medición y comprobación eléctrica</t>
  </si>
  <si>
    <t>CMI02090400 - Electrónicos</t>
  </si>
  <si>
    <t>EQUIPO:PRUEBA</t>
  </si>
  <si>
    <t>012288</t>
  </si>
  <si>
    <t>20122903 - Unidades de registrar datos de superficie</t>
  </si>
  <si>
    <t>UNIDAD:REGISTRO;DATOS</t>
  </si>
  <si>
    <t>009007</t>
  </si>
  <si>
    <t>44111503 - Organizadores o bandejas para el escritorio</t>
  </si>
  <si>
    <t>SUM231500 - Herramienta Manual</t>
  </si>
  <si>
    <t>CMI02160300 - Suministros Ofi-Consumibles</t>
  </si>
  <si>
    <t>TABLA SOPORTE:ESCRITURA</t>
  </si>
  <si>
    <t>059785</t>
  </si>
  <si>
    <t>42211812 - Media o ayudas para apilar para los discapacitados físicamente</t>
  </si>
  <si>
    <t>ZSEG - Uniformes/Equipos/Segurid</t>
  </si>
  <si>
    <t>SEG221100 - Uniformes</t>
  </si>
  <si>
    <t>CMI02170400 - Uniformes</t>
  </si>
  <si>
    <t>CALCETIN:DIABETICO</t>
  </si>
  <si>
    <t>053894</t>
  </si>
  <si>
    <t>CMI02160100 - Papelería y Útiles</t>
  </si>
  <si>
    <t>PAPEL:CARTULINA</t>
  </si>
  <si>
    <t>046312</t>
  </si>
  <si>
    <t>BANDEJA:CORRESPONDENCIA</t>
  </si>
  <si>
    <t>043670</t>
  </si>
  <si>
    <t>56101529 - Revisteros</t>
  </si>
  <si>
    <t>REVISTERO</t>
  </si>
  <si>
    <t>042473</t>
  </si>
  <si>
    <t>11111600 - Piedra</t>
  </si>
  <si>
    <t>ZCON - Materiales d/Construcción</t>
  </si>
  <si>
    <t>CON252100 - Piedrín y Arena</t>
  </si>
  <si>
    <t>PIEDRA</t>
  </si>
  <si>
    <t>015420</t>
  </si>
  <si>
    <t>44121600 - Suministros de escritorio</t>
  </si>
  <si>
    <t>SUMINISTROS:ESCRITORIO</t>
  </si>
  <si>
    <t>056424</t>
  </si>
  <si>
    <t>14111703 - Toallas de papel</t>
  </si>
  <si>
    <t>CMI02130100 - Insumos de Papel para baños</t>
  </si>
  <si>
    <t>TOALLA:PAPEL</t>
  </si>
  <si>
    <t>047980</t>
  </si>
  <si>
    <t>44122002 - Protectores de hojas</t>
  </si>
  <si>
    <t>PROTECTOR:HOJA</t>
  </si>
  <si>
    <t>044029</t>
  </si>
  <si>
    <t>21111500 - Equipo de pesca comercial</t>
  </si>
  <si>
    <t>MANUFACTURAS:PESCA COMERCIAL</t>
  </si>
  <si>
    <t>056388</t>
  </si>
  <si>
    <t>60105622 - Simuladores para fumar</t>
  </si>
  <si>
    <t>ZEQU - Equipo</t>
  </si>
  <si>
    <t>EQU341000 - Equipo Industrial</t>
  </si>
  <si>
    <t>SIMULADOR:HUMO</t>
  </si>
  <si>
    <t>053875</t>
  </si>
  <si>
    <t>51142001 - Acetaminofén</t>
  </si>
  <si>
    <t>CMI02150100 - Medica-Suministros Medicos</t>
  </si>
  <si>
    <t>PARACETAMOL:TABLETAS</t>
  </si>
  <si>
    <t>029183</t>
  </si>
  <si>
    <t>43211900 - Monitores y pantallas de computador</t>
  </si>
  <si>
    <t>MONITOR:CONTROL</t>
  </si>
  <si>
    <t>016013</t>
  </si>
  <si>
    <t>40183100 - Accesorios de tubos</t>
  </si>
  <si>
    <t>ZTUB - Tubería y accesorios</t>
  </si>
  <si>
    <t>TUB291500 - Accesorios PVC</t>
  </si>
  <si>
    <t>CMI02200400 - Tuberías PVC</t>
  </si>
  <si>
    <t>VUELTA:TUBO</t>
  </si>
  <si>
    <t>0010799</t>
  </si>
  <si>
    <t>51102724 - Cloruro de benzalconio</t>
  </si>
  <si>
    <t>SUM301100 - Útiles de oficina</t>
  </si>
  <si>
    <t>CMI02150200 - Otros-Suministros Médicos</t>
  </si>
  <si>
    <t>ANTISEPTICO</t>
  </si>
  <si>
    <t>888931</t>
  </si>
  <si>
    <t>60121012 - Adhesivos decorativos</t>
  </si>
  <si>
    <t>STICKER</t>
  </si>
  <si>
    <t>089264</t>
  </si>
  <si>
    <t>51000000 - Medicamentos y Productos Farma</t>
  </si>
  <si>
    <t>MEDICINA</t>
  </si>
  <si>
    <t>087990</t>
  </si>
  <si>
    <t>50180000 - Productos de panadería</t>
  </si>
  <si>
    <t>CMI02061200 - Panificables-Azúcar</t>
  </si>
  <si>
    <t>PRODUCTOS:HORNEAR</t>
  </si>
  <si>
    <t>059037</t>
  </si>
  <si>
    <t>50181709 - Suministros para hornear</t>
  </si>
  <si>
    <t>CMI02060800 - Levadura</t>
  </si>
  <si>
    <t>LEVADURA:HORNEAR</t>
  </si>
  <si>
    <t>050110</t>
  </si>
  <si>
    <t>50151514 - Grasas saturdas veg/plantas co</t>
  </si>
  <si>
    <t>CMI02061000 - Margarina</t>
  </si>
  <si>
    <t>MANTECA:VEGETAL</t>
  </si>
  <si>
    <t>050056</t>
  </si>
  <si>
    <t>50192110 - Nueces o fruta disecada</t>
  </si>
  <si>
    <t>PASAS</t>
  </si>
  <si>
    <t>049769</t>
  </si>
  <si>
    <t>50171832 - Salsas para ensaladas o dips</t>
  </si>
  <si>
    <t>CMI02170200 - Insumos Cafetería Oficinas</t>
  </si>
  <si>
    <t>MAYONESA</t>
  </si>
  <si>
    <t>049392</t>
  </si>
  <si>
    <t>50151513 - Aceite de Vegetales</t>
  </si>
  <si>
    <t>MARGARINA</t>
  </si>
  <si>
    <t>049380</t>
  </si>
  <si>
    <t>50192403 - Miel</t>
  </si>
  <si>
    <t>MIEL</t>
  </si>
  <si>
    <t>049219</t>
  </si>
  <si>
    <t>50101717 - Nueces y semillas sin cascara</t>
  </si>
  <si>
    <t>SEMILLA:MARAÑON</t>
  </si>
  <si>
    <t>048569</t>
  </si>
  <si>
    <t>CMI02061300 - Polvo para hornear</t>
  </si>
  <si>
    <t>POLVO:HORNEAR</t>
  </si>
  <si>
    <t>048248</t>
  </si>
  <si>
    <t>ALMENDRA</t>
  </si>
  <si>
    <t>048192</t>
  </si>
  <si>
    <t>24112602 - JARRA CON TAPA ROSCA</t>
  </si>
  <si>
    <t>FRASCO:TAPA ROSCA</t>
  </si>
  <si>
    <t>045848</t>
  </si>
  <si>
    <t>60131104 - Saxofones</t>
  </si>
  <si>
    <t>SAXOFON</t>
  </si>
  <si>
    <t>044631</t>
  </si>
  <si>
    <t>60131405 - Tambores</t>
  </si>
  <si>
    <t>TAMBOR:REDOBLANTE</t>
  </si>
  <si>
    <t>044556</t>
  </si>
  <si>
    <t>14111519 - Papeles cartulina</t>
  </si>
  <si>
    <t>043612</t>
  </si>
  <si>
    <t>44101719 - Accesorios de copiado escanead</t>
  </si>
  <si>
    <t>ESCANER:COPIADO</t>
  </si>
  <si>
    <t>043487</t>
  </si>
  <si>
    <t>52152102 - Vasos para beber uso doméstico</t>
  </si>
  <si>
    <t>VASO:BEBIDA</t>
  </si>
  <si>
    <t>043426</t>
  </si>
  <si>
    <t>50190000 - Alimentos prepa y conservados</t>
  </si>
  <si>
    <t>CMI05031800 - Otros-Alimentos</t>
  </si>
  <si>
    <t>PLATO:COMIDA</t>
  </si>
  <si>
    <t>043235</t>
  </si>
  <si>
    <t>48101610 - PELADORAS</t>
  </si>
  <si>
    <t>PELADORA:MANUAL</t>
  </si>
  <si>
    <t>043224</t>
  </si>
  <si>
    <t>46182101 - PUL DESCARGAS ELECTROESTATICAS</t>
  </si>
  <si>
    <t>SUM301000 - RptosEqpo d/Computo</t>
  </si>
  <si>
    <t>PULSERA:ANTIESTATICA</t>
  </si>
  <si>
    <t>018477</t>
  </si>
  <si>
    <t>32131023 - Soporte de dispelec o electo</t>
  </si>
  <si>
    <t>CMI01010500 - Otro-Equipo de cómputo</t>
  </si>
  <si>
    <t>SOPORTE:ELECTRÓNICOS</t>
  </si>
  <si>
    <t>018440</t>
  </si>
  <si>
    <t>27112011 - Mangos de herramientas</t>
  </si>
  <si>
    <t>CMI02140500 - Herramienta Manual</t>
  </si>
  <si>
    <t>MANGO:PIOCHA</t>
  </si>
  <si>
    <t>013003</t>
  </si>
  <si>
    <t>42182412 - Diapasones para uso médico</t>
  </si>
  <si>
    <t>SEG221000 - EquipSeguridad Indus</t>
  </si>
  <si>
    <t>HORQUILLA:MEDICA</t>
  </si>
  <si>
    <t>054338</t>
  </si>
  <si>
    <t>46181704 - Cascos de seguridad</t>
  </si>
  <si>
    <t>CMI02170100 - Equipo de Seguridad Personal</t>
  </si>
  <si>
    <t>CASCO SEGURIDAD</t>
  </si>
  <si>
    <t>047147</t>
  </si>
  <si>
    <t>42271506 - Monitores oxígeno suministros</t>
  </si>
  <si>
    <t>MONITOR:OXIGENO</t>
  </si>
  <si>
    <t>028318</t>
  </si>
  <si>
    <t>42182302 - Martillos quirúrgicos reflejos</t>
  </si>
  <si>
    <t>MARTILLO MEDICO:REFLEJO</t>
  </si>
  <si>
    <t>026097</t>
  </si>
  <si>
    <t>42182100 - Estetoscopio y producto varios</t>
  </si>
  <si>
    <t>ESTETOSCOPIO:MEDICO</t>
  </si>
  <si>
    <t>024730</t>
  </si>
  <si>
    <t>42183001 - Carteleras para examen de ojos</t>
  </si>
  <si>
    <t>GRAFICO:PRUEBA VISUAL</t>
  </si>
  <si>
    <t>022406</t>
  </si>
  <si>
    <t>32111500 - Diodos</t>
  </si>
  <si>
    <t>REP201000 - Rpto.Ind/Eléctricos</t>
  </si>
  <si>
    <t>CMI02090300 - Eléctricos</t>
  </si>
  <si>
    <t>DIODOS:JUEGO</t>
  </si>
  <si>
    <t>066800</t>
  </si>
  <si>
    <t>47101500 - Equipo para el tratamiento y suministro de agua</t>
  </si>
  <si>
    <t>CMI01020300 - Equipo Industrial</t>
  </si>
  <si>
    <t>SISTEMA:TRATAMIENTO;AGUA</t>
  </si>
  <si>
    <t>055954</t>
  </si>
  <si>
    <t>24112900 - Embalajes</t>
  </si>
  <si>
    <t>CMI02090700 - Otros-Repuestos Industriales</t>
  </si>
  <si>
    <t>SISTEMA:EMBALAJE</t>
  </si>
  <si>
    <t>045651</t>
  </si>
  <si>
    <t>41112200 - Instru medida de temp y calor</t>
  </si>
  <si>
    <t>CONTROLADOR:PANEL</t>
  </si>
  <si>
    <t>035006</t>
  </si>
  <si>
    <t>26111603 - Generadores eólicos</t>
  </si>
  <si>
    <t>CMI02090900 - Rep. Industriales-Mecánicos</t>
  </si>
  <si>
    <t>PALAS:AEROGENERADORES</t>
  </si>
  <si>
    <t>019014</t>
  </si>
  <si>
    <t>39121013 - Convertidores rotativos electr</t>
  </si>
  <si>
    <t>CONVERTIDOR:ELECTRICO</t>
  </si>
  <si>
    <t>018879</t>
  </si>
  <si>
    <t>41111900 - Instru indicadores y registro</t>
  </si>
  <si>
    <t>TRANSMISOR</t>
  </si>
  <si>
    <t>018567</t>
  </si>
  <si>
    <t>39121600 - Dispoyaccs p/prot de circuitos</t>
  </si>
  <si>
    <t>SUPRESOR</t>
  </si>
  <si>
    <t>018500</t>
  </si>
  <si>
    <t>23153135 - Cubiertas de rodillos de avanc</t>
  </si>
  <si>
    <t>CUBIERTA:RODETE</t>
  </si>
  <si>
    <t>006939</t>
  </si>
  <si>
    <t>40101700 - Enfriamiento</t>
  </si>
  <si>
    <t>ENFRIADOR</t>
  </si>
  <si>
    <t>002560</t>
  </si>
  <si>
    <t>48101521 - Planchas estufa uso comercial</t>
  </si>
  <si>
    <t>CMI01030300 - Mobiliario y Equipo de oficina</t>
  </si>
  <si>
    <t>ESTUFA:GAS</t>
  </si>
  <si>
    <t>043282</t>
  </si>
  <si>
    <t>42222102 - Rieles o colgadores montados para sistemas de infusión intravenosa por gravedad</t>
  </si>
  <si>
    <t>ZMER - Mercadeo</t>
  </si>
  <si>
    <t>MER391200 - Promocionales</t>
  </si>
  <si>
    <t>SOPORTE:ATRIL</t>
  </si>
  <si>
    <t>033472</t>
  </si>
  <si>
    <t>25101507 - Camiones lig/vehcl utili depor</t>
  </si>
  <si>
    <t>ZVEH - Vehiculo</t>
  </si>
  <si>
    <t>VEH381100 - Pick Up</t>
  </si>
  <si>
    <t>CMI01061000 - Pick Up</t>
  </si>
  <si>
    <t>CAMIONETA</t>
  </si>
  <si>
    <t>004585</t>
  </si>
  <si>
    <t>25101611 - Camiones de carga</t>
  </si>
  <si>
    <t>VEH381500 - Camiones</t>
  </si>
  <si>
    <t>CMI01060200 - Camiones</t>
  </si>
  <si>
    <t>CAMION</t>
  </si>
  <si>
    <t>004575</t>
  </si>
  <si>
    <t>25101801 - Motocicletas</t>
  </si>
  <si>
    <t>VEH381000 - Motocicleta</t>
  </si>
  <si>
    <t>CMI01060700 - Motocicleta</t>
  </si>
  <si>
    <t>MOTOCICLETA</t>
  </si>
  <si>
    <t>004482</t>
  </si>
  <si>
    <t>40183112 - Reductor de tubo</t>
  </si>
  <si>
    <t>CMI02200200 - Accesorios PVC</t>
  </si>
  <si>
    <t>REDUCTOR:BUJE</t>
  </si>
  <si>
    <t>598750</t>
  </si>
  <si>
    <t>40172300 - Casquillos para tubos</t>
  </si>
  <si>
    <t>TUB291300 - Accesorios Galvaniza</t>
  </si>
  <si>
    <t>CMI02200300 - Tuberías Hierro o Acero</t>
  </si>
  <si>
    <t>BUJE TUBERIA</t>
  </si>
  <si>
    <t>110346</t>
  </si>
  <si>
    <t>40174912 - Uniones para tubos de cobre</t>
  </si>
  <si>
    <t>TUB291200 - Accesorios Cobre</t>
  </si>
  <si>
    <t>CMI02200100 - Accesorios Hierro o Acero</t>
  </si>
  <si>
    <t>UNION:TUBO</t>
  </si>
  <si>
    <t>089697</t>
  </si>
  <si>
    <t>31162412 - Horquilla</t>
  </si>
  <si>
    <t>CLEVIS</t>
  </si>
  <si>
    <t>086544</t>
  </si>
  <si>
    <t>40182400 - Tubos de ace inox sin uniones</t>
  </si>
  <si>
    <t>TUB291700 - Tubería acero Inoxid</t>
  </si>
  <si>
    <t>TUBO:ACERO</t>
  </si>
  <si>
    <t>054330</t>
  </si>
  <si>
    <t>31201521 - Cinta metálica</t>
  </si>
  <si>
    <t>CMI02050100 - Accesorios</t>
  </si>
  <si>
    <t>CINTA:METALICA</t>
  </si>
  <si>
    <t>054195</t>
  </si>
  <si>
    <t>40171610 - Tubo concreto p/uso industrial</t>
  </si>
  <si>
    <t>TUB291900 - Tubería Concreto</t>
  </si>
  <si>
    <t>CMI02050400 - Concreto, Cemento y Aditivos</t>
  </si>
  <si>
    <t>TUBO:CONCRETO</t>
  </si>
  <si>
    <t>015543</t>
  </si>
  <si>
    <t>40175208 - Y conx p/tubos de plástico pvc</t>
  </si>
  <si>
    <t>TUBERIA;Y</t>
  </si>
  <si>
    <t>011371</t>
  </si>
  <si>
    <t>40171602 - Tubace carb s/uniones p/uindus</t>
  </si>
  <si>
    <t>TUB291600 - Tubería acero al car</t>
  </si>
  <si>
    <t>TUBO:METALICO</t>
  </si>
  <si>
    <t>011335</t>
  </si>
  <si>
    <t>40174607 - T para tubos acero inoxidable</t>
  </si>
  <si>
    <t>TUB291000 - AccesorioAceroCarbon</t>
  </si>
  <si>
    <t>TEE:TUBERIA</t>
  </si>
  <si>
    <t>011240</t>
  </si>
  <si>
    <t>40172900 - Uniones de extensión de tubos</t>
  </si>
  <si>
    <t>JUNTA DE EXPANSION</t>
  </si>
  <si>
    <t>010917</t>
  </si>
  <si>
    <t>40172700 - Cruces de tubos</t>
  </si>
  <si>
    <t>CRUZ:TUBERIA</t>
  </si>
  <si>
    <t>010876</t>
  </si>
  <si>
    <t>31162906 - Abrazaderas de manguera o tubo</t>
  </si>
  <si>
    <t>ABRAZADERA:TUBO</t>
  </si>
  <si>
    <t>010825</t>
  </si>
  <si>
    <t>010799</t>
  </si>
  <si>
    <t>39121434 - Conecdtu metálicos elc (emt)</t>
  </si>
  <si>
    <t>TUB291100 - AccesoriosAcero Inox</t>
  </si>
  <si>
    <t>CONECTOR:TUBO</t>
  </si>
  <si>
    <t>1143290</t>
  </si>
  <si>
    <t>REDUCTOR</t>
  </si>
  <si>
    <t>088678</t>
  </si>
  <si>
    <t>40171700 - Adaptadores de tubos</t>
  </si>
  <si>
    <t>ADAPTADOR:TUBERIA</t>
  </si>
  <si>
    <t>085761</t>
  </si>
  <si>
    <t>40174900 - Uniones para tubos</t>
  </si>
  <si>
    <t>EMPALME:TUBERIAS</t>
  </si>
  <si>
    <t>011367</t>
  </si>
  <si>
    <t>40171600 - Tubos y tuberías industriales</t>
  </si>
  <si>
    <t>CMI02051300 - Otros-Mat de Construcción</t>
  </si>
  <si>
    <t>TUBO:NO METALICO</t>
  </si>
  <si>
    <t>011343</t>
  </si>
  <si>
    <t>40173500 - Tapones para tubos</t>
  </si>
  <si>
    <t>TAPON:TUBO</t>
  </si>
  <si>
    <t>011153</t>
  </si>
  <si>
    <t>40173300 - Boquillas de tubos</t>
  </si>
  <si>
    <t>BOQUILLA:TUBERIAS</t>
  </si>
  <si>
    <t>011003</t>
  </si>
  <si>
    <t>40172800 - Codos de tubos</t>
  </si>
  <si>
    <t>CODO:TUBERIAS</t>
  </si>
  <si>
    <t>010907</t>
  </si>
  <si>
    <t>010862</t>
  </si>
  <si>
    <t>40172602 - Acoples tubos acero al carbono</t>
  </si>
  <si>
    <t>ACOPLE:TUBO</t>
  </si>
  <si>
    <t>010860</t>
  </si>
  <si>
    <t>40172400 - Tapas para tubos</t>
  </si>
  <si>
    <t>TAPON HEMBRA:TUBERIA</t>
  </si>
  <si>
    <t>010814</t>
  </si>
  <si>
    <t>51151723 - Clorhidrato de tetrahidrozolin</t>
  </si>
  <si>
    <t>GOTAS:OJOS</t>
  </si>
  <si>
    <t>033156</t>
  </si>
  <si>
    <t>21101803 - Aspersores de agua</t>
  </si>
  <si>
    <t>CMI02140100 - Accesorios Eléctricos</t>
  </si>
  <si>
    <t>ASPERSOR:AGUA</t>
  </si>
  <si>
    <t>008224</t>
  </si>
  <si>
    <t>CMI05030200 - Alimentos</t>
  </si>
  <si>
    <t>SALSA:TOMATE</t>
  </si>
  <si>
    <t>048231</t>
  </si>
  <si>
    <t>50101634 - Limón</t>
  </si>
  <si>
    <t>CMI05031300 - Frutas y Verduras</t>
  </si>
  <si>
    <t>LIMON</t>
  </si>
  <si>
    <t>049334</t>
  </si>
  <si>
    <t>50171550 - Especies o extractos</t>
  </si>
  <si>
    <t>CLAVO:OLOR</t>
  </si>
  <si>
    <t>048763</t>
  </si>
  <si>
    <t>50171549 - LAUREL</t>
  </si>
  <si>
    <t>LAUREL</t>
  </si>
  <si>
    <t>048260</t>
  </si>
  <si>
    <t>PIMIENTA</t>
  </si>
  <si>
    <t>049578</t>
  </si>
  <si>
    <t>50171548 - Hierbas frescas</t>
  </si>
  <si>
    <t>TOMILLO</t>
  </si>
  <si>
    <t>049971</t>
  </si>
  <si>
    <t>10151803 - CANELA</t>
  </si>
  <si>
    <t>CANELA</t>
  </si>
  <si>
    <t>048127</t>
  </si>
  <si>
    <t>ARROZ:PRECOCIDO</t>
  </si>
  <si>
    <t>049809</t>
  </si>
  <si>
    <t>10151504 - Semillas o plántulas de chiles</t>
  </si>
  <si>
    <t>CHILE:PIMIENTO</t>
  </si>
  <si>
    <t>048115</t>
  </si>
  <si>
    <t>10151528 - Semillas o plántulas de batata</t>
  </si>
  <si>
    <t>PAPAS</t>
  </si>
  <si>
    <t>048086</t>
  </si>
  <si>
    <t>50101543 - Ejote</t>
  </si>
  <si>
    <t>EJOTE</t>
  </si>
  <si>
    <t>048267</t>
  </si>
  <si>
    <t>10151502 - Semillas o Plántulas zanahoria</t>
  </si>
  <si>
    <t>ZANAHORIA</t>
  </si>
  <si>
    <t>048074</t>
  </si>
  <si>
    <t>42231800 - Formulas y productos nutritivo</t>
  </si>
  <si>
    <t>FORMULA:NUTRICIONAL</t>
  </si>
  <si>
    <t>049085</t>
  </si>
  <si>
    <t>50171551 - Sal de mesa</t>
  </si>
  <si>
    <t>SAL</t>
  </si>
  <si>
    <t>049849</t>
  </si>
  <si>
    <t>52151604 - Coladores para uso doméstico</t>
  </si>
  <si>
    <t>FILTRO:BEBIDA</t>
  </si>
  <si>
    <t>043387</t>
  </si>
  <si>
    <t>47132100 - Kit para Limpieza</t>
  </si>
  <si>
    <t>CMI02130300 - Útiles de Limpieza</t>
  </si>
  <si>
    <t>KIT:LIMPIEZA</t>
  </si>
  <si>
    <t>058579</t>
  </si>
  <si>
    <t>45121600 - Accesorios para cámaras</t>
  </si>
  <si>
    <t>ACCESORIOS:FOTOGRAFICOS</t>
  </si>
  <si>
    <t>037354</t>
  </si>
  <si>
    <t>50111510 - Carne de ave o carne fresca</t>
  </si>
  <si>
    <t>CMI05020400 - Pollo Beneficiado</t>
  </si>
  <si>
    <t>POLLO</t>
  </si>
  <si>
    <t>048677</t>
  </si>
  <si>
    <t>45121603 - Lentes para cámaras</t>
  </si>
  <si>
    <t>LENTE:CAMARA</t>
  </si>
  <si>
    <t>037554</t>
  </si>
  <si>
    <t>55121715 - Banderas o accesorios</t>
  </si>
  <si>
    <t>BANDERA:NACIONAL</t>
  </si>
  <si>
    <t>046289</t>
  </si>
  <si>
    <t>14111536 - Tarjetas préstamo biblioteca</t>
  </si>
  <si>
    <t>TARJETA:BIBLIOTECA</t>
  </si>
  <si>
    <t>043615</t>
  </si>
  <si>
    <t>49101708 - Coronas</t>
  </si>
  <si>
    <t>CORONA</t>
  </si>
  <si>
    <t>052000</t>
  </si>
  <si>
    <t>42261802 - Transportadores de cadáveres</t>
  </si>
  <si>
    <t>CAJA:MORTUARIA</t>
  </si>
  <si>
    <t>021995</t>
  </si>
  <si>
    <t>50121538 - PESCADO SIN REFRIGERAR</t>
  </si>
  <si>
    <t>ATUN:LATA</t>
  </si>
  <si>
    <t>050002</t>
  </si>
  <si>
    <t>50461800 - Fríjoles en lata o en frasco</t>
  </si>
  <si>
    <t>FRIJOLES:LATA</t>
  </si>
  <si>
    <t>048270</t>
  </si>
  <si>
    <t>51161800 - Produ tos, resfri y antialérgi</t>
  </si>
  <si>
    <t>MEDICAMENTO:RESFRIO</t>
  </si>
  <si>
    <t>022571</t>
  </si>
  <si>
    <t>44121705 - Lápices mecánicos</t>
  </si>
  <si>
    <t>PORTAMINAS</t>
  </si>
  <si>
    <t>043994</t>
  </si>
  <si>
    <t>44121619 - Tajalápices manuales</t>
  </si>
  <si>
    <t>AFILALAPICES</t>
  </si>
  <si>
    <t>044098</t>
  </si>
  <si>
    <t>44122106 - Alfileres o taches</t>
  </si>
  <si>
    <t>TACHUELA</t>
  </si>
  <si>
    <t>044034</t>
  </si>
  <si>
    <t>51102723 - Merbromina</t>
  </si>
  <si>
    <t>MERBROMINA:TINTURA</t>
  </si>
  <si>
    <t>027921</t>
  </si>
  <si>
    <t>44122010 - DIVISORES</t>
  </si>
  <si>
    <t>SEPARADOR:ARCHIVO</t>
  </si>
  <si>
    <t>043694</t>
  </si>
  <si>
    <t>14111800 - Papeles de uso comercial</t>
  </si>
  <si>
    <t>FORMAS:IMPRESAS</t>
  </si>
  <si>
    <t>043768</t>
  </si>
  <si>
    <t>44121902 - Repuestos de minas</t>
  </si>
  <si>
    <t>MINA:LAPIZ</t>
  </si>
  <si>
    <t>043878</t>
  </si>
  <si>
    <t>44101716 - Unidades de perforación de orificios</t>
  </si>
  <si>
    <t>PERFORADOR:PAPEL</t>
  </si>
  <si>
    <t>044033</t>
  </si>
  <si>
    <t>60120000 - Equipo, accesorios y suministros de arte y manualidades</t>
  </si>
  <si>
    <t>SUMINISTRO:MANUALIDADES</t>
  </si>
  <si>
    <t>056910</t>
  </si>
  <si>
    <t>47121807 - Émbolo del lavaplatos o inodoro</t>
  </si>
  <si>
    <t>DESTAPA CAÑO:PRESION</t>
  </si>
  <si>
    <t>012931</t>
  </si>
  <si>
    <t>40141742 - Atomizadores</t>
  </si>
  <si>
    <t>ATOMIZADOR</t>
  </si>
  <si>
    <t>005936</t>
  </si>
  <si>
    <t>24141514 - Películas para empacar</t>
  </si>
  <si>
    <t>FILM:EMPAQUE</t>
  </si>
  <si>
    <t>045836</t>
  </si>
  <si>
    <t>44122100 - Suministros de sujeción</t>
  </si>
  <si>
    <t>FASTENER:FOLDER</t>
  </si>
  <si>
    <t>043738</t>
  </si>
  <si>
    <t>53131615 - Productos para la higiene femenina</t>
  </si>
  <si>
    <t>ALMOHADILLA:SANITARIA</t>
  </si>
  <si>
    <t>029074</t>
  </si>
  <si>
    <t>47131600 - Escobas, traperos, cepillos y accesorios</t>
  </si>
  <si>
    <t>MOPA</t>
  </si>
  <si>
    <t>056973</t>
  </si>
  <si>
    <t>51142002 - Ácido acetilsalicílico</t>
  </si>
  <si>
    <t>ASPIRINA:TABLETAS</t>
  </si>
  <si>
    <t>020514</t>
  </si>
  <si>
    <t>42141502 - Palitos (copitos) con punta de fibra</t>
  </si>
  <si>
    <t>APLICADOR:DESECHABLE</t>
  </si>
  <si>
    <t>020411</t>
  </si>
  <si>
    <t>47101608 - Floculantes</t>
  </si>
  <si>
    <t>CMI02180300 - Otros químicos</t>
  </si>
  <si>
    <t>COAGULANTE:TRATAMIENTO AGUA</t>
  </si>
  <si>
    <t>038719</t>
  </si>
  <si>
    <t>44121613 - Removedores de grapas (saca ganchos)</t>
  </si>
  <si>
    <t>REMOVEDOR:GRAPA</t>
  </si>
  <si>
    <t>044113</t>
  </si>
  <si>
    <t>44111907 - Tableros de noticias o accesorios</t>
  </si>
  <si>
    <t>TABLERO:ANUNCIOS</t>
  </si>
  <si>
    <t>042300</t>
  </si>
  <si>
    <t>52131501 - Cortinas</t>
  </si>
  <si>
    <t>CORTINA:BAÑO</t>
  </si>
  <si>
    <t>042649</t>
  </si>
  <si>
    <t>47131609 - Manijas de escobas o traperos</t>
  </si>
  <si>
    <t>BASE:MOPA</t>
  </si>
  <si>
    <t>045190</t>
  </si>
  <si>
    <t>51102709 - Peróxido de hidrógeno antiséptico</t>
  </si>
  <si>
    <t>PEROXIDO;HIDROGENO</t>
  </si>
  <si>
    <t>026567</t>
  </si>
  <si>
    <t>50161510 - Endulzantes artificiales</t>
  </si>
  <si>
    <t>SUBSTITUTO:AZUCAR</t>
  </si>
  <si>
    <t>049938</t>
  </si>
  <si>
    <t>50161511 - Chocolate o sustituto de chocolate</t>
  </si>
  <si>
    <t>CHOCOLATE</t>
  </si>
  <si>
    <t>058573</t>
  </si>
  <si>
    <t>SEMILLAS:MIXTAS</t>
  </si>
  <si>
    <t>049478</t>
  </si>
  <si>
    <t>50201714 - Cremas no lácteas</t>
  </si>
  <si>
    <t>CREMA:NO NATURAL</t>
  </si>
  <si>
    <t>048875</t>
  </si>
  <si>
    <t>14111514 - Blocs o cuadernos de papel</t>
  </si>
  <si>
    <t>LIBRETA:TAQUIGRAFIA</t>
  </si>
  <si>
    <t>043895</t>
  </si>
  <si>
    <t>44121905 - Almohadillas de tinta o estampillas</t>
  </si>
  <si>
    <t>ALMOHADILLA:SELLOS</t>
  </si>
  <si>
    <t>043863</t>
  </si>
  <si>
    <t>47131802 - Terminados o ceras para pisos</t>
  </si>
  <si>
    <t>CERA:PISO</t>
  </si>
  <si>
    <t>045267</t>
  </si>
  <si>
    <t>51142106 - Ibuprofeno</t>
  </si>
  <si>
    <t>IBUPROFREN:TABLETAS</t>
  </si>
  <si>
    <t>026633</t>
  </si>
  <si>
    <t>ACETAMINOFEN:TABLETAS</t>
  </si>
  <si>
    <t>019618</t>
  </si>
  <si>
    <t>51171504 - Antiácidos de bicarbonato de sodio</t>
  </si>
  <si>
    <t>BICARBONATO SODIO:EFERVECENTE</t>
  </si>
  <si>
    <t>031597</t>
  </si>
  <si>
    <t>51171707 - Subsalicilato de bismuto</t>
  </si>
  <si>
    <t>SUBSALICILATO:BISMUTO</t>
  </si>
  <si>
    <t>021114</t>
  </si>
  <si>
    <t>50200000 - Bebidas</t>
  </si>
  <si>
    <t>BEBIDA</t>
  </si>
  <si>
    <t>056329</t>
  </si>
  <si>
    <t>50201711 - Té instantáneo</t>
  </si>
  <si>
    <t>TE:INSTANTANEO</t>
  </si>
  <si>
    <t>049957</t>
  </si>
  <si>
    <t>50192109 - Papas fritas de talego o mezclas</t>
  </si>
  <si>
    <t>PAPAS FRITAS:BOLSA</t>
  </si>
  <si>
    <t>049722</t>
  </si>
  <si>
    <t>50191507 - Sopas o sudados preparados de repisa</t>
  </si>
  <si>
    <t>SOPA:INSTANTANEA</t>
  </si>
  <si>
    <t>049901</t>
  </si>
  <si>
    <t>50202300 - Bebidas no alcohólicas</t>
  </si>
  <si>
    <t>BEBIDA:CARBONATADA</t>
  </si>
  <si>
    <t>048440</t>
  </si>
  <si>
    <t>60141001 - Globos o pelotas de juguete</t>
  </si>
  <si>
    <t>GLOGO:JUGUETE</t>
  </si>
  <si>
    <t>044706</t>
  </si>
  <si>
    <t>47131824 - Limpiadores vidrio o ventanas</t>
  </si>
  <si>
    <t>LIMPIACRISTALES</t>
  </si>
  <si>
    <t>045185</t>
  </si>
  <si>
    <t>47131602 - Almohadillas para restregar</t>
  </si>
  <si>
    <t>ALMOHADILLA:FREGADO</t>
  </si>
  <si>
    <t>045208</t>
  </si>
  <si>
    <t>47131807 - Blanqueadores</t>
  </si>
  <si>
    <t>LEJIA:CLORO</t>
  </si>
  <si>
    <t>038418</t>
  </si>
  <si>
    <t>47131816 - Desodorantes</t>
  </si>
  <si>
    <t>AMBIENTADOR</t>
  </si>
  <si>
    <t>038843</t>
  </si>
  <si>
    <t>42141501 - Bolas o fibra de algodón</t>
  </si>
  <si>
    <t>ALGODON:ABSORBENTE</t>
  </si>
  <si>
    <t>020706</t>
  </si>
  <si>
    <t>44121505 - Sobres especiales</t>
  </si>
  <si>
    <t>SOBRE:CORRESPONDENCIA</t>
  </si>
  <si>
    <t>043713</t>
  </si>
  <si>
    <t>14111531 - Papel libros o cuadernos para bitácoras</t>
  </si>
  <si>
    <t>LIBRO:REGISTRO</t>
  </si>
  <si>
    <t>043589</t>
  </si>
  <si>
    <t>14111530 - Papel de notas autoadhesivas</t>
  </si>
  <si>
    <t>PAPEL AUTOADHESIVO:NOTAS</t>
  </si>
  <si>
    <t>043961</t>
  </si>
  <si>
    <t>44121708 - Marcadores</t>
  </si>
  <si>
    <t>MARCADOR</t>
  </si>
  <si>
    <t>043887</t>
  </si>
  <si>
    <t>44103103 - Tóner para impresoras o fax</t>
  </si>
  <si>
    <t>CARTUCHO:TONER</t>
  </si>
  <si>
    <t>043631</t>
  </si>
  <si>
    <t>44121615 - Grapadoras</t>
  </si>
  <si>
    <t>GRAPADORA:OFICINA</t>
  </si>
  <si>
    <t>044117</t>
  </si>
  <si>
    <t>60121535 - Borradores de goma</t>
  </si>
  <si>
    <t>BORRADOR</t>
  </si>
  <si>
    <t>043730</t>
  </si>
  <si>
    <t>52141704 - Máquinas de afeitar eléctricas para uso doméstico</t>
  </si>
  <si>
    <t>SUM231400 - Herram d/Eléctricas</t>
  </si>
  <si>
    <t>RASURADORA:ELECTRICAC</t>
  </si>
  <si>
    <t>047956</t>
  </si>
  <si>
    <t>42291613 - Escalpelos accesorios uso quir</t>
  </si>
  <si>
    <t>PORTA:ESCALPELO</t>
  </si>
  <si>
    <t>026127</t>
  </si>
  <si>
    <t>42181608 - Accesorios para instrumentos de medición de presión de sangre</t>
  </si>
  <si>
    <t>SUM231300 - Herram d/Medición</t>
  </si>
  <si>
    <t>ESFIGMOMANOMETRO</t>
  </si>
  <si>
    <t>031511</t>
  </si>
  <si>
    <t>50221100 - Cereales</t>
  </si>
  <si>
    <t>CMI04020100 - Cereales a Granel</t>
  </si>
  <si>
    <t>CEREAL:TRIGO</t>
  </si>
  <si>
    <t>048598</t>
  </si>
  <si>
    <t>50181909 - Galletas de soda</t>
  </si>
  <si>
    <t>GALLETA:HARINA</t>
  </si>
  <si>
    <t>048851</t>
  </si>
  <si>
    <t>45120000 - Equipo vídeo filmación fotogra</t>
  </si>
  <si>
    <t>HELICE:DRONE</t>
  </si>
  <si>
    <t>058318</t>
  </si>
  <si>
    <t>39121006 - Adapts o inversores potencia</t>
  </si>
  <si>
    <t>CMI02140400 - Herramienta Eléctrica</t>
  </si>
  <si>
    <t>ADAPTADOR:PODER</t>
  </si>
  <si>
    <t>058887</t>
  </si>
  <si>
    <t>41111505 - Pesas de calibración o sets de pesas</t>
  </si>
  <si>
    <t>PESA:BALANZA</t>
  </si>
  <si>
    <t>037326</t>
  </si>
  <si>
    <t>42311518 - Parches o almohadillas para los ojos para uso médico</t>
  </si>
  <si>
    <t>PARCHE OCULAR:MEDICO</t>
  </si>
  <si>
    <t>029231</t>
  </si>
  <si>
    <t>42311506 - Vendas de compresión o presión</t>
  </si>
  <si>
    <t>COMPRESA</t>
  </si>
  <si>
    <t>023067</t>
  </si>
  <si>
    <t>21111501 - Anzuelos para pesca comercial</t>
  </si>
  <si>
    <t>ANZUELO:PESCA</t>
  </si>
  <si>
    <t>004117</t>
  </si>
  <si>
    <t>27121800 - Herramientas hidráulicas</t>
  </si>
  <si>
    <t>ESPARCIDOR:HIDRAULICO</t>
  </si>
  <si>
    <t>012807</t>
  </si>
  <si>
    <t>42311500 - Vendas y vendajes y productos relacionados</t>
  </si>
  <si>
    <t>ALMOHADILLA QUIRURGICA:ADHESIVA</t>
  </si>
  <si>
    <t>029067</t>
  </si>
  <si>
    <t>51191600 - Electrolitos</t>
  </si>
  <si>
    <t>SUERO:FISIOLOGICO</t>
  </si>
  <si>
    <t>029918</t>
  </si>
  <si>
    <t>CMI02140700 - Otros-Suministros Mantto</t>
  </si>
  <si>
    <t>KIT:REPARACION;TUBERIA</t>
  </si>
  <si>
    <t>058402</t>
  </si>
  <si>
    <t>56101508 - Colchones o sets para dormir</t>
  </si>
  <si>
    <t>COLCHON</t>
  </si>
  <si>
    <t>042714</t>
  </si>
  <si>
    <t>52121500 - Ropa de cama</t>
  </si>
  <si>
    <t>FUNDA:ALMOHADA</t>
  </si>
  <si>
    <t>042640</t>
  </si>
  <si>
    <t>52152010 - Frascos al vacío para uso doméstico</t>
  </si>
  <si>
    <t>TERMO:PORTATIL</t>
  </si>
  <si>
    <t>043115</t>
  </si>
  <si>
    <t>42291802 - Pinzas para uso quirurgico</t>
  </si>
  <si>
    <t>PINZA QUIRUGICA:MANUAL</t>
  </si>
  <si>
    <t>026117</t>
  </si>
  <si>
    <t>42292701 - Disectores para uso quirúrgico</t>
  </si>
  <si>
    <t>ESCALPELO:CIRUGIA</t>
  </si>
  <si>
    <t>024515</t>
  </si>
  <si>
    <t>42182005 - Oftalmoscopios u otoscopios</t>
  </si>
  <si>
    <t>OFTALMOSCOPIO</t>
  </si>
  <si>
    <t>028884</t>
  </si>
  <si>
    <t>48101520 - Máquinas maíz para uso comerci</t>
  </si>
  <si>
    <t>MAQUINA:POPOROPO</t>
  </si>
  <si>
    <t>043243</t>
  </si>
  <si>
    <t>39112604 - Velas de cera</t>
  </si>
  <si>
    <t>VELA:CERA</t>
  </si>
  <si>
    <t>019145</t>
  </si>
  <si>
    <t>42192207 - Camillas para pacientes o accesorios para camillas</t>
  </si>
  <si>
    <t>CAMILLA:HOSPITAL</t>
  </si>
  <si>
    <t>032123</t>
  </si>
  <si>
    <t>47131706 - Dispensadores de ambientadores</t>
  </si>
  <si>
    <t>DISPENSADOR:DESODORIZANTE</t>
  </si>
  <si>
    <t>010518</t>
  </si>
  <si>
    <t>47131703 - Receptáculos residuos sanitari</t>
  </si>
  <si>
    <t>DEPOSITO:DESECHOS SANITARIOS</t>
  </si>
  <si>
    <t>042734</t>
  </si>
  <si>
    <t>14111705 - Servilletas de papel</t>
  </si>
  <si>
    <t>SERVILLETA:PAPEL</t>
  </si>
  <si>
    <t>047945</t>
  </si>
  <si>
    <t>14111704 - Papel higiénico</t>
  </si>
  <si>
    <t>PAPEL:HIGIENICO</t>
  </si>
  <si>
    <t>047948</t>
  </si>
  <si>
    <t>24111501 - Bolsas de lona</t>
  </si>
  <si>
    <t>BOLSA:TEXTIL</t>
  </si>
  <si>
    <t>045594</t>
  </si>
  <si>
    <t>44120000 - Suministros de oficina</t>
  </si>
  <si>
    <t>CALCULADORA:ELECTRONICA</t>
  </si>
  <si>
    <t>043467</t>
  </si>
  <si>
    <t>14111500 - Papel imprenta/papel escribir</t>
  </si>
  <si>
    <t>CUADERNO:PAPEL</t>
  </si>
  <si>
    <t>050436</t>
  </si>
  <si>
    <t>44121701 - Bolígrafos</t>
  </si>
  <si>
    <t>BOLIGRAFO:BOLA</t>
  </si>
  <si>
    <t>043985</t>
  </si>
  <si>
    <t>44122000 - Carpetas de archivo, carpetas</t>
  </si>
  <si>
    <t>FOLDER:ARCHIVO</t>
  </si>
  <si>
    <t>043746</t>
  </si>
  <si>
    <t>60121002 - Esculturas</t>
  </si>
  <si>
    <t>ESCULTURA:DECORACION</t>
  </si>
  <si>
    <t>053698</t>
  </si>
  <si>
    <t>12352005 - Compuestos aromáticos o heterocíclicos</t>
  </si>
  <si>
    <t>CMI02130200 - Químicos de Limpieza</t>
  </si>
  <si>
    <t>COMPUESTO:AROMATICO</t>
  </si>
  <si>
    <t>039835</t>
  </si>
  <si>
    <t>CMI02060100 - Aceite</t>
  </si>
  <si>
    <t>ACEITE:VEGETAL</t>
  </si>
  <si>
    <t>050058</t>
  </si>
  <si>
    <t>51171630 - Aceite mineral</t>
  </si>
  <si>
    <t>ACEITE:MINERAL</t>
  </si>
  <si>
    <t>028250</t>
  </si>
  <si>
    <t>53131602 - Artículos para el cuidado del cabello</t>
  </si>
  <si>
    <t>LIGA:CABELLO</t>
  </si>
  <si>
    <t>047930</t>
  </si>
  <si>
    <t>10161904 - Flores secas</t>
  </si>
  <si>
    <t>FLORES:SECAS</t>
  </si>
  <si>
    <t>050583</t>
  </si>
  <si>
    <t>52151706 - Palillos</t>
  </si>
  <si>
    <t>PALILLOS:ALIMENTOS</t>
  </si>
  <si>
    <t>042902</t>
  </si>
  <si>
    <t>12181504 - Petrolatos</t>
  </si>
  <si>
    <t>VASELINA;INDUSTRIAL</t>
  </si>
  <si>
    <t>050241</t>
  </si>
  <si>
    <t>60122101 - Mechas para la fabricación de velas</t>
  </si>
  <si>
    <t>MECHA:VELA</t>
  </si>
  <si>
    <t>054459</t>
  </si>
  <si>
    <t>31241700 - Espejos</t>
  </si>
  <si>
    <t>ESPEJO</t>
  </si>
  <si>
    <t>042448</t>
  </si>
  <si>
    <t>12181500 - Ceras</t>
  </si>
  <si>
    <t>CERA:MANUFACTURA</t>
  </si>
  <si>
    <t>056888</t>
  </si>
  <si>
    <t>60122102 - Moldes fabricación de velas</t>
  </si>
  <si>
    <t>MOLDE:VELA</t>
  </si>
  <si>
    <t>052593</t>
  </si>
  <si>
    <t>25191700 - Equipo para el mant vehículos</t>
  </si>
  <si>
    <t>KIT ACCESORIOS:EMERGENCIA</t>
  </si>
  <si>
    <t>004217</t>
  </si>
  <si>
    <t>53131604 - Cepillos o peinillas para el cabello</t>
  </si>
  <si>
    <t>PEINE:CABELLO</t>
  </si>
  <si>
    <t>047911</t>
  </si>
  <si>
    <t>53131628 - Champús</t>
  </si>
  <si>
    <t>SHAMPOO:CABELLO</t>
  </si>
  <si>
    <t>047961</t>
  </si>
  <si>
    <t>53131606 - Desodorantes</t>
  </si>
  <si>
    <t>DESODORANTE:PERSONAL</t>
  </si>
  <si>
    <t>047918</t>
  </si>
  <si>
    <t>53131608 - Jabones</t>
  </si>
  <si>
    <t>JABON:TOCADOR</t>
  </si>
  <si>
    <t>047968</t>
  </si>
  <si>
    <t>53131502 - Dentífrico</t>
  </si>
  <si>
    <t>PASTA:DENTAL</t>
  </si>
  <si>
    <t>047979</t>
  </si>
  <si>
    <t>53131503 - Cepillos de dientes</t>
  </si>
  <si>
    <t>CEPILLO:DENTAL</t>
  </si>
  <si>
    <t>047977</t>
  </si>
  <si>
    <t>RED:PESCA</t>
  </si>
  <si>
    <t>059835</t>
  </si>
  <si>
    <t>31162800 - Ferretería en general</t>
  </si>
  <si>
    <t>TOPE:VEHICULO</t>
  </si>
  <si>
    <t>014244</t>
  </si>
  <si>
    <t>27111508 - Sierras</t>
  </si>
  <si>
    <t>SIERRA:MADERA</t>
  </si>
  <si>
    <t>006812</t>
  </si>
  <si>
    <t>50131701 - Prods Leche mantequilla fresco</t>
  </si>
  <si>
    <t>CMI02060000 - Panificables</t>
  </si>
  <si>
    <t>LECHE</t>
  </si>
  <si>
    <t>049425</t>
  </si>
  <si>
    <t>52151704 - Cucharas para uso doméstico</t>
  </si>
  <si>
    <t>CMI02100200 - Utensilios Cocina</t>
  </si>
  <si>
    <t>CUCHARA:MESA</t>
  </si>
  <si>
    <t>043351</t>
  </si>
  <si>
    <t>52151702 - Cuchillos para uso doméstico</t>
  </si>
  <si>
    <t>CUCHILLO:DOMESTICO</t>
  </si>
  <si>
    <t>043130</t>
  </si>
  <si>
    <t>48101810 - Tapas sartenes ollas uso comer</t>
  </si>
  <si>
    <t>CMI02100300 - Vajillas</t>
  </si>
  <si>
    <t>TAPADERA:ALIMENTOS</t>
  </si>
  <si>
    <t>042931</t>
  </si>
  <si>
    <t>52152104 - Copas para uso doméstico</t>
  </si>
  <si>
    <t>COPA:BEBIDA</t>
  </si>
  <si>
    <t>043072</t>
  </si>
  <si>
    <t>50121802 - Plantas acuáticas frescas</t>
  </si>
  <si>
    <t>PLANTA:ACUATICA;FRESCA</t>
  </si>
  <si>
    <t>050085</t>
  </si>
  <si>
    <t>27121500 - Prensas hidráulicas</t>
  </si>
  <si>
    <t>PRENSA:FORZADORA HIDRAULICA</t>
  </si>
  <si>
    <t>007253</t>
  </si>
  <si>
    <t>52151613 - Raspasores comida uso domestic</t>
  </si>
  <si>
    <t>RASPADOR:ALIMENTOS</t>
  </si>
  <si>
    <t>043317</t>
  </si>
  <si>
    <t>52151600 - Utensilios cocina domésticos</t>
  </si>
  <si>
    <t>RODILLO:MANUAL</t>
  </si>
  <si>
    <t>042958</t>
  </si>
  <si>
    <t>44111803 - Compases</t>
  </si>
  <si>
    <t>COMPAS BARRA:TRAZADOR</t>
  </si>
  <si>
    <t>034515</t>
  </si>
  <si>
    <t>CUCHARA:TE</t>
  </si>
  <si>
    <t>043354</t>
  </si>
  <si>
    <t>52152002 - Cont almacenar alimentos</t>
  </si>
  <si>
    <t>RECIPIENTE:ALIMENTOS</t>
  </si>
  <si>
    <t>042878</t>
  </si>
  <si>
    <t>52151703 - Tenedores para uso doméstico</t>
  </si>
  <si>
    <t>TENEDOR:MESA</t>
  </si>
  <si>
    <t>043063</t>
  </si>
  <si>
    <t>30171512 - Abridores de puertas</t>
  </si>
  <si>
    <t>APERTURA:PUERTA</t>
  </si>
  <si>
    <t>046459</t>
  </si>
  <si>
    <t>53141626 - Aro para bordado</t>
  </si>
  <si>
    <t>BASTIDOR:BORDADO</t>
  </si>
  <si>
    <t>046324</t>
  </si>
  <si>
    <t>53141600 - Suministros de costura variado</t>
  </si>
  <si>
    <t>TIJERAS:BORDADO</t>
  </si>
  <si>
    <t>013437</t>
  </si>
  <si>
    <t>53141503 - Cremalleras</t>
  </si>
  <si>
    <t>CREMALLERA</t>
  </si>
  <si>
    <t>014385</t>
  </si>
  <si>
    <t>53141500 - Afianzadores de costura</t>
  </si>
  <si>
    <t>BOTON:BROCHE</t>
  </si>
  <si>
    <t>046441</t>
  </si>
  <si>
    <t>11161801 - TELA TEJIDO LISO</t>
  </si>
  <si>
    <t>TELA:SINTETICA</t>
  </si>
  <si>
    <t>046095</t>
  </si>
  <si>
    <t>11161700 - TEJIDOS DE ALGODÓN</t>
  </si>
  <si>
    <t>TELA:ALGODÓN</t>
  </si>
  <si>
    <t>046091</t>
  </si>
  <si>
    <t>53141622 - REGLA DE MODISTA</t>
  </si>
  <si>
    <t>REGLA:MODISTA</t>
  </si>
  <si>
    <t>046446</t>
  </si>
  <si>
    <t>53141620 - RASGADOR DE COSTURAS</t>
  </si>
  <si>
    <t>RASGADOR:COSTURAS</t>
  </si>
  <si>
    <t>046442</t>
  </si>
  <si>
    <t>53141629 - ALFILERES DE ACOLCHADO</t>
  </si>
  <si>
    <t>ALFILER:ACOLCHADO</t>
  </si>
  <si>
    <t>046417</t>
  </si>
  <si>
    <t>53141605 - AGUJAS DE COSER</t>
  </si>
  <si>
    <t>AGUJA:COSER</t>
  </si>
  <si>
    <t>046374</t>
  </si>
  <si>
    <t>23153100 - Comp/accesorios maq industrial</t>
  </si>
  <si>
    <t>DOBLADORA:PIEZAS METAL</t>
  </si>
  <si>
    <t>006854</t>
  </si>
  <si>
    <t>44103206 - Maq huellas ctrl tiempo/acceso</t>
  </si>
  <si>
    <t>EQUIPO:CONTROL DE ACCESO</t>
  </si>
  <si>
    <t>056668</t>
  </si>
  <si>
    <t>52121502 - Edredones</t>
  </si>
  <si>
    <t>COBERTOR:DE CAMA</t>
  </si>
  <si>
    <t>042630</t>
  </si>
  <si>
    <t>52121600 - Mantelerías cocina,mesa, acces</t>
  </si>
  <si>
    <t>ALMOHADILLA:PORTAVASO</t>
  </si>
  <si>
    <t>042721</t>
  </si>
  <si>
    <t>10191701 - Trampas para control animal</t>
  </si>
  <si>
    <t>PLANTA FLORAL:ROSA</t>
  </si>
  <si>
    <t>052396</t>
  </si>
  <si>
    <t>56101518 - Estanterías de pared</t>
  </si>
  <si>
    <t>ESTANTES:PARED</t>
  </si>
  <si>
    <t>042465</t>
  </si>
  <si>
    <t>27112100 - Htas de sujeción y fijación</t>
  </si>
  <si>
    <t>SUM231000 - Accesorios Eléctrico</t>
  </si>
  <si>
    <t>PINZA:ALICATES</t>
  </si>
  <si>
    <t>012718</t>
  </si>
  <si>
    <t>10161502 - Cafetos</t>
  </si>
  <si>
    <t>ARBUSTO:CAFETO</t>
  </si>
  <si>
    <t>053841</t>
  </si>
  <si>
    <t>43211802 - Almohadillas (pads) para mouse</t>
  </si>
  <si>
    <t>PAD:MOUSE</t>
  </si>
  <si>
    <t>042046</t>
  </si>
  <si>
    <t>60124505 - Ampollas o accesorios</t>
  </si>
  <si>
    <t>BURBUJA:DECORATIVA</t>
  </si>
  <si>
    <t>051374</t>
  </si>
  <si>
    <t>54111601 - Relojes de pared</t>
  </si>
  <si>
    <t>RELOJ:PARED</t>
  </si>
  <si>
    <t>034870</t>
  </si>
  <si>
    <t>30151703 - Canaletas</t>
  </si>
  <si>
    <t>CANALETA:METALICA</t>
  </si>
  <si>
    <t>015620</t>
  </si>
  <si>
    <t>53102505 - Sombrillas</t>
  </si>
  <si>
    <t>SOMBRILLA</t>
  </si>
  <si>
    <t>061150</t>
  </si>
  <si>
    <t>10161509 - Coníferas</t>
  </si>
  <si>
    <t>ARBOL:CONIFERA</t>
  </si>
  <si>
    <t>054308</t>
  </si>
  <si>
    <t>43201415 - Tarjeta mod id suscriptor sim</t>
  </si>
  <si>
    <t>TARJETA:ID</t>
  </si>
  <si>
    <t>015940</t>
  </si>
  <si>
    <t>49171602 - Sacos de boxeo</t>
  </si>
  <si>
    <t>SACO:BOXEO</t>
  </si>
  <si>
    <t>044684</t>
  </si>
  <si>
    <t>49171603 - Guantes de boxeo</t>
  </si>
  <si>
    <t>GUANTES:BOXEO</t>
  </si>
  <si>
    <t>044848</t>
  </si>
  <si>
    <t>43201817 - Unidades de disco compacto cd</t>
  </si>
  <si>
    <t>DISCO COMPACTO</t>
  </si>
  <si>
    <t>051911</t>
  </si>
  <si>
    <t>48101915 - Bandejas para servicio comidas</t>
  </si>
  <si>
    <t>BANDEJA</t>
  </si>
  <si>
    <t>043417</t>
  </si>
  <si>
    <t>27112029 - Regadera de jardín</t>
  </si>
  <si>
    <t>PISTOLA:AGUA</t>
  </si>
  <si>
    <t>011702</t>
  </si>
  <si>
    <t>10160000 - Prod floricultura/silvicultura</t>
  </si>
  <si>
    <t>PRODUCTO:SILVICULTURA</t>
  </si>
  <si>
    <t>060354</t>
  </si>
  <si>
    <t>41112100 - Transductores</t>
  </si>
  <si>
    <t>TRANSDUCTOR, SONAR</t>
  </si>
  <si>
    <t>016951</t>
  </si>
  <si>
    <t>42181501 - Depresores lengua/baja lenguas</t>
  </si>
  <si>
    <t>DEPRESOR:LENGUA</t>
  </si>
  <si>
    <t>023963</t>
  </si>
  <si>
    <t>56101606 - Materas</t>
  </si>
  <si>
    <t>MACETA</t>
  </si>
  <si>
    <t>042517</t>
  </si>
  <si>
    <t>52101500 - Alfombras y felpudos</t>
  </si>
  <si>
    <t>ALFOMBRA</t>
  </si>
  <si>
    <t>042619</t>
  </si>
  <si>
    <t>30102901 - Postes de cemento o concreto</t>
  </si>
  <si>
    <t>CMI02052000 - Prefabricados de Concreto</t>
  </si>
  <si>
    <t>POSTE:CONCRETO</t>
  </si>
  <si>
    <t>053426</t>
  </si>
  <si>
    <t>43211603 - Replicadores de puertos</t>
  </si>
  <si>
    <t>CMI02160200 - Rptos. De Equipo de Computo</t>
  </si>
  <si>
    <t>REPLICADOR DE PUERTOS</t>
  </si>
  <si>
    <t>042054</t>
  </si>
  <si>
    <t>27112004 - Palas</t>
  </si>
  <si>
    <t>PALA:MANUAL</t>
  </si>
  <si>
    <t>013510</t>
  </si>
  <si>
    <t>40141735 - Embudos</t>
  </si>
  <si>
    <t>EMBUDO; FLUJO DE FLUIDO</t>
  </si>
  <si>
    <t>010947</t>
  </si>
  <si>
    <t>31162314 - Espaciador de baldosas</t>
  </si>
  <si>
    <t>SEPARADOR;MONTAJE</t>
  </si>
  <si>
    <t>056653</t>
  </si>
  <si>
    <t>27112739 - Lija de banda</t>
  </si>
  <si>
    <t>LIJA DE BANDA</t>
  </si>
  <si>
    <t>923851</t>
  </si>
  <si>
    <t>30161504 - Protectores de esquinas</t>
  </si>
  <si>
    <t>SOPORTE ESQUINA</t>
  </si>
  <si>
    <t>903162</t>
  </si>
  <si>
    <t>15121902 - Grasa</t>
  </si>
  <si>
    <t>TEFLON</t>
  </si>
  <si>
    <t>736714</t>
  </si>
  <si>
    <t>39121406 - Receptáculos eléctricos</t>
  </si>
  <si>
    <t>CMI02051200 - Materiales Eléctricos</t>
  </si>
  <si>
    <t>TOMACORRIENTE</t>
  </si>
  <si>
    <t>597214</t>
  </si>
  <si>
    <t>27111615 - Almádena o martillo macho</t>
  </si>
  <si>
    <t>ALMADANA</t>
  </si>
  <si>
    <t>407781</t>
  </si>
  <si>
    <t>SUM231100 - Accesorios Mecánicos</t>
  </si>
  <si>
    <t>ACCESORIO:TUBERIA</t>
  </si>
  <si>
    <t>363903</t>
  </si>
  <si>
    <t>40170000 - Insts de tubos y entubamientos</t>
  </si>
  <si>
    <t>MONTAJE:TUBERIA</t>
  </si>
  <si>
    <t>363837</t>
  </si>
  <si>
    <t>41111621 - Calibradores</t>
  </si>
  <si>
    <t>CALIBRADOR</t>
  </si>
  <si>
    <t>232123</t>
  </si>
  <si>
    <t>25191719 - Llave para tuercas de llantas</t>
  </si>
  <si>
    <t>SUM231600 - Herramienta Mecánica</t>
  </si>
  <si>
    <t>CMI02070300 - Rep. Automotrices-Mecánicos</t>
  </si>
  <si>
    <t>LLAVE:TUERCAS;LLANTAS</t>
  </si>
  <si>
    <t>1159951</t>
  </si>
  <si>
    <t>27111930 - Lima redonda</t>
  </si>
  <si>
    <t>CMI02090500 - Herramientas Industriales</t>
  </si>
  <si>
    <t>LIMA REDONDA</t>
  </si>
  <si>
    <t>1143707</t>
  </si>
  <si>
    <t>27111931 - Lima semicircular</t>
  </si>
  <si>
    <t>LIMA SEMI CIRCULAR</t>
  </si>
  <si>
    <t>1143701</t>
  </si>
  <si>
    <t>23153145 - Pistola de rociado</t>
  </si>
  <si>
    <t>PISTOLA SELLANTE</t>
  </si>
  <si>
    <t>1140205</t>
  </si>
  <si>
    <t>BASE:SOPORTE</t>
  </si>
  <si>
    <t>1093763</t>
  </si>
  <si>
    <t>31191500 - Abrasivos y medios de abrasivo</t>
  </si>
  <si>
    <t>PUNTA:ABRASIVA</t>
  </si>
  <si>
    <t>1075185</t>
  </si>
  <si>
    <t>41113801 - Compases geológicos</t>
  </si>
  <si>
    <t>BRUJULA</t>
  </si>
  <si>
    <t>1073474</t>
  </si>
  <si>
    <t>40141736 - Graseras (de lubricación)</t>
  </si>
  <si>
    <t>ALEMITE</t>
  </si>
  <si>
    <t>1072610</t>
  </si>
  <si>
    <t>43211617 - Cable extn bus serial univ usb</t>
  </si>
  <si>
    <t>CABLE USB</t>
  </si>
  <si>
    <t>1036773</t>
  </si>
  <si>
    <t>27111740 - Destornillador telescópico</t>
  </si>
  <si>
    <t>IMAN;TELESCOPICO</t>
  </si>
  <si>
    <t>1028373</t>
  </si>
  <si>
    <t>27111736 - Destornillador aislado</t>
  </si>
  <si>
    <t>DESTORNILLADOR:AISLADO</t>
  </si>
  <si>
    <t>1028369</t>
  </si>
  <si>
    <t>23271700 - Acce.sold,sol.fuerte/sol.débil</t>
  </si>
  <si>
    <t>MOLDE:SOLDADURA EXOTERMICA</t>
  </si>
  <si>
    <t>092339</t>
  </si>
  <si>
    <t>39112102 - Ilum óptica diodo emir luz led</t>
  </si>
  <si>
    <t>CMI02050800 - Iluminación</t>
  </si>
  <si>
    <t>LUZ:LED</t>
  </si>
  <si>
    <t>091716</t>
  </si>
  <si>
    <t>27112813 - Vara de extensión</t>
  </si>
  <si>
    <t>EXTENSION:POSTE</t>
  </si>
  <si>
    <t>090484</t>
  </si>
  <si>
    <t>31160000 - Ferretería</t>
  </si>
  <si>
    <t>PIEZA:METALICA</t>
  </si>
  <si>
    <t>090295</t>
  </si>
  <si>
    <t>27111713 - Llaves de combinación</t>
  </si>
  <si>
    <t>LLAVE:COMBINACION</t>
  </si>
  <si>
    <t>089852</t>
  </si>
  <si>
    <t>27111705 - Llaves tuercas de boca cerrada</t>
  </si>
  <si>
    <t>LLAVE:BOCA CERRADA</t>
  </si>
  <si>
    <t>089851</t>
  </si>
  <si>
    <t>25191720 - Llave de bujías</t>
  </si>
  <si>
    <t>LLAVE</t>
  </si>
  <si>
    <t>089846</t>
  </si>
  <si>
    <t>31152200 - Alams no elecs hierro y acero</t>
  </si>
  <si>
    <t>ALAMBRE:NO ELECTRICO</t>
  </si>
  <si>
    <t>089837</t>
  </si>
  <si>
    <t>24101608 - Malacates o güinches</t>
  </si>
  <si>
    <t>TORNO</t>
  </si>
  <si>
    <t>089820</t>
  </si>
  <si>
    <t>31162702 - Ruedas</t>
  </si>
  <si>
    <t>RUEDA</t>
  </si>
  <si>
    <t>089802</t>
  </si>
  <si>
    <t>23271400 - Máquinas soldadoras</t>
  </si>
  <si>
    <t>MAQ. SOLDADORA</t>
  </si>
  <si>
    <t>089797</t>
  </si>
  <si>
    <t>CERA</t>
  </si>
  <si>
    <t>089788</t>
  </si>
  <si>
    <t>23152105 - Vibrador electromecánico</t>
  </si>
  <si>
    <t>VIBRADOR</t>
  </si>
  <si>
    <t>089747</t>
  </si>
  <si>
    <t>40141603 - Válvulas neumáticas</t>
  </si>
  <si>
    <t>CMI02090600 - Hidraulicos_Neumaticos</t>
  </si>
  <si>
    <t>VALVULA:NEUMATICA</t>
  </si>
  <si>
    <t>089724</t>
  </si>
  <si>
    <t>47121602 - Aspiradoras</t>
  </si>
  <si>
    <t>ASPIRADORA</t>
  </si>
  <si>
    <t>089707</t>
  </si>
  <si>
    <t>39131704 - Bandeja de cables</t>
  </si>
  <si>
    <t>BANDEJA:CABLE</t>
  </si>
  <si>
    <t>089617</t>
  </si>
  <si>
    <t>27112104 - Tenazas</t>
  </si>
  <si>
    <t>TENAZAS</t>
  </si>
  <si>
    <t>089538</t>
  </si>
  <si>
    <t>23271706 - Punta para des – soldar</t>
  </si>
  <si>
    <t>PUNTA:SOLDAR</t>
  </si>
  <si>
    <t>089523</t>
  </si>
  <si>
    <t>31201500 - Cinta adhesiva</t>
  </si>
  <si>
    <t>CMI02052300 - Vidriería</t>
  </si>
  <si>
    <t>CINTA</t>
  </si>
  <si>
    <t>089416</t>
  </si>
  <si>
    <t>27112806 - Machos de roscado</t>
  </si>
  <si>
    <t>JUEGO MACHUELO</t>
  </si>
  <si>
    <t>089412</t>
  </si>
  <si>
    <t>31151900 - Correas</t>
  </si>
  <si>
    <t>CMI02050500 - Fijación y Anclajes</t>
  </si>
  <si>
    <t>FLEJE</t>
  </si>
  <si>
    <t>089287</t>
  </si>
  <si>
    <t>23271806 - Cautín</t>
  </si>
  <si>
    <t>SOLDADURA</t>
  </si>
  <si>
    <t>089107</t>
  </si>
  <si>
    <t>27111704 - Enchufes</t>
  </si>
  <si>
    <t>CUBO</t>
  </si>
  <si>
    <t>089099</t>
  </si>
  <si>
    <t>JABON</t>
  </si>
  <si>
    <t>089096</t>
  </si>
  <si>
    <t>27111728 - Juego de destornilladores</t>
  </si>
  <si>
    <t>JUEGO DESTORNILLADOR</t>
  </si>
  <si>
    <t>088914</t>
  </si>
  <si>
    <t>27111701 - Destornilladores</t>
  </si>
  <si>
    <t>DESTORNILLADOR</t>
  </si>
  <si>
    <t>088909</t>
  </si>
  <si>
    <t>31161501 - Tornillos de perno</t>
  </si>
  <si>
    <t>TORNILLO:TAPA</t>
  </si>
  <si>
    <t>088902</t>
  </si>
  <si>
    <t>27112009 - Raspadores</t>
  </si>
  <si>
    <t>ESPATULA</t>
  </si>
  <si>
    <t>088891</t>
  </si>
  <si>
    <t>27112826 - Caladora</t>
  </si>
  <si>
    <t>CALADORA</t>
  </si>
  <si>
    <t>088873</t>
  </si>
  <si>
    <t>31161618 - Varilla roscada</t>
  </si>
  <si>
    <t>CMI02050700 - Hierro</t>
  </si>
  <si>
    <t>VARILLA:ROSCADA</t>
  </si>
  <si>
    <t>088812</t>
  </si>
  <si>
    <t>13111000 - Resinas</t>
  </si>
  <si>
    <t>RESINA</t>
  </si>
  <si>
    <t>088751</t>
  </si>
  <si>
    <t>27112003 - Rastrillos</t>
  </si>
  <si>
    <t>RASTRILLO</t>
  </si>
  <si>
    <t>088651</t>
  </si>
  <si>
    <t>30103100 - Rieles</t>
  </si>
  <si>
    <t>RIEL</t>
  </si>
  <si>
    <t>088645</t>
  </si>
  <si>
    <t>27111555 - Punzón central</t>
  </si>
  <si>
    <t>PUNZON</t>
  </si>
  <si>
    <t>088615</t>
  </si>
  <si>
    <t>24101613 - Bloques o poleas</t>
  </si>
  <si>
    <t>POLEA</t>
  </si>
  <si>
    <t>088602</t>
  </si>
  <si>
    <t>27113100 - Herramientas de arrastre</t>
  </si>
  <si>
    <t>EXTRACTOR</t>
  </si>
  <si>
    <t>088600</t>
  </si>
  <si>
    <t>27112151 - Alicates pelacables</t>
  </si>
  <si>
    <t>ALICATES PELA CABLES</t>
  </si>
  <si>
    <t>088482</t>
  </si>
  <si>
    <t>27112147 - Alicates de engaste</t>
  </si>
  <si>
    <t>ALICATE</t>
  </si>
  <si>
    <t>088478</t>
  </si>
  <si>
    <t>20121508 - Tubo de perforación</t>
  </si>
  <si>
    <t>TUBERIA:PERFORACION</t>
  </si>
  <si>
    <t>088438</t>
  </si>
  <si>
    <t>27112208 - Pica</t>
  </si>
  <si>
    <t>PICA</t>
  </si>
  <si>
    <t>088397</t>
  </si>
  <si>
    <t>14122200 - Papel especiali uso industrial</t>
  </si>
  <si>
    <t>PAPEL</t>
  </si>
  <si>
    <t>088320</t>
  </si>
  <si>
    <t>30111504 - Morteros</t>
  </si>
  <si>
    <t>MORTERO</t>
  </si>
  <si>
    <t>088096</t>
  </si>
  <si>
    <t>41111601 - Micrómetros</t>
  </si>
  <si>
    <t>MICROMETRO</t>
  </si>
  <si>
    <t>088061</t>
  </si>
  <si>
    <t>31162407 - Pestillo</t>
  </si>
  <si>
    <t>PESTILLO</t>
  </si>
  <si>
    <t>087808</t>
  </si>
  <si>
    <t>INVERSOR</t>
  </si>
  <si>
    <t>087698</t>
  </si>
  <si>
    <t>24101602 - Montacargas</t>
  </si>
  <si>
    <t>MONTACARGA</t>
  </si>
  <si>
    <t>087489</t>
  </si>
  <si>
    <t>31162403 - Goznes o bisagras</t>
  </si>
  <si>
    <t>BISAGRA</t>
  </si>
  <si>
    <t>087485</t>
  </si>
  <si>
    <t>31162801 - Chapas o pomos</t>
  </si>
  <si>
    <t>MANILLA</t>
  </si>
  <si>
    <t>087419</t>
  </si>
  <si>
    <t>27111618 - Martillo de garra</t>
  </si>
  <si>
    <t>MARTILLO</t>
  </si>
  <si>
    <t>087410</t>
  </si>
  <si>
    <t>27112719 - Pistolas para engomar</t>
  </si>
  <si>
    <t>PISTOLA:GOMA</t>
  </si>
  <si>
    <t>087400</t>
  </si>
  <si>
    <t>52161518 - Receptores sist posimto global</t>
  </si>
  <si>
    <t>GPS</t>
  </si>
  <si>
    <t>087338</t>
  </si>
  <si>
    <t>GALGA</t>
  </si>
  <si>
    <t>087287</t>
  </si>
  <si>
    <t>30101800 - Conductos</t>
  </si>
  <si>
    <t>CMI02051400 - Perfiles</t>
  </si>
  <si>
    <t>FINAL:CONDUCTO</t>
  </si>
  <si>
    <t>087042</t>
  </si>
  <si>
    <t>12171500 - Tintes</t>
  </si>
  <si>
    <t>CMI02051600 - Pinturas y Solventes</t>
  </si>
  <si>
    <t>TINTE</t>
  </si>
  <si>
    <t>086988</t>
  </si>
  <si>
    <t>27111702 - Llaves para tuercas</t>
  </si>
  <si>
    <t>LLAVE:TUERCA</t>
  </si>
  <si>
    <t>086971</t>
  </si>
  <si>
    <t>43202005 - Tarjeta flash almac de memoria</t>
  </si>
  <si>
    <t>MEMORIA USB</t>
  </si>
  <si>
    <t>086914</t>
  </si>
  <si>
    <t>31242204 - Difusores ópticos</t>
  </si>
  <si>
    <t>DIFUSOR</t>
  </si>
  <si>
    <t>086885</t>
  </si>
  <si>
    <t>27111511 - Cortadores de alambres</t>
  </si>
  <si>
    <t>CORTADOR:CABLE</t>
  </si>
  <si>
    <t>086799</t>
  </si>
  <si>
    <t>27111756 - Llave de pata de cuervo</t>
  </si>
  <si>
    <t>BARRA CUERVO</t>
  </si>
  <si>
    <t>086767</t>
  </si>
  <si>
    <t>39122113 - Cruceta del poste de utilidad</t>
  </si>
  <si>
    <t>CRUCETA</t>
  </si>
  <si>
    <t>086761</t>
  </si>
  <si>
    <t>40141734 - Conectores para mangueras</t>
  </si>
  <si>
    <t>ACOPLE:MANGUERA</t>
  </si>
  <si>
    <t>086715</t>
  </si>
  <si>
    <t>39121440 - Cable de extensión eléctrica</t>
  </si>
  <si>
    <t>CABLE:EXTENSION</t>
  </si>
  <si>
    <t>086692</t>
  </si>
  <si>
    <t>39121400 - Lengdconex conectadores/tmnal</t>
  </si>
  <si>
    <t>CONECTOR:ELECTRICO</t>
  </si>
  <si>
    <t>086652</t>
  </si>
  <si>
    <t>23131501 - Compuestos abrasivos</t>
  </si>
  <si>
    <t>COMPUESTO</t>
  </si>
  <si>
    <t>086621</t>
  </si>
  <si>
    <t>31162900 - Mordazas</t>
  </si>
  <si>
    <t>ABRAZADERA</t>
  </si>
  <si>
    <t>086514</t>
  </si>
  <si>
    <t>47121804 - Baldes para limpieza</t>
  </si>
  <si>
    <t>BALDE</t>
  </si>
  <si>
    <t>086250</t>
  </si>
  <si>
    <t>47131605 - Cepillos de limpieza</t>
  </si>
  <si>
    <t>CEPILLO:ALAMBRE</t>
  </si>
  <si>
    <t>086247</t>
  </si>
  <si>
    <t>CEPILLO</t>
  </si>
  <si>
    <t>086237</t>
  </si>
  <si>
    <t>27112802 - Hojas de sierra</t>
  </si>
  <si>
    <t>HOJA:SIERRA</t>
  </si>
  <si>
    <t>086103</t>
  </si>
  <si>
    <t>27112842 - Broca manual para madera</t>
  </si>
  <si>
    <t>BROCA:MADERA</t>
  </si>
  <si>
    <t>086094</t>
  </si>
  <si>
    <t>27112841 - Broca manual para metal</t>
  </si>
  <si>
    <t>BROCA</t>
  </si>
  <si>
    <t>086085</t>
  </si>
  <si>
    <t>31162500 - Soportes y puntales</t>
  </si>
  <si>
    <t>BIPODE</t>
  </si>
  <si>
    <t>086080</t>
  </si>
  <si>
    <t>27112503 - Dobladoras de tubos</t>
  </si>
  <si>
    <t>DOBLADOR:TUBERIA</t>
  </si>
  <si>
    <t>086060</t>
  </si>
  <si>
    <t>24121502 - Sacos o bolsas para empacar</t>
  </si>
  <si>
    <t>CMI03110200 - Sacos PP</t>
  </si>
  <si>
    <t>SACO</t>
  </si>
  <si>
    <t>085929</t>
  </si>
  <si>
    <t>27111509 - Barrenas</t>
  </si>
  <si>
    <t>SINFINES</t>
  </si>
  <si>
    <t>085915</t>
  </si>
  <si>
    <t>085909</t>
  </si>
  <si>
    <t>25172906 - Reflectores</t>
  </si>
  <si>
    <t>REFLECTOR</t>
  </si>
  <si>
    <t>085592</t>
  </si>
  <si>
    <t>27111734 - Destnr de múltiples puntas</t>
  </si>
  <si>
    <t>DESTORNILLADOR COPA</t>
  </si>
  <si>
    <t>084805</t>
  </si>
  <si>
    <t>27112838 - Disco de corte</t>
  </si>
  <si>
    <t>CORTE:DISCO</t>
  </si>
  <si>
    <t>082430</t>
  </si>
  <si>
    <t>SOPORTE</t>
  </si>
  <si>
    <t>081982</t>
  </si>
  <si>
    <t>13111300 - Espumas</t>
  </si>
  <si>
    <t>ESPUMA POLIURETANO</t>
  </si>
  <si>
    <t>081817</t>
  </si>
  <si>
    <t>56101712 - Pedestales</t>
  </si>
  <si>
    <t>PEDESTAL</t>
  </si>
  <si>
    <t>081782</t>
  </si>
  <si>
    <t>52141546 - Extractor cocina uso doméstico</t>
  </si>
  <si>
    <t>EXAUSTOR</t>
  </si>
  <si>
    <t>081489</t>
  </si>
  <si>
    <t>24112404 - Caja</t>
  </si>
  <si>
    <t>CMI03050100 - Cajas Plegadizas</t>
  </si>
  <si>
    <t>CAJA</t>
  </si>
  <si>
    <t>081201</t>
  </si>
  <si>
    <t>56101515 - Camas</t>
  </si>
  <si>
    <t>CAMA</t>
  </si>
  <si>
    <t>081163</t>
  </si>
  <si>
    <t>23271408 - Máq soldadura gas inerte metal</t>
  </si>
  <si>
    <t>EQUIPO;SOLDADURA</t>
  </si>
  <si>
    <t>078935</t>
  </si>
  <si>
    <t>31371200 - Compuestos para moldear</t>
  </si>
  <si>
    <t>COMPUESTO MODEABLE</t>
  </si>
  <si>
    <t>078356</t>
  </si>
  <si>
    <t>ESPUMA LIMPIADORA</t>
  </si>
  <si>
    <t>078010</t>
  </si>
  <si>
    <t>31152209 - Alambre de hierro</t>
  </si>
  <si>
    <t>ALAMBRE</t>
  </si>
  <si>
    <t>077831</t>
  </si>
  <si>
    <t>12163902 - Remove/convert incrustaciones</t>
  </si>
  <si>
    <t>SOLVENTE REMOVEDOR</t>
  </si>
  <si>
    <t>076268</t>
  </si>
  <si>
    <t>13102026 - Poliestireno (icopor) ps</t>
  </si>
  <si>
    <t>CMI02051800 - Planchas de Duroport</t>
  </si>
  <si>
    <t>POLIESTIRENO</t>
  </si>
  <si>
    <t>074499</t>
  </si>
  <si>
    <t>13111010 - Nylon</t>
  </si>
  <si>
    <t>CMI03020300 - Bobina Polietileno</t>
  </si>
  <si>
    <t>NYLON PLASTICO</t>
  </si>
  <si>
    <t>073762</t>
  </si>
  <si>
    <t>27111712 - Extractores</t>
  </si>
  <si>
    <t>AGUJAS</t>
  </si>
  <si>
    <t>073609</t>
  </si>
  <si>
    <t>11151510 - Fibras vegetales</t>
  </si>
  <si>
    <t>FIBRA</t>
  </si>
  <si>
    <t>071206</t>
  </si>
  <si>
    <t>14121800 - Papeles recubiertos</t>
  </si>
  <si>
    <t>PAPEL REVESTIDO</t>
  </si>
  <si>
    <t>069629</t>
  </si>
  <si>
    <t>23271701 - Soplete</t>
  </si>
  <si>
    <t>SOPLETE</t>
  </si>
  <si>
    <t>068731</t>
  </si>
  <si>
    <t>52121508 - Cobijas</t>
  </si>
  <si>
    <t>COBIJA</t>
  </si>
  <si>
    <t>068682</t>
  </si>
  <si>
    <t>CMI02020100 - Canastas plásticas</t>
  </si>
  <si>
    <t>ACRILICO</t>
  </si>
  <si>
    <t>067967</t>
  </si>
  <si>
    <t>31152306 - Alam estaño o aleación estaño</t>
  </si>
  <si>
    <t>ALAMBRE ESTAÑO</t>
  </si>
  <si>
    <t>067817</t>
  </si>
  <si>
    <t>30141500 - Aislamiento térmico</t>
  </si>
  <si>
    <t>AISLANTE TERMICO</t>
  </si>
  <si>
    <t>067803</t>
  </si>
  <si>
    <t>26121509 - Alambre para imanes</t>
  </si>
  <si>
    <t>ALAMBRE IMANTADO</t>
  </si>
  <si>
    <t>067553</t>
  </si>
  <si>
    <t>COBIJA AISLANTE</t>
  </si>
  <si>
    <t>067277</t>
  </si>
  <si>
    <t>39121405 - Terminales de cable o alambre</t>
  </si>
  <si>
    <t>SET TERMINAL:OREJETA</t>
  </si>
  <si>
    <t>061671</t>
  </si>
  <si>
    <t>39121700 - Ferretería eléctrica y sums</t>
  </si>
  <si>
    <t>COMPUESTO CONDUCTIVO:ELECTRICO</t>
  </si>
  <si>
    <t>061666</t>
  </si>
  <si>
    <t>23241601 - Herramienta perforador</t>
  </si>
  <si>
    <t>BROCA:PALETA;MADERA</t>
  </si>
  <si>
    <t>060512</t>
  </si>
  <si>
    <t>41114500 - Instrumentos mecánicos</t>
  </si>
  <si>
    <t>ANALIZADOR:VIBRACION</t>
  </si>
  <si>
    <t>060504</t>
  </si>
  <si>
    <t>70131503 - Servicio control de la erosión</t>
  </si>
  <si>
    <t>CONTROL:EROSIÓN</t>
  </si>
  <si>
    <t>056066</t>
  </si>
  <si>
    <t>10161511 - Pinos</t>
  </si>
  <si>
    <t>ARBOL:PINO</t>
  </si>
  <si>
    <t>054310</t>
  </si>
  <si>
    <t>31201503 - Cinta de enmascarar</t>
  </si>
  <si>
    <t>MASKING TAPE</t>
  </si>
  <si>
    <t>054197</t>
  </si>
  <si>
    <t>43222609 - Enrutadores (routers) de red</t>
  </si>
  <si>
    <t>ROUTER</t>
  </si>
  <si>
    <t>053650</t>
  </si>
  <si>
    <t>14121802 - Papeles recubierto polietileno</t>
  </si>
  <si>
    <t>PAPEL:REVESTIMIENTO</t>
  </si>
  <si>
    <t>053127</t>
  </si>
  <si>
    <t>13111208 - Películas de nylon</t>
  </si>
  <si>
    <t>PELICULA NYLON</t>
  </si>
  <si>
    <t>053068</t>
  </si>
  <si>
    <t>39101613 - Lámparas infrarrojas</t>
  </si>
  <si>
    <t>LAMPARA:INFRAROJA</t>
  </si>
  <si>
    <t>052819</t>
  </si>
  <si>
    <t>27111602 - Martillos</t>
  </si>
  <si>
    <t>MARTILLO:IMPACTO</t>
  </si>
  <si>
    <t>052663</t>
  </si>
  <si>
    <t>60121902 - Fieltro</t>
  </si>
  <si>
    <t>FIELTRO</t>
  </si>
  <si>
    <t>052365</t>
  </si>
  <si>
    <t>31211500 - Pinturas y tapa poros</t>
  </si>
  <si>
    <t>RESINA EPOXICA</t>
  </si>
  <si>
    <t>052186</t>
  </si>
  <si>
    <t>39131712 - Ducto de cableado</t>
  </si>
  <si>
    <t>CONDUCTO:ELECTRICO</t>
  </si>
  <si>
    <t>051926</t>
  </si>
  <si>
    <t>11111601 - Yeso</t>
  </si>
  <si>
    <t>YESO</t>
  </si>
  <si>
    <t>051002</t>
  </si>
  <si>
    <t>11101502 - Lija o esmeril</t>
  </si>
  <si>
    <t>ESMERIL</t>
  </si>
  <si>
    <t>050984</t>
  </si>
  <si>
    <t>27112307 - Tizas para trazar líneas</t>
  </si>
  <si>
    <t>TIZA</t>
  </si>
  <si>
    <t>050969</t>
  </si>
  <si>
    <t>31152001 - Alambre de navaja</t>
  </si>
  <si>
    <t>ALAMBRE:NAVAJA</t>
  </si>
  <si>
    <t>050934</t>
  </si>
  <si>
    <t>30102409 - Varillas de cobre</t>
  </si>
  <si>
    <t>VARILLA:COBRE</t>
  </si>
  <si>
    <t>050871</t>
  </si>
  <si>
    <t>30102410 - Varillas de latón</t>
  </si>
  <si>
    <t>VARILLA:LATON</t>
  </si>
  <si>
    <t>050869</t>
  </si>
  <si>
    <t>30102304 - Perfiles de acero</t>
  </si>
  <si>
    <t>PERFIL:ACERO</t>
  </si>
  <si>
    <t>050862</t>
  </si>
  <si>
    <t>30101706 - Vigas de aluminio</t>
  </si>
  <si>
    <t>VIGA:ALUMINIO</t>
  </si>
  <si>
    <t>050752</t>
  </si>
  <si>
    <t>24141500 - Sumin p/seguridad y protección</t>
  </si>
  <si>
    <t>CMI03080500 - Otros-Empaques Especializados</t>
  </si>
  <si>
    <t>FUNDA ESPIRAL CABLE</t>
  </si>
  <si>
    <t>050546</t>
  </si>
  <si>
    <t>CANAL:PLASTICO</t>
  </si>
  <si>
    <t>050344</t>
  </si>
  <si>
    <t>15121514 - Lubricantes espray</t>
  </si>
  <si>
    <t>CMI02030300 - Lubricantes Industriales</t>
  </si>
  <si>
    <t>LUBRICANTE:AEROSOL</t>
  </si>
  <si>
    <t>050204</t>
  </si>
  <si>
    <t>50221301 - Harina vegetal</t>
  </si>
  <si>
    <t>CMI05060100 - Harinas</t>
  </si>
  <si>
    <t>HARINA DE TRIGO</t>
  </si>
  <si>
    <t>049075</t>
  </si>
  <si>
    <t>10151704 - Semillas o plántulas de pasto</t>
  </si>
  <si>
    <t>GRAMA</t>
  </si>
  <si>
    <t>048109</t>
  </si>
  <si>
    <t>46151506 - Bastones anti motines</t>
  </si>
  <si>
    <t>BASTON:DE PROTECCION</t>
  </si>
  <si>
    <t>046853</t>
  </si>
  <si>
    <t>31151506 - Cuerda de cáñamo</t>
  </si>
  <si>
    <t>HILO:CAÑAMO</t>
  </si>
  <si>
    <t>046571</t>
  </si>
  <si>
    <t>11151700 - Hilos</t>
  </si>
  <si>
    <t>HILO</t>
  </si>
  <si>
    <t>046558</t>
  </si>
  <si>
    <t>31151507 - Cuerda o pita</t>
  </si>
  <si>
    <t>HILO:NYLON</t>
  </si>
  <si>
    <t>046532</t>
  </si>
  <si>
    <t>11151606 - Hebra de fibra de vidrio</t>
  </si>
  <si>
    <t>CABLE:FIBRA VIDRIO</t>
  </si>
  <si>
    <t>046530</t>
  </si>
  <si>
    <t>24141506 - Encerados</t>
  </si>
  <si>
    <t>LONA</t>
  </si>
  <si>
    <t>046500</t>
  </si>
  <si>
    <t>11162116 - Tela de fique o estopa</t>
  </si>
  <si>
    <t>ESTOPA</t>
  </si>
  <si>
    <t>046170</t>
  </si>
  <si>
    <t>24121807 - Recipientes de plástico</t>
  </si>
  <si>
    <t>RECIPIENTE</t>
  </si>
  <si>
    <t>045681</t>
  </si>
  <si>
    <t>24112500 - Cartón ondul materiales p/dist</t>
  </si>
  <si>
    <t>CAJA:PLEGABLE</t>
  </si>
  <si>
    <t>045660</t>
  </si>
  <si>
    <t>24111503 - Bolsas plásticas</t>
  </si>
  <si>
    <t>CMI03040200 - Bolsas de Plástico</t>
  </si>
  <si>
    <t>BOLSA:PLASTICO</t>
  </si>
  <si>
    <t>045614</t>
  </si>
  <si>
    <t>12160000 - Aditivos</t>
  </si>
  <si>
    <t>LACA MADERA</t>
  </si>
  <si>
    <t>045586</t>
  </si>
  <si>
    <t>31211707 - Barnices</t>
  </si>
  <si>
    <t>BARNIZ:ACEITE</t>
  </si>
  <si>
    <t>045577</t>
  </si>
  <si>
    <t>31211909 - Bandejas de pintura</t>
  </si>
  <si>
    <t>BANDEJA:PINTURA</t>
  </si>
  <si>
    <t>045575</t>
  </si>
  <si>
    <t>31211906 - Rodillos de pintar</t>
  </si>
  <si>
    <t>RODILLO:PINTURA</t>
  </si>
  <si>
    <t>045543</t>
  </si>
  <si>
    <t>31201600 - Otros adhesivos y selladores</t>
  </si>
  <si>
    <t>CMI03010100 - Pegamentos</t>
  </si>
  <si>
    <t>COLA</t>
  </si>
  <si>
    <t>045376</t>
  </si>
  <si>
    <t>31211917 - Cubiertas p/rodillos pintura</t>
  </si>
  <si>
    <t>FELPA:RODILLO PINTAR</t>
  </si>
  <si>
    <t>045345</t>
  </si>
  <si>
    <t>12163600 - Inhibidores de corrosión</t>
  </si>
  <si>
    <t>COMPUESTO ANTICORROSION</t>
  </si>
  <si>
    <t>045341</t>
  </si>
  <si>
    <t>60121228 - Pinceles de utilidad</t>
  </si>
  <si>
    <t>PINCEL</t>
  </si>
  <si>
    <t>045304</t>
  </si>
  <si>
    <t>31211904 - Brochas</t>
  </si>
  <si>
    <t>BROCHA:PINTURA</t>
  </si>
  <si>
    <t>045297</t>
  </si>
  <si>
    <t>15121515 - Comp anti-adherent/anti-mancha</t>
  </si>
  <si>
    <t>ANTI-ADHERENTE</t>
  </si>
  <si>
    <t>045288</t>
  </si>
  <si>
    <t>12164903 - Recubrimiento impermeable epox</t>
  </si>
  <si>
    <t>ADHESIVO:EPOXY</t>
  </si>
  <si>
    <t>045283</t>
  </si>
  <si>
    <t>47131502 - Pañitos o toallas para limpiar</t>
  </si>
  <si>
    <t>PAÑO:LIMPIEZA</t>
  </si>
  <si>
    <t>045272</t>
  </si>
  <si>
    <t>CERA:AUTOMOVIL</t>
  </si>
  <si>
    <t>045268</t>
  </si>
  <si>
    <t>47131603 - Esponjas</t>
  </si>
  <si>
    <t>ESPONJA</t>
  </si>
  <si>
    <t>045251</t>
  </si>
  <si>
    <t>47131501 - Trapos</t>
  </si>
  <si>
    <t>TRAPOS:LIMPIEZA</t>
  </si>
  <si>
    <t>045225</t>
  </si>
  <si>
    <t>47131831 - Ácido muriático</t>
  </si>
  <si>
    <t>ACIDO MURIATICO:LIMPIEZA PISOS</t>
  </si>
  <si>
    <t>045206</t>
  </si>
  <si>
    <t>47121800 - Equipo de limpieza</t>
  </si>
  <si>
    <t>REMOVEDOR POLVO:GAS COMPRIMIDO</t>
  </si>
  <si>
    <t>045178</t>
  </si>
  <si>
    <t>47131821 - Compuestos desengrasantes</t>
  </si>
  <si>
    <t>COMPUESTO DESENGRASANTE</t>
  </si>
  <si>
    <t>045167</t>
  </si>
  <si>
    <t>47131805 - Limpiadores propósito general</t>
  </si>
  <si>
    <t>LIMPIADOR:GENERAL</t>
  </si>
  <si>
    <t>045139</t>
  </si>
  <si>
    <t>CEPILLO:LIMPIEZA</t>
  </si>
  <si>
    <t>045120</t>
  </si>
  <si>
    <t>47131604 - Escobas</t>
  </si>
  <si>
    <t>ESCOBA</t>
  </si>
  <si>
    <t>045062</t>
  </si>
  <si>
    <t>CANICA</t>
  </si>
  <si>
    <t>044692</t>
  </si>
  <si>
    <t>43191510 - Radios de dos vías</t>
  </si>
  <si>
    <t>CMI01030100 - Equipo Electrónico</t>
  </si>
  <si>
    <t>RADIO</t>
  </si>
  <si>
    <t>044615</t>
  </si>
  <si>
    <t>55121600 - Etiquetas</t>
  </si>
  <si>
    <t>CMI03100100 - Autoadhesivas</t>
  </si>
  <si>
    <t>ETIQUETA</t>
  </si>
  <si>
    <t>044419</t>
  </si>
  <si>
    <t>44121706 - Lápices de madera</t>
  </si>
  <si>
    <t>LAPIZ</t>
  </si>
  <si>
    <t>043993</t>
  </si>
  <si>
    <t>44103105 - Cartuchos de tinta</t>
  </si>
  <si>
    <t>TINTA:CARTUCHO</t>
  </si>
  <si>
    <t>043820</t>
  </si>
  <si>
    <t>44121605 - Dispensadores de cinta</t>
  </si>
  <si>
    <t>DISPENSADOR:CINTA</t>
  </si>
  <si>
    <t>043689</t>
  </si>
  <si>
    <t>44121709 - Crayolas</t>
  </si>
  <si>
    <t>LAPIZ CRAYON</t>
  </si>
  <si>
    <t>043677</t>
  </si>
  <si>
    <t>48101600 - Equipos p/preparado alimentos</t>
  </si>
  <si>
    <t>CANASTA:LAVATRASTOS</t>
  </si>
  <si>
    <t>042821</t>
  </si>
  <si>
    <t>PLACA:DE CAUCHO</t>
  </si>
  <si>
    <t>042773</t>
  </si>
  <si>
    <t>52121509 - Sábanas</t>
  </si>
  <si>
    <t>SABANA:CAMA</t>
  </si>
  <si>
    <t>042753</t>
  </si>
  <si>
    <t>52121505 - Almohadas</t>
  </si>
  <si>
    <t>ALMOHADA</t>
  </si>
  <si>
    <t>042725</t>
  </si>
  <si>
    <t>49121508 - Mosquiteros</t>
  </si>
  <si>
    <t>MOSQUITERO</t>
  </si>
  <si>
    <t>042690</t>
  </si>
  <si>
    <t>44111906 - Tableros de tiza o accesorios</t>
  </si>
  <si>
    <t>PIZARRA</t>
  </si>
  <si>
    <t>042350</t>
  </si>
  <si>
    <t>43211708 - Mouse seguimiento para compu</t>
  </si>
  <si>
    <t>RATON</t>
  </si>
  <si>
    <t>042030</t>
  </si>
  <si>
    <t>43201402 - Tarjetas de módulos de memoria</t>
  </si>
  <si>
    <t>MEMORIA PC</t>
  </si>
  <si>
    <t>042021</t>
  </si>
  <si>
    <t>43211706 - Teclados</t>
  </si>
  <si>
    <t>TECLADO</t>
  </si>
  <si>
    <t>042006</t>
  </si>
  <si>
    <t>43201803 - Unidades de disco duro</t>
  </si>
  <si>
    <t>DISCO DURO</t>
  </si>
  <si>
    <t>041949</t>
  </si>
  <si>
    <t>12352301 - Ácidos inorgánicos</t>
  </si>
  <si>
    <t>ACIDO SULFURICO</t>
  </si>
  <si>
    <t>040835</t>
  </si>
  <si>
    <t>13101708 - Silicona vmq y pmq y pvmq</t>
  </si>
  <si>
    <t>SILICONA:COMPUESTO</t>
  </si>
  <si>
    <t>040490</t>
  </si>
  <si>
    <t>12161801 - Geles</t>
  </si>
  <si>
    <t>GEL SILICA</t>
  </si>
  <si>
    <t>040483</t>
  </si>
  <si>
    <t>PRODUCTO DESINCRUSTANTE</t>
  </si>
  <si>
    <t>040470</t>
  </si>
  <si>
    <t>12352104 - Alcoholes o sus sustitutos</t>
  </si>
  <si>
    <t>ALCOHOL ISOPROPILICO</t>
  </si>
  <si>
    <t>039481</t>
  </si>
  <si>
    <t>41111800 - Equipo examen no destructivo</t>
  </si>
  <si>
    <t>LIQ PENETRANTE</t>
  </si>
  <si>
    <t>039447</t>
  </si>
  <si>
    <t>51171608 - Glicerina</t>
  </si>
  <si>
    <t>GLICERINA</t>
  </si>
  <si>
    <t>039221</t>
  </si>
  <si>
    <t>ALCOHOL ETILICO</t>
  </si>
  <si>
    <t>039047</t>
  </si>
  <si>
    <t>47131803 - Desinfectantes p/uso doméstico</t>
  </si>
  <si>
    <t>DESINFECTANTE</t>
  </si>
  <si>
    <t>038935</t>
  </si>
  <si>
    <t>47131800 - Sols de limpieza/desinfección</t>
  </si>
  <si>
    <t>LIMPIADOR:SOLVENTE</t>
  </si>
  <si>
    <t>038710</t>
  </si>
  <si>
    <t>12161604 - Catalizadores de ruptura</t>
  </si>
  <si>
    <t>CATALIZADOR RUPTURA</t>
  </si>
  <si>
    <t>038583</t>
  </si>
  <si>
    <t>51102706 - Ácido acético antiséptico</t>
  </si>
  <si>
    <t>ACIDO ACETICO</t>
  </si>
  <si>
    <t>038038</t>
  </si>
  <si>
    <t>45111609 - Proyectores multimedia</t>
  </si>
  <si>
    <t>PROYECTOR</t>
  </si>
  <si>
    <t>037649</t>
  </si>
  <si>
    <t>45121500 - Cámaras</t>
  </si>
  <si>
    <t>CAMARA:VIDEO CONFERENCIA</t>
  </si>
  <si>
    <t>037408</t>
  </si>
  <si>
    <t>41114409 - Apto p/obser viento en superf</t>
  </si>
  <si>
    <t>MANGA:VIENTO</t>
  </si>
  <si>
    <t>037338</t>
  </si>
  <si>
    <t>41114100 - Instrumentos sismológicos</t>
  </si>
  <si>
    <t>VIBROMETRO</t>
  </si>
  <si>
    <t>037271</t>
  </si>
  <si>
    <t>41113300 - Analiz líquidos, sólidos,elmto</t>
  </si>
  <si>
    <t>ANALIZADOR:TURBIEDAD AGUA</t>
  </si>
  <si>
    <t>036888</t>
  </si>
  <si>
    <t>41111500 - Instrumentos medición del peso</t>
  </si>
  <si>
    <t>BASCULA</t>
  </si>
  <si>
    <t>036473</t>
  </si>
  <si>
    <t>41112404 - Reguladores de presión</t>
  </si>
  <si>
    <t>REGULADOR:PRESION</t>
  </si>
  <si>
    <t>036396</t>
  </si>
  <si>
    <t>41113638 - Osciloscopios</t>
  </si>
  <si>
    <t>OSCILOSCOPIO</t>
  </si>
  <si>
    <t>036060</t>
  </si>
  <si>
    <t>41113630 - Multímetros</t>
  </si>
  <si>
    <t>MULTIMETRO</t>
  </si>
  <si>
    <t>036037</t>
  </si>
  <si>
    <t>41113623 - Medidores resis al aislamiento</t>
  </si>
  <si>
    <t>MEDIDOR:RESISTENCIA AISL</t>
  </si>
  <si>
    <t>035945</t>
  </si>
  <si>
    <t>41114422 - Calibrador medidor de lluvia</t>
  </si>
  <si>
    <t>MEDIDOR:AGUA</t>
  </si>
  <si>
    <t>035463</t>
  </si>
  <si>
    <t>41112508 - Indicadores de gas</t>
  </si>
  <si>
    <t>MEDIDOR:FLUJO DE GAS</t>
  </si>
  <si>
    <t>035459</t>
  </si>
  <si>
    <t>46171613 - Detectores de gas</t>
  </si>
  <si>
    <t>DETECTOR:DE GAS</t>
  </si>
  <si>
    <t>035142</t>
  </si>
  <si>
    <t>41121805 - Cilindros graduados para lab</t>
  </si>
  <si>
    <t>CMI02120100 - Suministros de laboratorio</t>
  </si>
  <si>
    <t>PROBETA GRADUADA</t>
  </si>
  <si>
    <t>035104</t>
  </si>
  <si>
    <t>41114001 - Clinómetros</t>
  </si>
  <si>
    <t>INCLINOMETRO</t>
  </si>
  <si>
    <t>034860</t>
  </si>
  <si>
    <t>CLINOMETRO</t>
  </si>
  <si>
    <t>034858</t>
  </si>
  <si>
    <t>41111949 - Cronómetro</t>
  </si>
  <si>
    <t>CRONOMETRO</t>
  </si>
  <si>
    <t>034844</t>
  </si>
  <si>
    <t>41111716 - Equipos inspección boroscópica</t>
  </si>
  <si>
    <t>BOROSCOPIO</t>
  </si>
  <si>
    <t>034569</t>
  </si>
  <si>
    <t>41113601 - Amperímetros</t>
  </si>
  <si>
    <t>AMPERIMETRO</t>
  </si>
  <si>
    <t>034404</t>
  </si>
  <si>
    <t>51102702 - Agua estéril para irrigación</t>
  </si>
  <si>
    <t>CMI02070100 - Eléctrico</t>
  </si>
  <si>
    <t>AGUA DESTILADA</t>
  </si>
  <si>
    <t>034160</t>
  </si>
  <si>
    <t>42142606 - Jeringas entr med p/uso médico</t>
  </si>
  <si>
    <t>JERINGA</t>
  </si>
  <si>
    <t>032493</t>
  </si>
  <si>
    <t>42152400 - Materiales dentales</t>
  </si>
  <si>
    <t>INVERSION:DENTAL</t>
  </si>
  <si>
    <t>026877</t>
  </si>
  <si>
    <t>46171605 - Timbres de puerta</t>
  </si>
  <si>
    <t>TIMBRE:PUERTA</t>
  </si>
  <si>
    <t>019416</t>
  </si>
  <si>
    <t>39101605 - Lámparas fluorescentes</t>
  </si>
  <si>
    <t>TUBO FLUORESCENTE</t>
  </si>
  <si>
    <t>019382</t>
  </si>
  <si>
    <t>39121534 - Lucindic o indicadores lumino</t>
  </si>
  <si>
    <t>LUZ PILOTO</t>
  </si>
  <si>
    <t>019297</t>
  </si>
  <si>
    <t>39111709 - Unidad de luz de emergencia</t>
  </si>
  <si>
    <t>LAMPARA:EMERGENCIA</t>
  </si>
  <si>
    <t>019281</t>
  </si>
  <si>
    <t>39101601 - Lámparas halógenas</t>
  </si>
  <si>
    <t>LAMPARA:HALOGENA</t>
  </si>
  <si>
    <t>019246</t>
  </si>
  <si>
    <t>LAMPARA:FLUORESCENTE</t>
  </si>
  <si>
    <t>019243</t>
  </si>
  <si>
    <t>39101615 - Lámparas de vapor de mercurio</t>
  </si>
  <si>
    <t>LAMPARA:MERCURIO</t>
  </si>
  <si>
    <t>019242</t>
  </si>
  <si>
    <t>39101614 - Lámparas de haluro- metálico</t>
  </si>
  <si>
    <t>LAMPARA:HALURO-METAL</t>
  </si>
  <si>
    <t>019238</t>
  </si>
  <si>
    <t>39112501 - Luz de foco</t>
  </si>
  <si>
    <t>FOCO:ILUMINACION</t>
  </si>
  <si>
    <t>019198</t>
  </si>
  <si>
    <t>39111801 - Balastos de lámparas</t>
  </si>
  <si>
    <t>BALASTRO:LAMPARA</t>
  </si>
  <si>
    <t>019137</t>
  </si>
  <si>
    <t>39111813 - Brazos de lámparas</t>
  </si>
  <si>
    <t>BRAZO:LAMPARA</t>
  </si>
  <si>
    <t>019136</t>
  </si>
  <si>
    <t>30264305 - Alam acero electro galvanizado</t>
  </si>
  <si>
    <t>ALAMBRE:GALVANIZADO</t>
  </si>
  <si>
    <t>019129</t>
  </si>
  <si>
    <t>39121009 - Reguelectrs o de potencia</t>
  </si>
  <si>
    <t>REGULADOR:CORRIENTE</t>
  </si>
  <si>
    <t>019047</t>
  </si>
  <si>
    <t>39121101 - Centros de carga</t>
  </si>
  <si>
    <t>CENTRO CARGA:ELECTRICA</t>
  </si>
  <si>
    <t>018964</t>
  </si>
  <si>
    <t>26111704 - Cargadores de baterías</t>
  </si>
  <si>
    <t>CARGADOR:BATERIAS</t>
  </si>
  <si>
    <t>018845</t>
  </si>
  <si>
    <t>26121616 - Cable de telecomunicaciones</t>
  </si>
  <si>
    <t>CABLE:TELEFONO</t>
  </si>
  <si>
    <t>018818</t>
  </si>
  <si>
    <t>26111702 - Pilas alcalinas</t>
  </si>
  <si>
    <t>BATERIA:ALCALINA</t>
  </si>
  <si>
    <t>018792</t>
  </si>
  <si>
    <t>39121311 - Accesorios eléctricos</t>
  </si>
  <si>
    <t>UNION:CABLE ELECTRICO</t>
  </si>
  <si>
    <t>018633</t>
  </si>
  <si>
    <t>40183006 - Tubería termo contraíble</t>
  </si>
  <si>
    <t>TUBO TERMORETRACTIL</t>
  </si>
  <si>
    <t>018628</t>
  </si>
  <si>
    <t>39121432 - Terminales eléctricos</t>
  </si>
  <si>
    <t>TERMINAL:OJO;ANILLO</t>
  </si>
  <si>
    <t>018597</t>
  </si>
  <si>
    <t>TERMINAL;HORQUILLA</t>
  </si>
  <si>
    <t>018593</t>
  </si>
  <si>
    <t>TERMINAL ELECTRICA</t>
  </si>
  <si>
    <t>018591</t>
  </si>
  <si>
    <t>TERMINAL:HEMBRA</t>
  </si>
  <si>
    <t>018588</t>
  </si>
  <si>
    <t>TERMINAL:PIN</t>
  </si>
  <si>
    <t>018587</t>
  </si>
  <si>
    <t>39122200 - Interrup eléctricos y acces</t>
  </si>
  <si>
    <t>DIMMER</t>
  </si>
  <si>
    <t>018544</t>
  </si>
  <si>
    <t>39121306 - Cajas de conmutadores</t>
  </si>
  <si>
    <t>CAJA:INTERRUPTOR</t>
  </si>
  <si>
    <t>018503</t>
  </si>
  <si>
    <t>EMPALME</t>
  </si>
  <si>
    <t>018456</t>
  </si>
  <si>
    <t>39121402 - Enchufes eléctricos</t>
  </si>
  <si>
    <t>SOCKET ELECTRICO</t>
  </si>
  <si>
    <t>018443</t>
  </si>
  <si>
    <t>31161728 - Tuercas de acople</t>
  </si>
  <si>
    <t>TUERCA:CONDUCTO ELECTRICO</t>
  </si>
  <si>
    <t>018143</t>
  </si>
  <si>
    <t>39131718 - Boquilla de conducto eléctrico</t>
  </si>
  <si>
    <t>NIPLE ELECTRICO</t>
  </si>
  <si>
    <t>018140</t>
  </si>
  <si>
    <t>ESPIGA</t>
  </si>
  <si>
    <t>017952</t>
  </si>
  <si>
    <t>39121300 - Cuadros, registros y menpelect</t>
  </si>
  <si>
    <t>ARMARIO:INTERCONEXIONES</t>
  </si>
  <si>
    <t>017943</t>
  </si>
  <si>
    <t>PROTECTOR:INTERRUPTOR</t>
  </si>
  <si>
    <t>017823</t>
  </si>
  <si>
    <t>EXTENSION:ELECTRICA</t>
  </si>
  <si>
    <t>017743</t>
  </si>
  <si>
    <t>39121302 - Placas o cubiertas cerramiento</t>
  </si>
  <si>
    <t>PLACA:TOMACORRIENTE</t>
  </si>
  <si>
    <t>017578</t>
  </si>
  <si>
    <t>39131706 - Conducto eléctrico</t>
  </si>
  <si>
    <t>ACOPLE:ELECTRICO</t>
  </si>
  <si>
    <t>017570</t>
  </si>
  <si>
    <t>CONECTOR:CONDUCTO</t>
  </si>
  <si>
    <t>017461</t>
  </si>
  <si>
    <t>39121420 - Conectores herméticos</t>
  </si>
  <si>
    <t>CONECTOR:LT</t>
  </si>
  <si>
    <t>017453</t>
  </si>
  <si>
    <t>39121414 - Conectores coaxiales</t>
  </si>
  <si>
    <t>CONECTOR:COAXIAL</t>
  </si>
  <si>
    <t>017449</t>
  </si>
  <si>
    <t>39121303 - Cajas eléctricas</t>
  </si>
  <si>
    <t>CAJA CONDULET</t>
  </si>
  <si>
    <t>017421</t>
  </si>
  <si>
    <t>39121705 - Grapas para cables</t>
  </si>
  <si>
    <t>GRAPA:CABLE</t>
  </si>
  <si>
    <t>017389</t>
  </si>
  <si>
    <t>26121603 - Cable de mando</t>
  </si>
  <si>
    <t>CABLE:CONTROL</t>
  </si>
  <si>
    <t>017276</t>
  </si>
  <si>
    <t>26121606 - Cable coaxial</t>
  </si>
  <si>
    <t>CABLE:COAXIAL</t>
  </si>
  <si>
    <t>017272</t>
  </si>
  <si>
    <t>26121628 - Cables blindados</t>
  </si>
  <si>
    <t>CABLE:BLINDADO</t>
  </si>
  <si>
    <t>017266</t>
  </si>
  <si>
    <t>26121613 - Cable aislado o forrado</t>
  </si>
  <si>
    <t>CABLE:ELECTRICO</t>
  </si>
  <si>
    <t>017259</t>
  </si>
  <si>
    <t>26121612 - Cable forrado pero no aislado</t>
  </si>
  <si>
    <t>CABLE:CUBIERTO ELECTRICO</t>
  </si>
  <si>
    <t>017258</t>
  </si>
  <si>
    <t>26121609 - Cable de redes</t>
  </si>
  <si>
    <t>CABLE:RED</t>
  </si>
  <si>
    <t>017255</t>
  </si>
  <si>
    <t>26101404 - Escobilla de motor</t>
  </si>
  <si>
    <t>ESCOBILLA:CONTACTO ELECTRICO</t>
  </si>
  <si>
    <t>017206</t>
  </si>
  <si>
    <t>43221706 - Antenas de radio</t>
  </si>
  <si>
    <t>ANTENA</t>
  </si>
  <si>
    <t>017120</t>
  </si>
  <si>
    <t>CONECTOR ELECT MACHO</t>
  </si>
  <si>
    <t>017038</t>
  </si>
  <si>
    <t>43191501 - Teléfonos móviles</t>
  </si>
  <si>
    <t>TELEFONO:MOVIL</t>
  </si>
  <si>
    <t>016884</t>
  </si>
  <si>
    <t>39121718 - Kits de empalme de cables</t>
  </si>
  <si>
    <t>EMPALME:TELEFONICO</t>
  </si>
  <si>
    <t>016791</t>
  </si>
  <si>
    <t>41115502 - Sonómetros</t>
  </si>
  <si>
    <t>SONOMETRO</t>
  </si>
  <si>
    <t>016782</t>
  </si>
  <si>
    <t>41115200 - Sistemas y compts radar sonar</t>
  </si>
  <si>
    <t>ESCANER:SONAR</t>
  </si>
  <si>
    <t>016740</t>
  </si>
  <si>
    <t>52161500 - Equipos audiovisuales</t>
  </si>
  <si>
    <t>GRABADOR:SONIDO</t>
  </si>
  <si>
    <t>016670</t>
  </si>
  <si>
    <t>43221700 - Equipo fijo red y componentes</t>
  </si>
  <si>
    <t>CABLE DE ORDEN</t>
  </si>
  <si>
    <t>016624</t>
  </si>
  <si>
    <t>45111802 - Soportes para televisiones</t>
  </si>
  <si>
    <t>SOPORTE:TELEVISOR</t>
  </si>
  <si>
    <t>016481</t>
  </si>
  <si>
    <t>39121000 - Equipmto p/distn y converalim</t>
  </si>
  <si>
    <t>CONTROL:CONVERTIDOR</t>
  </si>
  <si>
    <t>015953</t>
  </si>
  <si>
    <t>39121444 - Enchufe y módulo rj</t>
  </si>
  <si>
    <t>CONECTOR:JACK;RED</t>
  </si>
  <si>
    <t>015914</t>
  </si>
  <si>
    <t>30151500 - Material para tejados y techos</t>
  </si>
  <si>
    <t>CMI02051000 - Laminas</t>
  </si>
  <si>
    <t>TEJADO</t>
  </si>
  <si>
    <t>015616</t>
  </si>
  <si>
    <t>30161602 - Paneles para techos</t>
  </si>
  <si>
    <t>PANEL:TECHO</t>
  </si>
  <si>
    <t>015531</t>
  </si>
  <si>
    <t>30151505 - Membranas para techos</t>
  </si>
  <si>
    <t>MEMBRANA:SUPERFICIE</t>
  </si>
  <si>
    <t>015525</t>
  </si>
  <si>
    <t>31201502 - Cinta aislante eléctrica</t>
  </si>
  <si>
    <t>CINTA AISLANTE</t>
  </si>
  <si>
    <t>015493</t>
  </si>
  <si>
    <t>30171700 - Productos de cristal</t>
  </si>
  <si>
    <t>LAMINA:VIDRIO</t>
  </si>
  <si>
    <t>015466</t>
  </si>
  <si>
    <t>30152001 - Cercado de metal</t>
  </si>
  <si>
    <t>MALLA;CERCADOS</t>
  </si>
  <si>
    <t>015434</t>
  </si>
  <si>
    <t>30171507 - Marcos de puertas o quicios</t>
  </si>
  <si>
    <t>MARCO PUERTA:METAL</t>
  </si>
  <si>
    <t>015422</t>
  </si>
  <si>
    <t>31152002 - Alambre de púas</t>
  </si>
  <si>
    <t>ALAMBRE:PUAS</t>
  </si>
  <si>
    <t>015352</t>
  </si>
  <si>
    <t>30191501 - Escaleras</t>
  </si>
  <si>
    <t>ESCALERA DE MANO</t>
  </si>
  <si>
    <t>015230</t>
  </si>
  <si>
    <t>ESCALERA EXTENSION</t>
  </si>
  <si>
    <t>015177</t>
  </si>
  <si>
    <t>ESCALERA</t>
  </si>
  <si>
    <t>015175</t>
  </si>
  <si>
    <t>31161811 - Arandelas de resorte</t>
  </si>
  <si>
    <t>ARANDELA:PRESION</t>
  </si>
  <si>
    <t>015072</t>
  </si>
  <si>
    <t>ESPARRAGO</t>
  </si>
  <si>
    <t>015023</t>
  </si>
  <si>
    <t>31161619 - Pernos prisioneros</t>
  </si>
  <si>
    <t>ESPARRAGO:LISO</t>
  </si>
  <si>
    <t>015017</t>
  </si>
  <si>
    <t>31191510 - Piedras abrasivas</t>
  </si>
  <si>
    <t>PIEDRA:ESMERILAR</t>
  </si>
  <si>
    <t>014983</t>
  </si>
  <si>
    <t>31162404 - Grapas</t>
  </si>
  <si>
    <t>GRAPA</t>
  </si>
  <si>
    <t>014975</t>
  </si>
  <si>
    <t>31161903 - Muelles espirales</t>
  </si>
  <si>
    <t>CMI03080400 - Fundas</t>
  </si>
  <si>
    <t>MUELLE:ESPIRAL</t>
  </si>
  <si>
    <t>014961</t>
  </si>
  <si>
    <t>31161505 - Tornillos de presión</t>
  </si>
  <si>
    <t>TORNILLO PRESION</t>
  </si>
  <si>
    <t>014893</t>
  </si>
  <si>
    <t>31201612 - Selladores de rosca</t>
  </si>
  <si>
    <t>SELLADOR:ROSCADO</t>
  </si>
  <si>
    <t>014889</t>
  </si>
  <si>
    <t>24141504 - Sellos segurid a prueba manip</t>
  </si>
  <si>
    <t>PRECINTO DE SEGURIDAD</t>
  </si>
  <si>
    <t>014876</t>
  </si>
  <si>
    <t>31161522 - Tornillo de ojo</t>
  </si>
  <si>
    <t>ARMELLA</t>
  </si>
  <si>
    <t>014856</t>
  </si>
  <si>
    <t>31161507 - Tornillos roscadores</t>
  </si>
  <si>
    <t>TORNILLO:ROSCADOR</t>
  </si>
  <si>
    <t>014845</t>
  </si>
  <si>
    <t>31161528 - Tornillo auto – entrante</t>
  </si>
  <si>
    <t>TORNILLO:AUTORROSCANTE</t>
  </si>
  <si>
    <t>014843</t>
  </si>
  <si>
    <t>31162201 - Remaches ciegos</t>
  </si>
  <si>
    <t>REMACHE:CIEGO</t>
  </si>
  <si>
    <t>014809</t>
  </si>
  <si>
    <t>31191501 - Papeles abrasivos</t>
  </si>
  <si>
    <t>PAPEL:ABRASIVO</t>
  </si>
  <si>
    <t>014672</t>
  </si>
  <si>
    <t>31191505 - Almohadillas abrasivas</t>
  </si>
  <si>
    <t>ALMOHADILLA:PULIDO</t>
  </si>
  <si>
    <t>014665</t>
  </si>
  <si>
    <t>31161711 - Tuercas de ojo</t>
  </si>
  <si>
    <t>TUERCA:OJAL</t>
  </si>
  <si>
    <t>014629</t>
  </si>
  <si>
    <t>31162005 - Clavos para tejados</t>
  </si>
  <si>
    <t>CLAVO:TEJADO</t>
  </si>
  <si>
    <t>014559</t>
  </si>
  <si>
    <t>31162004 - Clavos de mampostería</t>
  </si>
  <si>
    <t>CLAVO</t>
  </si>
  <si>
    <t>014555</t>
  </si>
  <si>
    <t>27111727 - Llaves macho con mango en t</t>
  </si>
  <si>
    <t>LLAVE:MANDRIL</t>
  </si>
  <si>
    <t>014503</t>
  </si>
  <si>
    <t>31163207 - Horquillas de eje o de disco</t>
  </si>
  <si>
    <t>LLAVE:MAQUINA</t>
  </si>
  <si>
    <t>014501</t>
  </si>
  <si>
    <t>31162804 - Topes de puerta</t>
  </si>
  <si>
    <t>TOPE:PUERTA</t>
  </si>
  <si>
    <t>014474</t>
  </si>
  <si>
    <t>BISAGRA VIDRIO</t>
  </si>
  <si>
    <t>014468</t>
  </si>
  <si>
    <t>GRANO ABRASIVO</t>
  </si>
  <si>
    <t>014425</t>
  </si>
  <si>
    <t>31191506 - Discos abrasivos</t>
  </si>
  <si>
    <t>DISCO:ABRASIVO</t>
  </si>
  <si>
    <t>014348</t>
  </si>
  <si>
    <t>31162406 - Cierres para zunchado</t>
  </si>
  <si>
    <t>HEBILLA</t>
  </si>
  <si>
    <t>014240</t>
  </si>
  <si>
    <t>31161610 - Pernos de ojo</t>
  </si>
  <si>
    <t>PERNO:CON OJO</t>
  </si>
  <si>
    <t>014159</t>
  </si>
  <si>
    <t>31191507 - Cintas abrasivas</t>
  </si>
  <si>
    <t>CORREA:ABRASIVA</t>
  </si>
  <si>
    <t>014140</t>
  </si>
  <si>
    <t>31162103 - Anclajes de pared</t>
  </si>
  <si>
    <t>TARUGO</t>
  </si>
  <si>
    <t>014123</t>
  </si>
  <si>
    <t>31162107 - Anclajes de expansión de clavo</t>
  </si>
  <si>
    <t>ANCLAJE;EXPANSION;CLAVO</t>
  </si>
  <si>
    <t>014119</t>
  </si>
  <si>
    <t>41114201 - Cintas medidoras</t>
  </si>
  <si>
    <t>CINTA:METRICA</t>
  </si>
  <si>
    <t>014093</t>
  </si>
  <si>
    <t>27111803 - Escuadras</t>
  </si>
  <si>
    <t>ESCUADRA:CARPINTERO</t>
  </si>
  <si>
    <t>014085</t>
  </si>
  <si>
    <t>27111804 - Plomadas</t>
  </si>
  <si>
    <t>PLOMADA</t>
  </si>
  <si>
    <t>014055</t>
  </si>
  <si>
    <t>27111802 - Escalas</t>
  </si>
  <si>
    <t>NIVEL:BURBUJA</t>
  </si>
  <si>
    <t>014041</t>
  </si>
  <si>
    <t>NIVEL:PRECISION</t>
  </si>
  <si>
    <t>014039</t>
  </si>
  <si>
    <t>41111600 - Instru medida long, esp, distn</t>
  </si>
  <si>
    <t>INDICADOR:DIAL</t>
  </si>
  <si>
    <t>014028</t>
  </si>
  <si>
    <t>41111623 - Dispositivos medición grosor</t>
  </si>
  <si>
    <t>MEDIDOR:ESPESOR</t>
  </si>
  <si>
    <t>013961</t>
  </si>
  <si>
    <t>GRAMIL DE MARCAR</t>
  </si>
  <si>
    <t>013951</t>
  </si>
  <si>
    <t>VERNIER</t>
  </si>
  <si>
    <t>013866</t>
  </si>
  <si>
    <t>27111710 - Llaves allen</t>
  </si>
  <si>
    <t>LLAVE:HEXAGONAL</t>
  </si>
  <si>
    <t>013830</t>
  </si>
  <si>
    <t>LLAVE:COLA Y CORONA</t>
  </si>
  <si>
    <t>013822</t>
  </si>
  <si>
    <t>27111715 - Llaves de torsión</t>
  </si>
  <si>
    <t>LLAVE:TORQUE</t>
  </si>
  <si>
    <t>013820</t>
  </si>
  <si>
    <t>27111720 - Llave manual en t para grifos</t>
  </si>
  <si>
    <t>LLAVE TUERCAS:LAVABO</t>
  </si>
  <si>
    <t>013815</t>
  </si>
  <si>
    <t>27111749 - Llave de tubo o stillson</t>
  </si>
  <si>
    <t>LLAVE:TUBERIA</t>
  </si>
  <si>
    <t>013811</t>
  </si>
  <si>
    <t>27111711 - Trinquetes</t>
  </si>
  <si>
    <t>LLAVE:CARRACA</t>
  </si>
  <si>
    <t>013801</t>
  </si>
  <si>
    <t>27111707 - Llaves ajustables</t>
  </si>
  <si>
    <t>LLAVE:AJUSTABLE</t>
  </si>
  <si>
    <t>013800</t>
  </si>
  <si>
    <t>27112123 - Prensa de mesa</t>
  </si>
  <si>
    <t>PRENSA;BANCO</t>
  </si>
  <si>
    <t>013774</t>
  </si>
  <si>
    <t>27112102 - Tornillos de banco</t>
  </si>
  <si>
    <t>MORDAZA</t>
  </si>
  <si>
    <t>013764</t>
  </si>
  <si>
    <t>24112401 - Cofres/cajas armarios p/herram</t>
  </si>
  <si>
    <t>CAJA DE HERRAMIENTAS</t>
  </si>
  <si>
    <t>013622</t>
  </si>
  <si>
    <t>23241642 - Roscadora de velocidad</t>
  </si>
  <si>
    <t>TERRAJA:MANUAL</t>
  </si>
  <si>
    <t>013599</t>
  </si>
  <si>
    <t>MACHO:ROSCAR</t>
  </si>
  <si>
    <t>013594</t>
  </si>
  <si>
    <t>27112002 - Azadones</t>
  </si>
  <si>
    <t>AZADON</t>
  </si>
  <si>
    <t>013530</t>
  </si>
  <si>
    <t>COPA</t>
  </si>
  <si>
    <t>013527</t>
  </si>
  <si>
    <t>27112303 - Punzón de trazar</t>
  </si>
  <si>
    <t>PUNZON:TRAZAR</t>
  </si>
  <si>
    <t>013486</t>
  </si>
  <si>
    <t>DESTORNILLADOR:PLANO</t>
  </si>
  <si>
    <t>013477</t>
  </si>
  <si>
    <t>27112709 - Sierras eléctricas</t>
  </si>
  <si>
    <t>SIERRA;CIRCULAR</t>
  </si>
  <si>
    <t>013413</t>
  </si>
  <si>
    <t>27112700 - Herramientas mecánicas</t>
  </si>
  <si>
    <t>MOTOTUL</t>
  </si>
  <si>
    <t>013391</t>
  </si>
  <si>
    <t>27112804 - Troqueles o punzones estampar</t>
  </si>
  <si>
    <t>SACABOCADOS:JUEGO</t>
  </si>
  <si>
    <t>013304</t>
  </si>
  <si>
    <t>EXTRACTOR:MECANICO</t>
  </si>
  <si>
    <t>013293</t>
  </si>
  <si>
    <t>22101619 - Máquinas pulidoras</t>
  </si>
  <si>
    <t>PULIDORA;ELECTRICA</t>
  </si>
  <si>
    <t>013270</t>
  </si>
  <si>
    <t>27112125 - Alicates de punta redonda</t>
  </si>
  <si>
    <t>ALICATE:NARIZ REDONDA</t>
  </si>
  <si>
    <t>013250</t>
  </si>
  <si>
    <t>27111750 - Pinza de presión</t>
  </si>
  <si>
    <t>ALICATE DE PRESION</t>
  </si>
  <si>
    <t>013247</t>
  </si>
  <si>
    <t>PRENSA TERMINALES</t>
  </si>
  <si>
    <t>013245</t>
  </si>
  <si>
    <t>ALICATES</t>
  </si>
  <si>
    <t>013241</t>
  </si>
  <si>
    <t>27112113 - Alicates articn movib o ranura</t>
  </si>
  <si>
    <t>ALICATES:RANURA</t>
  </si>
  <si>
    <t>013240</t>
  </si>
  <si>
    <t>CEPILLO:CIRCULAR</t>
  </si>
  <si>
    <t>013219</t>
  </si>
  <si>
    <t>27111903 - Cepillos de carpintero</t>
  </si>
  <si>
    <t>GARLOPA</t>
  </si>
  <si>
    <t>013218</t>
  </si>
  <si>
    <t>27112117 - Tenazas de corte final</t>
  </si>
  <si>
    <t>TENAZA:DE CORTE</t>
  </si>
  <si>
    <t>013181</t>
  </si>
  <si>
    <t>27111814 - Espejo de inspección</t>
  </si>
  <si>
    <t>ESPEJO:INSPECCION</t>
  </si>
  <si>
    <t>013163</t>
  </si>
  <si>
    <t>27112001 - Machetes</t>
  </si>
  <si>
    <t>MACHETE</t>
  </si>
  <si>
    <t>013148</t>
  </si>
  <si>
    <t>27111504 - Navajas de bolsillo</t>
  </si>
  <si>
    <t>NAVAJA</t>
  </si>
  <si>
    <t>013126</t>
  </si>
  <si>
    <t>GATO:HIDRAULICO</t>
  </si>
  <si>
    <t>013108</t>
  </si>
  <si>
    <t>MANGO:SIERRA</t>
  </si>
  <si>
    <t>012989</t>
  </si>
  <si>
    <t>27112402 - Ribeteadoras</t>
  </si>
  <si>
    <t>REMACHADORA:MANUAL</t>
  </si>
  <si>
    <t>012974</t>
  </si>
  <si>
    <t>27111500 - Htas corte y engarz y punzones</t>
  </si>
  <si>
    <t>MARCO:SIERRA MANUAL</t>
  </si>
  <si>
    <t>012941</t>
  </si>
  <si>
    <t>27111929 - Lima de mano plana</t>
  </si>
  <si>
    <t>LIMA:MANUAL</t>
  </si>
  <si>
    <t>012914</t>
  </si>
  <si>
    <t>27111709 - Extractor de tornillos</t>
  </si>
  <si>
    <t>JUEGO EXTRACTOR:TORNILLO</t>
  </si>
  <si>
    <t>012892</t>
  </si>
  <si>
    <t>23101502 - Taladros</t>
  </si>
  <si>
    <t>TALADRO</t>
  </si>
  <si>
    <t>012858</t>
  </si>
  <si>
    <t>27111722 - Troqueleras</t>
  </si>
  <si>
    <t>TERRAJA</t>
  </si>
  <si>
    <t>012835</t>
  </si>
  <si>
    <t>27111512 - Cortadores de pernos</t>
  </si>
  <si>
    <t>CORTADOR PERNO</t>
  </si>
  <si>
    <t>012792</t>
  </si>
  <si>
    <t>23241610 - Cortador de tubos</t>
  </si>
  <si>
    <t>CORTADORA:TUBOS</t>
  </si>
  <si>
    <t>012780</t>
  </si>
  <si>
    <t>27111518 - Hta p/engastar y doblar alam</t>
  </si>
  <si>
    <t>PONCHADOR:NEUMATICO</t>
  </si>
  <si>
    <t>012758</t>
  </si>
  <si>
    <t>SACACLAVO</t>
  </si>
  <si>
    <t>012727</t>
  </si>
  <si>
    <t>27111901 - Cortafríos</t>
  </si>
  <si>
    <t>CORTAFRIOS:MANUAL</t>
  </si>
  <si>
    <t>012694</t>
  </si>
  <si>
    <t>27111914 - Cincel de punta de bola</t>
  </si>
  <si>
    <t>CINCEL:MARTILLO ELEC</t>
  </si>
  <si>
    <t>012693</t>
  </si>
  <si>
    <t>27111501 - Hojas de cuchillo</t>
  </si>
  <si>
    <t>CUCHILLA</t>
  </si>
  <si>
    <t>012574</t>
  </si>
  <si>
    <t>27112814 - Brocas de destornillador</t>
  </si>
  <si>
    <t>PUNTA:DESTORNILLADOR</t>
  </si>
  <si>
    <t>012552</t>
  </si>
  <si>
    <t>27112836 - Juego brocas de destornillador</t>
  </si>
  <si>
    <t>SET DE BROCAS</t>
  </si>
  <si>
    <t>012546</t>
  </si>
  <si>
    <t>41115500 - Eq generación y medición sonid</t>
  </si>
  <si>
    <t>ESTETOSCOPIO:MECANICO</t>
  </si>
  <si>
    <t>012202</t>
  </si>
  <si>
    <t>31211908 - Pistolas de pintar</t>
  </si>
  <si>
    <t>PISTOLA:PINTURA</t>
  </si>
  <si>
    <t>012163</t>
  </si>
  <si>
    <t>27112913 - Lubricador de aceite</t>
  </si>
  <si>
    <t>LUBRICADOR</t>
  </si>
  <si>
    <t>011926</t>
  </si>
  <si>
    <t>23153026 - Mordaza de soporte</t>
  </si>
  <si>
    <t>SARGENTO</t>
  </si>
  <si>
    <t>011871</t>
  </si>
  <si>
    <t>46101504 - Pistolas</t>
  </si>
  <si>
    <t>PISTOLA:CALOR</t>
  </si>
  <si>
    <t>011862</t>
  </si>
  <si>
    <t>23241701 - Maquina de granallado</t>
  </si>
  <si>
    <t>PISTOLA:AIRE</t>
  </si>
  <si>
    <t>011853</t>
  </si>
  <si>
    <t>27112901 - Pistolas de grasa</t>
  </si>
  <si>
    <t>PISTOLA:GRASA</t>
  </si>
  <si>
    <t>011838</t>
  </si>
  <si>
    <t>31211913 - Boquillas de pintura</t>
  </si>
  <si>
    <t>BOQUILLA:PINTURA</t>
  </si>
  <si>
    <t>011608</t>
  </si>
  <si>
    <t>40141600 - Válvulas</t>
  </si>
  <si>
    <t>VALVULA:PIE</t>
  </si>
  <si>
    <t>011543</t>
  </si>
  <si>
    <t>40141616 - Partes o accesorios p/válvulas</t>
  </si>
  <si>
    <t>LLAVE;VALVULA</t>
  </si>
  <si>
    <t>011462</t>
  </si>
  <si>
    <t>40142500 - Interceptores y coladores</t>
  </si>
  <si>
    <t>TRAMPA</t>
  </si>
  <si>
    <t>011205</t>
  </si>
  <si>
    <t>31161713 - Tuercas de manguera</t>
  </si>
  <si>
    <t>TUERCA:MANGUERA</t>
  </si>
  <si>
    <t>011018</t>
  </si>
  <si>
    <t>31161722 - Tuercas de unión</t>
  </si>
  <si>
    <t>TUERCA:UNION</t>
  </si>
  <si>
    <t>011015</t>
  </si>
  <si>
    <t>40172513 - Conector de tubo flexible</t>
  </si>
  <si>
    <t>CONECTOR;TUBERIA</t>
  </si>
  <si>
    <t>010832</t>
  </si>
  <si>
    <t>ABRAZADERA:MANGUERA</t>
  </si>
  <si>
    <t>010827</t>
  </si>
  <si>
    <t>TAPA:MANGUERAS</t>
  </si>
  <si>
    <t>010816</t>
  </si>
  <si>
    <t>40141640 - Válvulas de inodoro</t>
  </si>
  <si>
    <t>CMI02050200 - Artefactos Sanitarios</t>
  </si>
  <si>
    <t>VALVULA:INODORO</t>
  </si>
  <si>
    <t>010692</t>
  </si>
  <si>
    <t>30181605 - Desagüe</t>
  </si>
  <si>
    <t>DESAGÜE:MULTIPLE</t>
  </si>
  <si>
    <t>010527</t>
  </si>
  <si>
    <t>23201202 - Secadores de aire</t>
  </si>
  <si>
    <t>SECADOR:AIRE</t>
  </si>
  <si>
    <t>010384</t>
  </si>
  <si>
    <t>40161800 - Medios de filtrado</t>
  </si>
  <si>
    <t>CMI02090800 - Refrigeración</t>
  </si>
  <si>
    <t>FILTRO:A/C</t>
  </si>
  <si>
    <t>009528</t>
  </si>
  <si>
    <t>40101720 - Unidad de enfriamiento</t>
  </si>
  <si>
    <t>TUBO ENFRIAMIENTO</t>
  </si>
  <si>
    <t>009498</t>
  </si>
  <si>
    <t>CORDON TRENZADO</t>
  </si>
  <si>
    <t>009459</t>
  </si>
  <si>
    <t>31162803 - Grilletes</t>
  </si>
  <si>
    <t>GRILLETE</t>
  </si>
  <si>
    <t>009440</t>
  </si>
  <si>
    <t>26121539 - Cables para cableado</t>
  </si>
  <si>
    <t>CABLE:TRENZADO</t>
  </si>
  <si>
    <t>009437</t>
  </si>
  <si>
    <t>31151601 - Cadenas de seguridad</t>
  </si>
  <si>
    <t>CADENA:SEGURIDAD</t>
  </si>
  <si>
    <t>009371</t>
  </si>
  <si>
    <t>31151705 - Cable de acero no eléctrico</t>
  </si>
  <si>
    <t>CABLE:ACERO</t>
  </si>
  <si>
    <t>009356</t>
  </si>
  <si>
    <t>31151703 - Cables elevadores</t>
  </si>
  <si>
    <t>ENSAMBLE CABLE</t>
  </si>
  <si>
    <t>009355</t>
  </si>
  <si>
    <t>24101509 - Vagones</t>
  </si>
  <si>
    <t>VAGON:INDUSTRIAL</t>
  </si>
  <si>
    <t>009338</t>
  </si>
  <si>
    <t>24101506 - Carretas de empujar</t>
  </si>
  <si>
    <t>CARRETILLA</t>
  </si>
  <si>
    <t>009248</t>
  </si>
  <si>
    <t>PLUMA;HIDRAULICA</t>
  </si>
  <si>
    <t>009211</t>
  </si>
  <si>
    <t>24112400 - Cofres/armarios baúles almace</t>
  </si>
  <si>
    <t>GUARDACABOS:CORDAJE</t>
  </si>
  <si>
    <t>009126</t>
  </si>
  <si>
    <t>24101600 - Equipo de izaje y accesorios</t>
  </si>
  <si>
    <t>POLIPASTO</t>
  </si>
  <si>
    <t>009110</t>
  </si>
  <si>
    <t>25101919 - Barredora de calles</t>
  </si>
  <si>
    <t>CMI01060800 - Otros-Vehículos</t>
  </si>
  <si>
    <t>BARREDORA:GIRATORIA</t>
  </si>
  <si>
    <t>009014</t>
  </si>
  <si>
    <t>31171804 - Poleas</t>
  </si>
  <si>
    <t>ROLDANA</t>
  </si>
  <si>
    <t>008559</t>
  </si>
  <si>
    <t>TRAMPA:RATON</t>
  </si>
  <si>
    <t>008243</t>
  </si>
  <si>
    <t>MANGO:AZADON</t>
  </si>
  <si>
    <t>008131</t>
  </si>
  <si>
    <t>24102200 - Herramientas para envasado</t>
  </si>
  <si>
    <t>MAQUINA; SELLADO</t>
  </si>
  <si>
    <t>007565</t>
  </si>
  <si>
    <t>POLVO DE SOLDADURA:CAPA METALICA</t>
  </si>
  <si>
    <t>007422</t>
  </si>
  <si>
    <t>23271702 - Soplete grande</t>
  </si>
  <si>
    <t>SOPLETE:SOLDADURA</t>
  </si>
  <si>
    <t>007399</t>
  </si>
  <si>
    <t>23271711 - Punta de soldadura o corte</t>
  </si>
  <si>
    <t>BOQUILLA</t>
  </si>
  <si>
    <t>007381</t>
  </si>
  <si>
    <t>23271816 - Pasta de cautín</t>
  </si>
  <si>
    <t>PASTA PARA SOLDAR</t>
  </si>
  <si>
    <t>007329</t>
  </si>
  <si>
    <t>23271804 - Varilla sold fuerte/sold gas</t>
  </si>
  <si>
    <t>VARILLA:SOLDADURA</t>
  </si>
  <si>
    <t>007280</t>
  </si>
  <si>
    <t>23271820 - Estab.humedad electrodo sold.</t>
  </si>
  <si>
    <t>HORNO SECADOR:ELECTRODO</t>
  </si>
  <si>
    <t>007215</t>
  </si>
  <si>
    <t>23153000 - Disp siste guía,posic sujeción</t>
  </si>
  <si>
    <t>MANDRIL</t>
  </si>
  <si>
    <t>007203</t>
  </si>
  <si>
    <t>40101831 - Calentadores de inducción</t>
  </si>
  <si>
    <t>CALENTADOR:INDUCCION</t>
  </si>
  <si>
    <t>007126</t>
  </si>
  <si>
    <t>23271811 - Fundente de soldadura</t>
  </si>
  <si>
    <t>FUNDENTE:SOLDADURA</t>
  </si>
  <si>
    <t>007046</t>
  </si>
  <si>
    <t>FRESA:CABEZA</t>
  </si>
  <si>
    <t>006956</t>
  </si>
  <si>
    <t>27112742 - Lija de disco</t>
  </si>
  <si>
    <t>LIJADORA:DE DISCO</t>
  </si>
  <si>
    <t>006799</t>
  </si>
  <si>
    <t>25171905 - Válvulas de neumáticos</t>
  </si>
  <si>
    <t>CMI02070200 - Llantas</t>
  </si>
  <si>
    <t>VALVULA:NEUMATICOS</t>
  </si>
  <si>
    <t>005415</t>
  </si>
  <si>
    <t>25174601 - Fundas de asientos</t>
  </si>
  <si>
    <t>CUBRE ASIENTOS AUTO</t>
  </si>
  <si>
    <t>004805</t>
  </si>
  <si>
    <t>CARTUCHO FULMINANTE</t>
  </si>
  <si>
    <t>001346</t>
  </si>
  <si>
    <t>39111603 - Alumbrado de la vía pública</t>
  </si>
  <si>
    <t>LUZ:POSTE</t>
  </si>
  <si>
    <t>000958</t>
  </si>
  <si>
    <t>48101901 - Vajilla fina p/servicio comida</t>
  </si>
  <si>
    <t>VAJILLA</t>
  </si>
  <si>
    <t>043043</t>
  </si>
  <si>
    <t>50161814 - Azúcar o sustituto de azúcar</t>
  </si>
  <si>
    <t>CMI05030300 - Alimentos-Azúcar</t>
  </si>
  <si>
    <t>CARAMELOS VARIOS:DULCES</t>
  </si>
  <si>
    <t>048534</t>
  </si>
  <si>
    <t>52151504 - Tazas,vasos,tapas desechables</t>
  </si>
  <si>
    <t>VASO:DESECHABLE</t>
  </si>
  <si>
    <t>042944</t>
  </si>
  <si>
    <t>48101529 - Ollas o freidoras de presión</t>
  </si>
  <si>
    <t>OLLA:PRESION</t>
  </si>
  <si>
    <t>043257</t>
  </si>
  <si>
    <t>52151802 - Sartenes para uso doméstico</t>
  </si>
  <si>
    <t>SARTEN</t>
  </si>
  <si>
    <t>043206</t>
  </si>
  <si>
    <t>52152101 - Tazas café o té uso doméstico</t>
  </si>
  <si>
    <t>TAZA</t>
  </si>
  <si>
    <t>042945</t>
  </si>
  <si>
    <t>53121603 - Morrales</t>
  </si>
  <si>
    <t>MOCHILA</t>
  </si>
  <si>
    <t>069720</t>
  </si>
  <si>
    <t>49101702 - Trofeos</t>
  </si>
  <si>
    <t>CMI02040400 - Promocionales</t>
  </si>
  <si>
    <t>TROFEO</t>
  </si>
  <si>
    <t>054322</t>
  </si>
  <si>
    <t>50161509 - Azucares naturales/prod endulz</t>
  </si>
  <si>
    <t>AZUCAR</t>
  </si>
  <si>
    <t>089321</t>
  </si>
  <si>
    <t>50201706 - Café</t>
  </si>
  <si>
    <t>CAFÉ</t>
  </si>
  <si>
    <t>048784</t>
  </si>
  <si>
    <t>TOALLA:LIMPIEZA</t>
  </si>
  <si>
    <t>045263</t>
  </si>
  <si>
    <t>PINZA:ELECTRICA</t>
  </si>
  <si>
    <t>017390</t>
  </si>
  <si>
    <t>INSUMOS:OFICINA</t>
  </si>
  <si>
    <t>060456</t>
  </si>
  <si>
    <t>53121701 - Maletines</t>
  </si>
  <si>
    <t>MALETIN</t>
  </si>
  <si>
    <t>046737</t>
  </si>
  <si>
    <t>CORTINA</t>
  </si>
  <si>
    <t>042648</t>
  </si>
  <si>
    <t>56101519 - Mesas</t>
  </si>
  <si>
    <t>MESA:PLEGABLE</t>
  </si>
  <si>
    <t>042548</t>
  </si>
  <si>
    <t>53121601 - Bolsos o carteras</t>
  </si>
  <si>
    <t>BOLSO:MUJER</t>
  </si>
  <si>
    <t>047117</t>
  </si>
  <si>
    <t>32101626 - Microprocesadores</t>
  </si>
  <si>
    <t>MICROPROCESADOR</t>
  </si>
  <si>
    <t>018112</t>
  </si>
  <si>
    <t>CINTA:ADHESIVA</t>
  </si>
  <si>
    <t>734865</t>
  </si>
  <si>
    <t>40141700 - Mat de ferretería y accesorios</t>
  </si>
  <si>
    <t>TAPA:PROTECTORA</t>
  </si>
  <si>
    <t>297549</t>
  </si>
  <si>
    <t>SOLUCION LIMPIEZA</t>
  </si>
  <si>
    <t>261960</t>
  </si>
  <si>
    <t>31162411 - Anillos elásticos</t>
  </si>
  <si>
    <t>ANILLO:ELASTICO</t>
  </si>
  <si>
    <t>1145221</t>
  </si>
  <si>
    <t>ADAPTADOR</t>
  </si>
  <si>
    <t>091867</t>
  </si>
  <si>
    <t>39131719 - Tubería metálica eléctrica emt</t>
  </si>
  <si>
    <t>TUBO</t>
  </si>
  <si>
    <t>089643</t>
  </si>
  <si>
    <t>39121703 - Enlaces de cables</t>
  </si>
  <si>
    <t>ATADURA:CABLE</t>
  </si>
  <si>
    <t>089513</t>
  </si>
  <si>
    <t>27111535 - Tijeras de alambre</t>
  </si>
  <si>
    <t>TIJERAS</t>
  </si>
  <si>
    <t>088887</t>
  </si>
  <si>
    <t>41111604 - Reglas</t>
  </si>
  <si>
    <t>REGLA</t>
  </si>
  <si>
    <t>088840</t>
  </si>
  <si>
    <t>39121719 - Protectores</t>
  </si>
  <si>
    <t>PROTECTOR</t>
  </si>
  <si>
    <t>088591</t>
  </si>
  <si>
    <t>39101600 - Lámparas y bombillas</t>
  </si>
  <si>
    <t>LAMPARA</t>
  </si>
  <si>
    <t>087792</t>
  </si>
  <si>
    <t>MANERALES:MACHUELO</t>
  </si>
  <si>
    <t>087750</t>
  </si>
  <si>
    <t>40142002 - Mangueras de aire</t>
  </si>
  <si>
    <t>MANGUERA:AIRE</t>
  </si>
  <si>
    <t>087535</t>
  </si>
  <si>
    <t>31163000 - Embragues</t>
  </si>
  <si>
    <t>ACOPLE</t>
  </si>
  <si>
    <t>086712</t>
  </si>
  <si>
    <t>31163100 - Conectores</t>
  </si>
  <si>
    <t>CONECTOR</t>
  </si>
  <si>
    <t>086647</t>
  </si>
  <si>
    <t>26121600 - Cables eléctricos y accesorios</t>
  </si>
  <si>
    <t>CABLE ELECTRICO</t>
  </si>
  <si>
    <t>31151505 - Cable de acero</t>
  </si>
  <si>
    <t>CABLE</t>
  </si>
  <si>
    <t>086289</t>
  </si>
  <si>
    <t>MER391100 - Art/evento especial</t>
  </si>
  <si>
    <t>086206</t>
  </si>
  <si>
    <t>31162100 - Anclas</t>
  </si>
  <si>
    <t>ANCLAJE</t>
  </si>
  <si>
    <t>085845</t>
  </si>
  <si>
    <t>40174700 - Brida roscada para tubos</t>
  </si>
  <si>
    <t>BRIDA</t>
  </si>
  <si>
    <t>085690</t>
  </si>
  <si>
    <t>46171500 - Cerraduras, elemdseg y acces</t>
  </si>
  <si>
    <t>CERRADURA</t>
  </si>
  <si>
    <t>081673</t>
  </si>
  <si>
    <t>CEDAZO</t>
  </si>
  <si>
    <t>076639</t>
  </si>
  <si>
    <t>CONDUCTOR</t>
  </si>
  <si>
    <t>069891</t>
  </si>
  <si>
    <t>30102200 - Plancha</t>
  </si>
  <si>
    <t>PLANCHA:NO METALICA</t>
  </si>
  <si>
    <t>065512</t>
  </si>
  <si>
    <t>43222612 - Interruptores de red</t>
  </si>
  <si>
    <t>SWITCH:LAN</t>
  </si>
  <si>
    <t>054144</t>
  </si>
  <si>
    <t>30102403 - Varillas de hierro</t>
  </si>
  <si>
    <t>VARILLA:HIERRO</t>
  </si>
  <si>
    <t>050873</t>
  </si>
  <si>
    <t>30266501 - Banda de caucho</t>
  </si>
  <si>
    <t>TIRA:GOMA</t>
  </si>
  <si>
    <t>050490</t>
  </si>
  <si>
    <t>31201605 - Masillas</t>
  </si>
  <si>
    <t>MASILLA</t>
  </si>
  <si>
    <t>045537</t>
  </si>
  <si>
    <t>PEGAMENTO</t>
  </si>
  <si>
    <t>045277</t>
  </si>
  <si>
    <t>40161501 - Filtros al vacío</t>
  </si>
  <si>
    <t>FILTRO:ASPIRADORA</t>
  </si>
  <si>
    <t>045182</t>
  </si>
  <si>
    <t>44102400 - Etiquetadoras</t>
  </si>
  <si>
    <t>ETIQUETADORA</t>
  </si>
  <si>
    <t>043520</t>
  </si>
  <si>
    <t>52101511 - Tapetes de caucho o vinilo</t>
  </si>
  <si>
    <t>042705</t>
  </si>
  <si>
    <t>47131825 - Limps de superficie contacto</t>
  </si>
  <si>
    <t>LIMPIADOR:CONTACTO ELECTRICO</t>
  </si>
  <si>
    <t>038690</t>
  </si>
  <si>
    <t>45121516 - Video cámaras digitales</t>
  </si>
  <si>
    <t>CAMARA:DIGITAL</t>
  </si>
  <si>
    <t>037393</t>
  </si>
  <si>
    <t>41122702 - Cintas etiquetadoras</t>
  </si>
  <si>
    <t>CMI02052100 - Señalización</t>
  </si>
  <si>
    <t>CINTA ETIQUETADO</t>
  </si>
  <si>
    <t>036742</t>
  </si>
  <si>
    <t>41113633 - Potenciómetros</t>
  </si>
  <si>
    <t>POTENCIOMETRO:LINEAL</t>
  </si>
  <si>
    <t>036234</t>
  </si>
  <si>
    <t>39111803 - Enchufes de lámparas</t>
  </si>
  <si>
    <t>BASE:LAMPARA</t>
  </si>
  <si>
    <t>019367</t>
  </si>
  <si>
    <t>39101612 - Lámparas incandescentes</t>
  </si>
  <si>
    <t>BOMBILLA</t>
  </si>
  <si>
    <t>019239</t>
  </si>
  <si>
    <t>26121500 - Alambre eléctrico</t>
  </si>
  <si>
    <t>CABLE:ELECTRICIDAD</t>
  </si>
  <si>
    <t>019109</t>
  </si>
  <si>
    <t>26111701 - Baterías recargables</t>
  </si>
  <si>
    <t>BATERIA:RECARGABLE</t>
  </si>
  <si>
    <t>018790</t>
  </si>
  <si>
    <t>39131714 - Canaletas para cables</t>
  </si>
  <si>
    <t>CANALETA:NO METALICA</t>
  </si>
  <si>
    <t>018236</t>
  </si>
  <si>
    <t>CAJA ELECTRICA</t>
  </si>
  <si>
    <t>017961</t>
  </si>
  <si>
    <t>32141109 - Portaelectrodos</t>
  </si>
  <si>
    <t>PORTAELECTRODO</t>
  </si>
  <si>
    <t>017878</t>
  </si>
  <si>
    <t>39121436 - Electrodos</t>
  </si>
  <si>
    <t>ELECTRODO</t>
  </si>
  <si>
    <t>017698</t>
  </si>
  <si>
    <t>CONDUCTOR DE CABLES</t>
  </si>
  <si>
    <t>017424</t>
  </si>
  <si>
    <t>CAJA:DISYUNTOR</t>
  </si>
  <si>
    <t>017380</t>
  </si>
  <si>
    <t>ESCOBILLA;CARBON</t>
  </si>
  <si>
    <t>017324</t>
  </si>
  <si>
    <t>39121312 - Bujes eléctricos</t>
  </si>
  <si>
    <t>BUJE:ELECTRICO</t>
  </si>
  <si>
    <t>017209</t>
  </si>
  <si>
    <t>31161500 - Tornillos</t>
  </si>
  <si>
    <t>TORNILLO</t>
  </si>
  <si>
    <t>014842</t>
  </si>
  <si>
    <t>46171501 - Candados</t>
  </si>
  <si>
    <t>CANDADO</t>
  </si>
  <si>
    <t>014668</t>
  </si>
  <si>
    <t>31161727 - Tuercas hexagonales</t>
  </si>
  <si>
    <t>TUERCA:HEXAGONAL</t>
  </si>
  <si>
    <t>014593</t>
  </si>
  <si>
    <t>27111543 - Broca de mampostería</t>
  </si>
  <si>
    <t>BROCA:PERFORACION</t>
  </si>
  <si>
    <t>012558</t>
  </si>
  <si>
    <t>40141653 - Válvula de compuerta</t>
  </si>
  <si>
    <t>VALVULA:COMPUERTA</t>
  </si>
  <si>
    <t>011531</t>
  </si>
  <si>
    <t>40141759 - Desagües de piso</t>
  </si>
  <si>
    <t>REJILLA:PISO</t>
  </si>
  <si>
    <t>010524</t>
  </si>
  <si>
    <t>30181602 - Toallero</t>
  </si>
  <si>
    <t>TOALLERO</t>
  </si>
  <si>
    <t>010465</t>
  </si>
  <si>
    <t>40151533 - Bombas hidráulicas</t>
  </si>
  <si>
    <t>BOMBA:HIDRAULICA</t>
  </si>
  <si>
    <t>010228</t>
  </si>
  <si>
    <t>40101604 - Ventiladores</t>
  </si>
  <si>
    <t>009520</t>
  </si>
  <si>
    <t>25172500 - Neumáticos y cámaras de neumat</t>
  </si>
  <si>
    <t>PARCHES:REPARACION</t>
  </si>
  <si>
    <t>005396</t>
  </si>
  <si>
    <t>41111950 - Indicador de nivel</t>
  </si>
  <si>
    <t>BOYA:INDICADORA</t>
  </si>
  <si>
    <t>004039</t>
  </si>
  <si>
    <t>53101600 - BLUSA</t>
  </si>
  <si>
    <t>BLUSA</t>
  </si>
  <si>
    <t>058541</t>
  </si>
  <si>
    <t>30191601 - Barandas</t>
  </si>
  <si>
    <t>BARANDILLA</t>
  </si>
  <si>
    <t>005038</t>
  </si>
  <si>
    <t>24101900 - Equipo para manejo de canecas</t>
  </si>
  <si>
    <t>TAPA:BIDON</t>
  </si>
  <si>
    <t>045896</t>
  </si>
  <si>
    <t>53103100 - Chalecos</t>
  </si>
  <si>
    <t>MANUFACTURA:CHALECO</t>
  </si>
  <si>
    <t>060296</t>
  </si>
  <si>
    <t>53101804 - Abrigos o chaquetas para mujer</t>
  </si>
  <si>
    <t>CHAQUETA:MUJER</t>
  </si>
  <si>
    <t>047262</t>
  </si>
  <si>
    <t>46191608 - Sistema de supresión de incendios</t>
  </si>
  <si>
    <t>DISPENSADOR:CONTRAFUEGO</t>
  </si>
  <si>
    <t>010044</t>
  </si>
  <si>
    <t>46171610 - Cámaras de seguridad</t>
  </si>
  <si>
    <t>CAMARA:VIGILANCIA</t>
  </si>
  <si>
    <t>037441</t>
  </si>
  <si>
    <t>46171620 - Detectores fotoeléctricos segu</t>
  </si>
  <si>
    <t>CORTINA OPTICA:SEGURIDAD</t>
  </si>
  <si>
    <t>019489</t>
  </si>
  <si>
    <t>46181811 - Lentes protectores</t>
  </si>
  <si>
    <t>LENTE:PROTECTOR</t>
  </si>
  <si>
    <t>047304</t>
  </si>
  <si>
    <t>42300000 - SUMS FORM ESTUDIO MEDICINA</t>
  </si>
  <si>
    <t>EQUIPO MEDICO:ENTRENAMIENTO</t>
  </si>
  <si>
    <t>027783</t>
  </si>
  <si>
    <t>24122000 - Botellas</t>
  </si>
  <si>
    <t>BOTELLA:TAPON ROSCA</t>
  </si>
  <si>
    <t>045640</t>
  </si>
  <si>
    <t>49141500 - Escafandras autónomas y tubos</t>
  </si>
  <si>
    <t>TRAJE:BUCEO</t>
  </si>
  <si>
    <t>009750</t>
  </si>
  <si>
    <t>44111605 - Cajas para efectivo o tiquetes</t>
  </si>
  <si>
    <t>CAJA:DINERO</t>
  </si>
  <si>
    <t>043596</t>
  </si>
  <si>
    <t>30171505 - Puertas de metal</t>
  </si>
  <si>
    <t>PUERTA METALICA:GIRATORIA</t>
  </si>
  <si>
    <t>015425</t>
  </si>
  <si>
    <t>25131705 - Aviones no tripld objet/recon</t>
  </si>
  <si>
    <t>AERONAVE:TELEDIRIGIDA</t>
  </si>
  <si>
    <t>002924</t>
  </si>
  <si>
    <t>30121719 - Separador seguridad de calle</t>
  </si>
  <si>
    <t>SEPARADOR:CARRETERA</t>
  </si>
  <si>
    <t>055913</t>
  </si>
  <si>
    <t>60101811 - Vestimentas</t>
  </si>
  <si>
    <t>VESTUARIO</t>
  </si>
  <si>
    <t>054405</t>
  </si>
  <si>
    <t>42142108 - Almo,comp,bolsa calen/enfriter</t>
  </si>
  <si>
    <t>BOLSA:AGUA</t>
  </si>
  <si>
    <t>020651</t>
  </si>
  <si>
    <t>41116101 - Kits sums prueba bancos sangre</t>
  </si>
  <si>
    <t>TIRA:REACTIVA;GLUCOSA</t>
  </si>
  <si>
    <t>033073</t>
  </si>
  <si>
    <t>41104100 - Conten recoytrans especim sums</t>
  </si>
  <si>
    <t>LANCETA</t>
  </si>
  <si>
    <t>034559</t>
  </si>
  <si>
    <t>41116201 - Monitores o medidores glucosa</t>
  </si>
  <si>
    <t>MEDIDOR:GLUCOSA</t>
  </si>
  <si>
    <t>035953</t>
  </si>
  <si>
    <t>46181514 - Protectores de codos</t>
  </si>
  <si>
    <t>PROTECTOR:BRAZO</t>
  </si>
  <si>
    <t>043260</t>
  </si>
  <si>
    <t>24112207 - Bidones no metali p/liq inflam</t>
  </si>
  <si>
    <t>Deposito;No Metalico</t>
  </si>
  <si>
    <t>042607</t>
  </si>
  <si>
    <t>46171606 - Sirenas</t>
  </si>
  <si>
    <t>SIRENA:ELECTRONICA</t>
  </si>
  <si>
    <t>674180</t>
  </si>
  <si>
    <t>55121704 - Señales de seguridad</t>
  </si>
  <si>
    <t>SEÑAL DE PRECAUCION</t>
  </si>
  <si>
    <t>111560</t>
  </si>
  <si>
    <t>46181543 - Chaqueta,gabardina impermeable</t>
  </si>
  <si>
    <t>CAPA IMPERMEABLE</t>
  </si>
  <si>
    <t>1037831</t>
  </si>
  <si>
    <t>46181504 - Guantes de protección</t>
  </si>
  <si>
    <t>GUANTES:SEGURIDAD</t>
  </si>
  <si>
    <t>090916</t>
  </si>
  <si>
    <t>CHAQUETA:SEGURIDAD</t>
  </si>
  <si>
    <t>090896</t>
  </si>
  <si>
    <t>42171606 - Férula inflables p/sermed emer</t>
  </si>
  <si>
    <t>FERULA MEDICA</t>
  </si>
  <si>
    <t>089189</t>
  </si>
  <si>
    <t>ROTULO:SEGURIDAD</t>
  </si>
  <si>
    <t>089048</t>
  </si>
  <si>
    <t>53103001 - Camisetas (t-shirts) p/hombre</t>
  </si>
  <si>
    <t>CAMISETA</t>
  </si>
  <si>
    <t>089008</t>
  </si>
  <si>
    <t>31151500 - Cuerdas</t>
  </si>
  <si>
    <t>CUERDA</t>
  </si>
  <si>
    <t>088822</t>
  </si>
  <si>
    <t>40141731 - Boquillas</t>
  </si>
  <si>
    <t>BOQUILLAS</t>
  </si>
  <si>
    <t>088173</t>
  </si>
  <si>
    <t>11162111 - Malla</t>
  </si>
  <si>
    <t>MALLA</t>
  </si>
  <si>
    <t>088014</t>
  </si>
  <si>
    <t>46171511 - Dispositivos de bloqueo</t>
  </si>
  <si>
    <t>DISPOSITIVO:BLOQUEO</t>
  </si>
  <si>
    <t>087900</t>
  </si>
  <si>
    <t>46151607 - Cabos de amarre de seguridad</t>
  </si>
  <si>
    <t>CUERDA:SEGURIDAD</t>
  </si>
  <si>
    <t>087805</t>
  </si>
  <si>
    <t>46191603 - Mangueras o boq para incendios</t>
  </si>
  <si>
    <t>MANGUERA:INCENDIO</t>
  </si>
  <si>
    <t>087537</t>
  </si>
  <si>
    <t>CASCO:SOLDAR</t>
  </si>
  <si>
    <t>087476</t>
  </si>
  <si>
    <t>42241803 - Collares cervi/abraz p/cuello</t>
  </si>
  <si>
    <t>COLLAR:MEDICAL</t>
  </si>
  <si>
    <t>086595</t>
  </si>
  <si>
    <t>46182004 - Aparatos resp auto contenidos</t>
  </si>
  <si>
    <t>SISTEMA;AUTOCONTENIDO</t>
  </si>
  <si>
    <t>086227</t>
  </si>
  <si>
    <t>46151505 - Barreras</t>
  </si>
  <si>
    <t>BARRERA</t>
  </si>
  <si>
    <t>085987</t>
  </si>
  <si>
    <t>52161512 - Altoparlantes</t>
  </si>
  <si>
    <t>ALTOPARLANTE</t>
  </si>
  <si>
    <t>066944</t>
  </si>
  <si>
    <t>55111514 - Películas cine, video dig dvd</t>
  </si>
  <si>
    <t>VIDEO:ENTRENAMIENTO</t>
  </si>
  <si>
    <t>066622</t>
  </si>
  <si>
    <t>46180000 - Seguridad, protección personal</t>
  </si>
  <si>
    <t>ROPA DE SEGURIDAD</t>
  </si>
  <si>
    <t>058934</t>
  </si>
  <si>
    <t>31201513 - Cintas antidesl de seguridad</t>
  </si>
  <si>
    <t>CINTA ANTIDESLIZANTE</t>
  </si>
  <si>
    <t>054198</t>
  </si>
  <si>
    <t>SEÑAL:SEGURIDAD</t>
  </si>
  <si>
    <t>053855</t>
  </si>
  <si>
    <t>55121717 - Placas identificación máquinas</t>
  </si>
  <si>
    <t>ROTULO</t>
  </si>
  <si>
    <t>053339</t>
  </si>
  <si>
    <t>46161508 - Conos o delineadores tráfico</t>
  </si>
  <si>
    <t>CONO:TRAFICO</t>
  </si>
  <si>
    <t>052912</t>
  </si>
  <si>
    <t>GUANTES:CUERO</t>
  </si>
  <si>
    <t>052643</t>
  </si>
  <si>
    <t>31201516 - Cinta reflectiva</t>
  </si>
  <si>
    <t>CINTA:REFLECTANTE</t>
  </si>
  <si>
    <t>050504</t>
  </si>
  <si>
    <t>30171706 - Vidrio templado</t>
  </si>
  <si>
    <t>VIDRIO:TEMPLADO</t>
  </si>
  <si>
    <t>050403</t>
  </si>
  <si>
    <t>46161604 - Chalecos protectores salvavida</t>
  </si>
  <si>
    <t>CHALECO:SOBREVIVENCIA</t>
  </si>
  <si>
    <t>047882</t>
  </si>
  <si>
    <t>46181531 - Ropa reflectora o accesorios</t>
  </si>
  <si>
    <t>CHALECO;FRANJAS REFLECTIVAS</t>
  </si>
  <si>
    <t>047881</t>
  </si>
  <si>
    <t>53101500 - Pantalones cortos de deporte</t>
  </si>
  <si>
    <t>PANTALON:BOMBERO</t>
  </si>
  <si>
    <t>047829</t>
  </si>
  <si>
    <t>PANTALONES</t>
  </si>
  <si>
    <t>047814</t>
  </si>
  <si>
    <t>53102501 - Cinturones o tirantes</t>
  </si>
  <si>
    <t>TIRANTES:PANTALONES</t>
  </si>
  <si>
    <t>047764</t>
  </si>
  <si>
    <t>46181605 - Zapatos de seguridad</t>
  </si>
  <si>
    <t>CALZADO:DE SEGURIDAD</t>
  </si>
  <si>
    <t>047620</t>
  </si>
  <si>
    <t>53101602 - Camisas para hombre</t>
  </si>
  <si>
    <t>CAMISA</t>
  </si>
  <si>
    <t>047577</t>
  </si>
  <si>
    <t>46181706 - Partes de cascos o accesorios</t>
  </si>
  <si>
    <t>BARBOQUEJO</t>
  </si>
  <si>
    <t>047449</t>
  </si>
  <si>
    <t>46181520 - Protectores de piernas</t>
  </si>
  <si>
    <t>POLAINA</t>
  </si>
  <si>
    <t>047298</t>
  </si>
  <si>
    <t>53101802 - Abrigos, chaquetas para hombre</t>
  </si>
  <si>
    <t>CHAQUETA:HOMBRE</t>
  </si>
  <si>
    <t>047263</t>
  </si>
  <si>
    <t>CASCO:SEGURIDAD</t>
  </si>
  <si>
    <t>047153</t>
  </si>
  <si>
    <t>46181522 - Capuchas de seguridad</t>
  </si>
  <si>
    <t>CAPUCHA;BOMBERO</t>
  </si>
  <si>
    <t>047016</t>
  </si>
  <si>
    <t>46181503 - Overoles de protección</t>
  </si>
  <si>
    <t>OVEROL:SEGURIDAD</t>
  </si>
  <si>
    <t>046950</t>
  </si>
  <si>
    <t>46181604 - Botas de seguridad</t>
  </si>
  <si>
    <t>BOTAS:SEGURIDAD</t>
  </si>
  <si>
    <t>046709</t>
  </si>
  <si>
    <t>46181507 - Chalecos de seguridad</t>
  </si>
  <si>
    <t>PECHERA; REFUERZO</t>
  </si>
  <si>
    <t>046229</t>
  </si>
  <si>
    <t>43230000 - Software</t>
  </si>
  <si>
    <t>CMI01010400 - Licencias de Software</t>
  </si>
  <si>
    <t>SOFTWARE</t>
  </si>
  <si>
    <t>042119</t>
  </si>
  <si>
    <t>41122703 - Cintas de seguridad</t>
  </si>
  <si>
    <t>CINTA DE SEGURIDAD</t>
  </si>
  <si>
    <t>036743</t>
  </si>
  <si>
    <t>41113038 - Alcoholímetro</t>
  </si>
  <si>
    <t>ALCOHOLIMETRO</t>
  </si>
  <si>
    <t>034428</t>
  </si>
  <si>
    <t>46181901 - Tapones de oídos</t>
  </si>
  <si>
    <t>TAPON:OIDOS</t>
  </si>
  <si>
    <t>029803</t>
  </si>
  <si>
    <t>46182002 - Respiradores</t>
  </si>
  <si>
    <t>MASCARA:RESPIRADOR</t>
  </si>
  <si>
    <t>027646</t>
  </si>
  <si>
    <t>42171608 - Inmov de cabeza p/sermed emer</t>
  </si>
  <si>
    <t>INMOVILIZADOR:CABEZA</t>
  </si>
  <si>
    <t>026655</t>
  </si>
  <si>
    <t>42311512 - Esponjas de gasa</t>
  </si>
  <si>
    <t>GASA</t>
  </si>
  <si>
    <t>025772</t>
  </si>
  <si>
    <t>42172001 - Kit primeros aux p/sermed emer</t>
  </si>
  <si>
    <t>BOTIQUIN</t>
  </si>
  <si>
    <t>025376</t>
  </si>
  <si>
    <t>VENDA:ELASTICA</t>
  </si>
  <si>
    <t>020756</t>
  </si>
  <si>
    <t>42311505 - Vendajes o comp p/uso general</t>
  </si>
  <si>
    <t>VENDA</t>
  </si>
  <si>
    <t>020755</t>
  </si>
  <si>
    <t>46161511 - Balizas de tráfico</t>
  </si>
  <si>
    <t>LUZ:BALIZA</t>
  </si>
  <si>
    <t>019316</t>
  </si>
  <si>
    <t>39111610 - Linternas</t>
  </si>
  <si>
    <t>LUZ;CABEZA</t>
  </si>
  <si>
    <t>019284</t>
  </si>
  <si>
    <t>43191600 - Partes,acces dispositiv comper</t>
  </si>
  <si>
    <t>SISTEMA;COMUNICACIÓN</t>
  </si>
  <si>
    <t>015858</t>
  </si>
  <si>
    <t>31151700 - Cable mecánico</t>
  </si>
  <si>
    <t>KIT:CABLE SEGURIDAD</t>
  </si>
  <si>
    <t>014831</t>
  </si>
  <si>
    <t>24112403 - Cinturón para herramientas</t>
  </si>
  <si>
    <t>CINTURON:HERRAMIENTAS</t>
  </si>
  <si>
    <t>012535</t>
  </si>
  <si>
    <t>27111604 - Hachas de mano</t>
  </si>
  <si>
    <t>HACHA:DE UN FILO</t>
  </si>
  <si>
    <t>012508</t>
  </si>
  <si>
    <t>47131704 - Dispen instituc jabón o loción</t>
  </si>
  <si>
    <t>DISPENSADOR:JABON</t>
  </si>
  <si>
    <t>010516</t>
  </si>
  <si>
    <t>47131701 - Dispensadores toallas de papel</t>
  </si>
  <si>
    <t>DISPENSADOR:TOALLA DE PAPEL</t>
  </si>
  <si>
    <t>010515</t>
  </si>
  <si>
    <t>46181707 - Partes de escudos faciales</t>
  </si>
  <si>
    <t>VISOR:CARETA</t>
  </si>
  <si>
    <t>010070</t>
  </si>
  <si>
    <t>46182306 - Arneses o cinturones seguridad</t>
  </si>
  <si>
    <t>CORREA;SEGURIDAD</t>
  </si>
  <si>
    <t>010019</t>
  </si>
  <si>
    <t>46182209 - Soportes para las rodillas</t>
  </si>
  <si>
    <t>SOPORTE RODILLA</t>
  </si>
  <si>
    <t>009922</t>
  </si>
  <si>
    <t>46161602 - Salvavidas</t>
  </si>
  <si>
    <t>BOTE SALVAVIDAS</t>
  </si>
  <si>
    <t>009882</t>
  </si>
  <si>
    <t>LENTES:INDUSTRIALES</t>
  </si>
  <si>
    <t>009879</t>
  </si>
  <si>
    <t>46182302 - Acollador prot contra caídas</t>
  </si>
  <si>
    <t>LINEA DE VIDA</t>
  </si>
  <si>
    <t>009876</t>
  </si>
  <si>
    <t>ARNES:SEGURIDAD</t>
  </si>
  <si>
    <t>009833</t>
  </si>
  <si>
    <t>46181702 - Escudos faciales</t>
  </si>
  <si>
    <t>ESCUDO FACIAL</t>
  </si>
  <si>
    <t>009784</t>
  </si>
  <si>
    <t>46191601 - Extintores</t>
  </si>
  <si>
    <t>EXTINTOR FUEGO</t>
  </si>
  <si>
    <t>009773</t>
  </si>
  <si>
    <t>46181902 - Tapa oídos</t>
  </si>
  <si>
    <t>OREJERAS</t>
  </si>
  <si>
    <t>009758</t>
  </si>
  <si>
    <t>46191606 - Espuma de supresión incendios</t>
  </si>
  <si>
    <t>POLVO QUIMICO:EXTINTOR</t>
  </si>
  <si>
    <t>009755</t>
  </si>
  <si>
    <t>46161600 - Seguridad del Agua</t>
  </si>
  <si>
    <t>COLCHON:SALVAVIDAS</t>
  </si>
  <si>
    <t>009730</t>
  </si>
  <si>
    <t>46191600 - Equipo contra incendios</t>
  </si>
  <si>
    <t>SOPORTE:PARA EXTINTOR</t>
  </si>
  <si>
    <t>009668</t>
  </si>
  <si>
    <t>CINTURON:SEGURIDAD</t>
  </si>
  <si>
    <t>009651</t>
  </si>
  <si>
    <t>31162600 - Ganchos</t>
  </si>
  <si>
    <t>GANCHO:SEGURIDAD</t>
  </si>
  <si>
    <t>004986</t>
  </si>
  <si>
    <t>53121705 - Estuches para equipos</t>
  </si>
  <si>
    <t>ESTUCHE</t>
  </si>
  <si>
    <t>000183</t>
  </si>
  <si>
    <t>24101611 - Eslingas</t>
  </si>
  <si>
    <t>ESLINGA</t>
  </si>
  <si>
    <t>089084</t>
  </si>
  <si>
    <t>GANCHO</t>
  </si>
  <si>
    <t>085565</t>
  </si>
  <si>
    <t>46181501 - Delantales protectores</t>
  </si>
  <si>
    <t>DELANTAL(GABACHA)</t>
  </si>
  <si>
    <t>046587</t>
  </si>
  <si>
    <t>41113642 - Probador de circuitos</t>
  </si>
  <si>
    <t>DETECTOR:VOLTAJE</t>
  </si>
  <si>
    <t>037062</t>
  </si>
  <si>
    <t>LINTERNA</t>
  </si>
  <si>
    <t>019194</t>
  </si>
  <si>
    <t>46182005 - Filtros acce p/máscaras o resp</t>
  </si>
  <si>
    <t>RESPIRADOR:FILTRO</t>
  </si>
  <si>
    <t>009972</t>
  </si>
  <si>
    <t>LENTE DE SOLDADOR</t>
  </si>
  <si>
    <t>009880</t>
  </si>
  <si>
    <t>25171901 - Rines o ruedas automóviles</t>
  </si>
  <si>
    <t>REP211100 - Rpto. AutomMecanico</t>
  </si>
  <si>
    <t>ARO:NEUMATICO</t>
  </si>
  <si>
    <t>005200</t>
  </si>
  <si>
    <t>12142100 - Gases naturales y gases mixtos</t>
  </si>
  <si>
    <t>CMI02050600 - Gases Industriales</t>
  </si>
  <si>
    <t>GAS:CALIBRACION</t>
  </si>
  <si>
    <t>038554</t>
  </si>
  <si>
    <t>41122411 - Cronómetros o relojes para laboratorio</t>
  </si>
  <si>
    <t>RELOJ:TEMPORIZADOR</t>
  </si>
  <si>
    <t>037100</t>
  </si>
  <si>
    <t>43201553 - Convertidores de transceptores</t>
  </si>
  <si>
    <t>RECEPTOR TRANSMISOR:DIGITAL</t>
  </si>
  <si>
    <t>042098</t>
  </si>
  <si>
    <t>40151700 - Piezas y accesorios de bomba</t>
  </si>
  <si>
    <t>KIT REPARACION:BOMBA</t>
  </si>
  <si>
    <t>058347</t>
  </si>
  <si>
    <t>26101715 - Tapas de motor</t>
  </si>
  <si>
    <t>TAPA:MOTOR</t>
  </si>
  <si>
    <t>003712</t>
  </si>
  <si>
    <t>31162413 - Cierre de presión</t>
  </si>
  <si>
    <t>CIERRE:MECANICO</t>
  </si>
  <si>
    <t>014391</t>
  </si>
  <si>
    <t>40161809 - Cartucho filtrante</t>
  </si>
  <si>
    <t>CARTUCHO:FILTRO</t>
  </si>
  <si>
    <t>006034</t>
  </si>
  <si>
    <t>MOTORREDUCTOR:BOMBA</t>
  </si>
  <si>
    <t>010177</t>
  </si>
  <si>
    <t>31171710 - Engranajes piñón</t>
  </si>
  <si>
    <t>ENGRANAJE:PIÑON</t>
  </si>
  <si>
    <t>006605</t>
  </si>
  <si>
    <t>31251501 - ACTUADOR ELECTRICO</t>
  </si>
  <si>
    <t>REP211000 - Rpto.AutomEléctricos</t>
  </si>
  <si>
    <t>ACTUADOR:ELECTRICO</t>
  </si>
  <si>
    <t>017029</t>
  </si>
  <si>
    <t>43223300 - Disp instalconect redes Dataco</t>
  </si>
  <si>
    <t>FUSIONADORA:FIBRA OPTICA</t>
  </si>
  <si>
    <t>067173</t>
  </si>
  <si>
    <t>20121100 - Equipo para cementar</t>
  </si>
  <si>
    <t>EXTENSIÓN:TORQUE</t>
  </si>
  <si>
    <t>063625</t>
  </si>
  <si>
    <t>32121603 - Restrs o varistores variables</t>
  </si>
  <si>
    <t>RESISTOR:VARISTOR</t>
  </si>
  <si>
    <t>018290</t>
  </si>
  <si>
    <t>REGULADOR:TENSIÓN</t>
  </si>
  <si>
    <t>018863</t>
  </si>
  <si>
    <t>40151721 - Partes repuesto p/bombas agua</t>
  </si>
  <si>
    <t>KIT REPARACIÓN:BOMBA AGUA</t>
  </si>
  <si>
    <t>006168</t>
  </si>
  <si>
    <t>COLECTOR:HUMEDAD</t>
  </si>
  <si>
    <t>011246</t>
  </si>
  <si>
    <t>39121103 - Paneles</t>
  </si>
  <si>
    <t>PANEL:DISTRIBUCION ENERGIA</t>
  </si>
  <si>
    <t>018989</t>
  </si>
  <si>
    <t>26101904 - Boquilla inyección combustible</t>
  </si>
  <si>
    <t>INYECTOR:COMBUSTIBLE</t>
  </si>
  <si>
    <t>006136</t>
  </si>
  <si>
    <t>TORNILLO:KIT</t>
  </si>
  <si>
    <t>014868</t>
  </si>
  <si>
    <t>27110000 - Herramientas de mano</t>
  </si>
  <si>
    <t>HERRAMIENTA:LLENADO</t>
  </si>
  <si>
    <t>060434</t>
  </si>
  <si>
    <t>FUENTE:ALIMENTACIÓN</t>
  </si>
  <si>
    <t>019033</t>
  </si>
  <si>
    <t>FUENTE:PODER</t>
  </si>
  <si>
    <t>016465</t>
  </si>
  <si>
    <t>43222628 - Módems</t>
  </si>
  <si>
    <t>MODEM</t>
  </si>
  <si>
    <t>018721</t>
  </si>
  <si>
    <t>TRANSFORMACIÓN:RELACIÓN</t>
  </si>
  <si>
    <t>018613</t>
  </si>
  <si>
    <t>41113600 - Equipo de medición y compelect</t>
  </si>
  <si>
    <t>ANALIZADOR:RED ELECTRICO</t>
  </si>
  <si>
    <t>034430</t>
  </si>
  <si>
    <t>TARJETA:ALMACENAMIENTO</t>
  </si>
  <si>
    <t>043611</t>
  </si>
  <si>
    <t>43201400 - Tarjetas del sistema</t>
  </si>
  <si>
    <t>TARJETA:COMUNICACIÓN</t>
  </si>
  <si>
    <t>056926</t>
  </si>
  <si>
    <t>10141600 - Arneses</t>
  </si>
  <si>
    <t>EQUIPO:ELEVACIÓN</t>
  </si>
  <si>
    <t>009115</t>
  </si>
  <si>
    <t>41112403 - Indicadores de presión</t>
  </si>
  <si>
    <t>INDICADOR:PRESIÓN;DIFERENCIAL</t>
  </si>
  <si>
    <t>035437</t>
  </si>
  <si>
    <t>26111700 - Baterías, pilas y accesorios</t>
  </si>
  <si>
    <t>ACUMULADOR</t>
  </si>
  <si>
    <t>018789</t>
  </si>
  <si>
    <t>39122219 - Interruptor nivel o flotador</t>
  </si>
  <si>
    <t>INTERRUPTOR:NIVEL</t>
  </si>
  <si>
    <t>000860</t>
  </si>
  <si>
    <t>26111500 - Transmisión energía cinética</t>
  </si>
  <si>
    <t>ACCIONADOR:INTERRUPTOR</t>
  </si>
  <si>
    <t>018504</t>
  </si>
  <si>
    <t>39121500 - Conmut, ctrls y relés y acces</t>
  </si>
  <si>
    <t>INTERRUPTOR:MOTOR</t>
  </si>
  <si>
    <t>006302</t>
  </si>
  <si>
    <t>26101782 - Distribuidor de ignición</t>
  </si>
  <si>
    <t>DISTRIBUIDOR</t>
  </si>
  <si>
    <t>005961</t>
  </si>
  <si>
    <t>41112209 - Termostatos</t>
  </si>
  <si>
    <t>TERMOSTATO</t>
  </si>
  <si>
    <t>037091</t>
  </si>
  <si>
    <t>40101710 - Enfriador de reciprocidad</t>
  </si>
  <si>
    <t>REFRIGERADOR:TORRE</t>
  </si>
  <si>
    <t>009503</t>
  </si>
  <si>
    <t>CASQUILLO:JUEGO</t>
  </si>
  <si>
    <t>012744</t>
  </si>
  <si>
    <t>26101700 - Accesorios y componentes motor</t>
  </si>
  <si>
    <t>VALVULA:BLOQUEO</t>
  </si>
  <si>
    <t>010170</t>
  </si>
  <si>
    <t>32101519 - Detectores</t>
  </si>
  <si>
    <t>DETECTOR</t>
  </si>
  <si>
    <t>016131</t>
  </si>
  <si>
    <t>31161600 - Pernos</t>
  </si>
  <si>
    <t>PERNO:BLOQUEO</t>
  </si>
  <si>
    <t>014185</t>
  </si>
  <si>
    <t>DEFLECTOR</t>
  </si>
  <si>
    <t>004843</t>
  </si>
  <si>
    <t>31171500 - Rodamientos</t>
  </si>
  <si>
    <t>RODAMIENTO:JUEGO</t>
  </si>
  <si>
    <t>006672</t>
  </si>
  <si>
    <t>ANILLO:SOPORTE</t>
  </si>
  <si>
    <t>014787</t>
  </si>
  <si>
    <t>AGUJA:INYECTOR</t>
  </si>
  <si>
    <t>006101</t>
  </si>
  <si>
    <t>41103303 - Densitómetros</t>
  </si>
  <si>
    <t>DENSIMETRO</t>
  </si>
  <si>
    <t>035109</t>
  </si>
  <si>
    <t>40101800 - Equipo calefacción/pzas y acce</t>
  </si>
  <si>
    <t>CALEFACCIÓN:SISTEMA</t>
  </si>
  <si>
    <t>010417</t>
  </si>
  <si>
    <t>INTERRUPTOR:SELECTOR</t>
  </si>
  <si>
    <t>017514</t>
  </si>
  <si>
    <t>CONECTOR:MAGNETOTÉRMICO</t>
  </si>
  <si>
    <t>017433</t>
  </si>
  <si>
    <t>41111943 - Sens de resistencia/conduelec</t>
  </si>
  <si>
    <t>INDICADOR:RESISTENCIA</t>
  </si>
  <si>
    <t>035643</t>
  </si>
  <si>
    <t>INTERRUPTOR:CERRADURA</t>
  </si>
  <si>
    <t>017515</t>
  </si>
  <si>
    <t>31410000 - Sellos</t>
  </si>
  <si>
    <t>JUNTAS:JUEGO</t>
  </si>
  <si>
    <t>010301</t>
  </si>
  <si>
    <t>CAJA INDICADORA</t>
  </si>
  <si>
    <t>035612</t>
  </si>
  <si>
    <t>SEPARADOR:ELECTRICO</t>
  </si>
  <si>
    <t>018208</t>
  </si>
  <si>
    <t>CONECTOR:TERMINACIÓN</t>
  </si>
  <si>
    <t>066942</t>
  </si>
  <si>
    <t>41112500 - Instrudmed y obser caudal flud</t>
  </si>
  <si>
    <t>MEDIDOR:CAUDAL</t>
  </si>
  <si>
    <t>035916</t>
  </si>
  <si>
    <t>DETECTOR:VIBRACIÓN</t>
  </si>
  <si>
    <t>037045</t>
  </si>
  <si>
    <t>INTERRUPTOR:MANDO</t>
  </si>
  <si>
    <t>018517</t>
  </si>
  <si>
    <t>32101600 - Circuitos integrados</t>
  </si>
  <si>
    <t>MICROCIRCUITO:MODULO</t>
  </si>
  <si>
    <t>018015</t>
  </si>
  <si>
    <t>DISYUNTOR</t>
  </si>
  <si>
    <t>017382</t>
  </si>
  <si>
    <t>39121100 - Cenctrl y distn y accesorios</t>
  </si>
  <si>
    <t>CONMUTADOR:EQUIPO</t>
  </si>
  <si>
    <t>056179</t>
  </si>
  <si>
    <t>41111905 - Sondas medición electrónicas</t>
  </si>
  <si>
    <t>SONDA</t>
  </si>
  <si>
    <t>036260</t>
  </si>
  <si>
    <t>INTERRUPTOR:AUTOMATICO</t>
  </si>
  <si>
    <t>018552</t>
  </si>
  <si>
    <t>43201503 - Procesadores un procecent cpu</t>
  </si>
  <si>
    <t>PROCESADOR:UNIDAD CENTRAL</t>
  </si>
  <si>
    <t>042082</t>
  </si>
  <si>
    <t>39121620 - Mats transientes de protección</t>
  </si>
  <si>
    <t>PROTENCCIÓN:TRANSIENTE</t>
  </si>
  <si>
    <t>1032314</t>
  </si>
  <si>
    <t>26101205 - Servo motor dc</t>
  </si>
  <si>
    <t>SERVOMOTOR</t>
  </si>
  <si>
    <t>654262</t>
  </si>
  <si>
    <t>ENCHUFE:ELECTRICO</t>
  </si>
  <si>
    <t>567327</t>
  </si>
  <si>
    <t>ELEMENTO:FILTRO</t>
  </si>
  <si>
    <t>345334</t>
  </si>
  <si>
    <t>26101738 - Múltiples de entrada</t>
  </si>
  <si>
    <t>DISTRIBUIDOR:AIRE</t>
  </si>
  <si>
    <t>328869</t>
  </si>
  <si>
    <t>41112205 - Reguladores de temperatura</t>
  </si>
  <si>
    <t>CONTROL TEMPERATURA</t>
  </si>
  <si>
    <t>286355</t>
  </si>
  <si>
    <t>39121529 - Contactores</t>
  </si>
  <si>
    <t>CONTACTOR:ELECT.</t>
  </si>
  <si>
    <t>279557</t>
  </si>
  <si>
    <t>39122243 - Micro – interruptor</t>
  </si>
  <si>
    <t>MICRO SWITCH</t>
  </si>
  <si>
    <t>2126424</t>
  </si>
  <si>
    <t>31161716 - Contratuercas</t>
  </si>
  <si>
    <t>CONTRATUERCA</t>
  </si>
  <si>
    <t>123249</t>
  </si>
  <si>
    <t>44102000 - Suministros para plastificado</t>
  </si>
  <si>
    <t>MAQ.LAMINADORA</t>
  </si>
  <si>
    <t>122315</t>
  </si>
  <si>
    <t>TARJETA ELECTRONICA</t>
  </si>
  <si>
    <t>121398</t>
  </si>
  <si>
    <t>40141602 - Válvulas de aguja</t>
  </si>
  <si>
    <t>VALVULA:AGUJA</t>
  </si>
  <si>
    <t>1145983</t>
  </si>
  <si>
    <t>46171628 - Indicador automátic de la hora</t>
  </si>
  <si>
    <t>HOROMETRO</t>
  </si>
  <si>
    <t>1144581</t>
  </si>
  <si>
    <t>32131006 - Soportes o zócalos de circint</t>
  </si>
  <si>
    <t>CIRCUITO:INTEGRADO</t>
  </si>
  <si>
    <t>112271</t>
  </si>
  <si>
    <t>40151513 - Bombas sumergibles</t>
  </si>
  <si>
    <t>BOMBA:SUMERGIBLE</t>
  </si>
  <si>
    <t>1100324</t>
  </si>
  <si>
    <t>40151802 - Partes para compresores aire</t>
  </si>
  <si>
    <t>GAS SPRING</t>
  </si>
  <si>
    <t>1095538</t>
  </si>
  <si>
    <t>41112407 - Instru o ctrls nivel líquido</t>
  </si>
  <si>
    <t>INDICADOR:NIVEL</t>
  </si>
  <si>
    <t>1094071</t>
  </si>
  <si>
    <t>39121623 - Fusible electrónico</t>
  </si>
  <si>
    <t>FUSIBLE ELECTRICO</t>
  </si>
  <si>
    <t>090667</t>
  </si>
  <si>
    <t>40141606 - Válvulas de relevo</t>
  </si>
  <si>
    <t>VALVULA:ALIVIO</t>
  </si>
  <si>
    <t>089725</t>
  </si>
  <si>
    <t>39121001 - Transfs de distn de potencia</t>
  </si>
  <si>
    <t>TRANSFORMADOR</t>
  </si>
  <si>
    <t>089585</t>
  </si>
  <si>
    <t>TRANSDUCTOR</t>
  </si>
  <si>
    <t>089583</t>
  </si>
  <si>
    <t>TERMINAL</t>
  </si>
  <si>
    <t>089464</t>
  </si>
  <si>
    <t>39122210 - Interup auto por caída presión</t>
  </si>
  <si>
    <t>INTERRUPTOR:PRESION</t>
  </si>
  <si>
    <t>089358</t>
  </si>
  <si>
    <t>089354</t>
  </si>
  <si>
    <t>39122233 - Interruptor de desconexión</t>
  </si>
  <si>
    <t>SWITCH:DESCONECTOR</t>
  </si>
  <si>
    <t>089349</t>
  </si>
  <si>
    <t>ESPARRAGO ROSCADO</t>
  </si>
  <si>
    <t>089315</t>
  </si>
  <si>
    <t>25173902 - Arranque del motor</t>
  </si>
  <si>
    <t>ARRANCADOR</t>
  </si>
  <si>
    <t>089238</t>
  </si>
  <si>
    <t>31161816 - Espaciadores y separadores</t>
  </si>
  <si>
    <t>ESPACIADOR</t>
  </si>
  <si>
    <t>089154</t>
  </si>
  <si>
    <t>40161700 - Separadores</t>
  </si>
  <si>
    <t>SEPARADOR</t>
  </si>
  <si>
    <t>088946</t>
  </si>
  <si>
    <t>31411700 - Sellos mecánicos</t>
  </si>
  <si>
    <t>SELLO:ACEITE</t>
  </si>
  <si>
    <t>088922</t>
  </si>
  <si>
    <t>31411800 - Sellos de diafragma</t>
  </si>
  <si>
    <t>SELLO:DIAFRAGMA</t>
  </si>
  <si>
    <t>088918</t>
  </si>
  <si>
    <t>25171705 - Rotores</t>
  </si>
  <si>
    <t>ROTOR</t>
  </si>
  <si>
    <t>088826</t>
  </si>
  <si>
    <t>ANILLO:USO</t>
  </si>
  <si>
    <t>088789</t>
  </si>
  <si>
    <t>39122300 - Relés eléctricos y accesorios</t>
  </si>
  <si>
    <t>RELE:RETARDO</t>
  </si>
  <si>
    <t>088740</t>
  </si>
  <si>
    <t>39122330 - Relés de sobrecarga</t>
  </si>
  <si>
    <t>RELE:SOBRECARGA</t>
  </si>
  <si>
    <t>088736</t>
  </si>
  <si>
    <t>39122331 - Relés de control</t>
  </si>
  <si>
    <t>RELE:CONTROL</t>
  </si>
  <si>
    <t>088735</t>
  </si>
  <si>
    <t>41112305 - Controlador de humedad</t>
  </si>
  <si>
    <t>PURIFICADOR:AIRE</t>
  </si>
  <si>
    <t>088628</t>
  </si>
  <si>
    <t>32151700 - Controladores lógicos progmbls</t>
  </si>
  <si>
    <t>CONTROL PROGRAMABLE</t>
  </si>
  <si>
    <t>088583</t>
  </si>
  <si>
    <t>088573</t>
  </si>
  <si>
    <t>23153131 - Placas/barras, cintas desgaste</t>
  </si>
  <si>
    <t>PLACA:DESGASTE</t>
  </si>
  <si>
    <t>088474</t>
  </si>
  <si>
    <t>26101736 - Pistones</t>
  </si>
  <si>
    <t>PISTON</t>
  </si>
  <si>
    <t>088445</t>
  </si>
  <si>
    <t>26101304 - Motor hidráulico</t>
  </si>
  <si>
    <t>MOTOR:HIDRAULICO</t>
  </si>
  <si>
    <t>088106</t>
  </si>
  <si>
    <t>26101500 - Motores</t>
  </si>
  <si>
    <t>MOTOR:ELECTRIC</t>
  </si>
  <si>
    <t>088104</t>
  </si>
  <si>
    <t>39122334 - Modu relés multi o placa relés</t>
  </si>
  <si>
    <t>MODULO:CANAL</t>
  </si>
  <si>
    <t>088087</t>
  </si>
  <si>
    <t>41115305 - Medidores frecuencia eléctrica</t>
  </si>
  <si>
    <t>MEDIDOR:ELECTRICO</t>
  </si>
  <si>
    <t>088052</t>
  </si>
  <si>
    <t>95131700 - Tiendas carpas y estructuras</t>
  </si>
  <si>
    <t>MEMBRANA</t>
  </si>
  <si>
    <t>088008</t>
  </si>
  <si>
    <t>41103311 - Manómetros</t>
  </si>
  <si>
    <t>MANOMETRO</t>
  </si>
  <si>
    <t>087946</t>
  </si>
  <si>
    <t>32101547 - Limitador</t>
  </si>
  <si>
    <t>LIMITADOR</t>
  </si>
  <si>
    <t>087859</t>
  </si>
  <si>
    <t>40151730 - Impulsores de bombas</t>
  </si>
  <si>
    <t>IMPULSOR:BOMBA</t>
  </si>
  <si>
    <t>087579</t>
  </si>
  <si>
    <t>39101803 - Base de lámpara</t>
  </si>
  <si>
    <t>SOPORTE:LAMPARA</t>
  </si>
  <si>
    <t>087504</t>
  </si>
  <si>
    <t>40101802 - Intercambiadores de calor</t>
  </si>
  <si>
    <t>INTERCAMBIADOR;CALOR</t>
  </si>
  <si>
    <t>087463</t>
  </si>
  <si>
    <t>39121604 - Fusibles de retardo</t>
  </si>
  <si>
    <t>FUSIBLE</t>
  </si>
  <si>
    <t>087244</t>
  </si>
  <si>
    <t>GRASERA LUBRICACION</t>
  </si>
  <si>
    <t>087170</t>
  </si>
  <si>
    <t>40161515 - Filtros hidráulicos</t>
  </si>
  <si>
    <t>FILTRO HIDRAULICO</t>
  </si>
  <si>
    <t>087150</t>
  </si>
  <si>
    <t>24111802 - Tanques o cilindros aire o gas</t>
  </si>
  <si>
    <t>CMI02140800 - Suministros Mantto Consumibles</t>
  </si>
  <si>
    <t>CILINDRO</t>
  </si>
  <si>
    <t>086803</t>
  </si>
  <si>
    <t>40183107 - Acople de tubo</t>
  </si>
  <si>
    <t>ACOPLE:TUBERIA</t>
  </si>
  <si>
    <t>086716</t>
  </si>
  <si>
    <t>39121308 - Cajas de toma de corriente</t>
  </si>
  <si>
    <t>CAJA;MEDICION</t>
  </si>
  <si>
    <t>086201</t>
  </si>
  <si>
    <t>31161603 - Pernos de carruaje</t>
  </si>
  <si>
    <t>PERNO:CARRUAJE</t>
  </si>
  <si>
    <t>086147</t>
  </si>
  <si>
    <t>39121410 - Bloques de terminales</t>
  </si>
  <si>
    <t>BLOQUE:TERMINALES</t>
  </si>
  <si>
    <t>086123</t>
  </si>
  <si>
    <t>39121522 - Contactos eléctricos</t>
  </si>
  <si>
    <t>BLOQUE:CONTACTO</t>
  </si>
  <si>
    <t>086118</t>
  </si>
  <si>
    <t>RODAMIENTO:EMPUJE</t>
  </si>
  <si>
    <t>086036</t>
  </si>
  <si>
    <t>31163218 - Manga p/adaptación rodamiento</t>
  </si>
  <si>
    <t>MANGA:RODAMIENTO</t>
  </si>
  <si>
    <t>086033</t>
  </si>
  <si>
    <t>31171554 - Rodamiento guía</t>
  </si>
  <si>
    <t>RODAMIENTO:ENSAMBLAJE</t>
  </si>
  <si>
    <t>086023</t>
  </si>
  <si>
    <t>31251503 - Activadores hidráulicos</t>
  </si>
  <si>
    <t>ACTUADOR:HIDRAULICO</t>
  </si>
  <si>
    <t>085750</t>
  </si>
  <si>
    <t>40161500 - Filtros</t>
  </si>
  <si>
    <t>FILTRO</t>
  </si>
  <si>
    <t>085585</t>
  </si>
  <si>
    <t>085529</t>
  </si>
  <si>
    <t>81141506 - Ensayo de productos</t>
  </si>
  <si>
    <t>TEST:SWITCH</t>
  </si>
  <si>
    <t>084613</t>
  </si>
  <si>
    <t>31161807 - Arandelas planas</t>
  </si>
  <si>
    <t>ARANDELA</t>
  </si>
  <si>
    <t>082083</t>
  </si>
  <si>
    <t>REPUESTO</t>
  </si>
  <si>
    <t>081946</t>
  </si>
  <si>
    <t>SELLO</t>
  </si>
  <si>
    <t>075616</t>
  </si>
  <si>
    <t>CONECTOR METALICO</t>
  </si>
  <si>
    <t>073300</t>
  </si>
  <si>
    <t>39121721 - Aislantes eléctricos</t>
  </si>
  <si>
    <t>AISLADOR ELECTRICO</t>
  </si>
  <si>
    <t>072559</t>
  </si>
  <si>
    <t>24111803 - Tanques de almacenamiento</t>
  </si>
  <si>
    <t>CMI01040100 - Metálicos</t>
  </si>
  <si>
    <t>CONTENEDOR</t>
  </si>
  <si>
    <t>069958</t>
  </si>
  <si>
    <t>43202211 - Platos o discos</t>
  </si>
  <si>
    <t>DISCO</t>
  </si>
  <si>
    <t>067406</t>
  </si>
  <si>
    <t>26121607 - Cable de fibra óptica</t>
  </si>
  <si>
    <t>CABLE FIBRA OPTICA</t>
  </si>
  <si>
    <t>067181</t>
  </si>
  <si>
    <t>SOCKET;INTEGRADOS</t>
  </si>
  <si>
    <t>067153</t>
  </si>
  <si>
    <t>43211902 - Monit pantalla cristal líq lcd</t>
  </si>
  <si>
    <t>PANEL:LCD</t>
  </si>
  <si>
    <t>066832</t>
  </si>
  <si>
    <t>32121506 - Capacitor cerámico fijo</t>
  </si>
  <si>
    <t>CAPACITOR CERAMICO</t>
  </si>
  <si>
    <t>066779</t>
  </si>
  <si>
    <t>CAPUCHON</t>
  </si>
  <si>
    <t>065984</t>
  </si>
  <si>
    <t>40151500 - Bombas</t>
  </si>
  <si>
    <t>DIFUSOR:BOMBA;CENTRIFUGA</t>
  </si>
  <si>
    <t>061596</t>
  </si>
  <si>
    <t>26111512 - Ejes</t>
  </si>
  <si>
    <t>EJE</t>
  </si>
  <si>
    <t>053724</t>
  </si>
  <si>
    <t>39121454 - Terminal de batería</t>
  </si>
  <si>
    <t>TERMINAL BATERIA</t>
  </si>
  <si>
    <t>052871</t>
  </si>
  <si>
    <t>30102209 - Placa de cobre</t>
  </si>
  <si>
    <t>PLACA:COBRE</t>
  </si>
  <si>
    <t>050840</t>
  </si>
  <si>
    <t>30262200 - Barras de cobre</t>
  </si>
  <si>
    <t>BARRA:METALICA</t>
  </si>
  <si>
    <t>050735</t>
  </si>
  <si>
    <t>13101723 - Termoplástico</t>
  </si>
  <si>
    <t>TERMOPLASTICO</t>
  </si>
  <si>
    <t>050390</t>
  </si>
  <si>
    <t>30266408 - Lámina de asbesto</t>
  </si>
  <si>
    <t>LAMINA ASBESTO:PRENSADA</t>
  </si>
  <si>
    <t>050290</t>
  </si>
  <si>
    <t>CILINDRO:GAS SF</t>
  </si>
  <si>
    <t>045798</t>
  </si>
  <si>
    <t>SELLO:MECANICO</t>
  </si>
  <si>
    <t>045551</t>
  </si>
  <si>
    <t>41112410 - Transmisores de presión</t>
  </si>
  <si>
    <t>TRANSMISOR:PRESION</t>
  </si>
  <si>
    <t>037151</t>
  </si>
  <si>
    <t>39121523 - Temporizadores</t>
  </si>
  <si>
    <t>TEMPORIZADOR</t>
  </si>
  <si>
    <t>037101</t>
  </si>
  <si>
    <t>41112216 - Termopozos</t>
  </si>
  <si>
    <t>POZO:TERMOMÉTRICO</t>
  </si>
  <si>
    <t>037093</t>
  </si>
  <si>
    <t>41112802 - Tacómetros</t>
  </si>
  <si>
    <t>TACOMETRO:ELECTRONICO</t>
  </si>
  <si>
    <t>036728</t>
  </si>
  <si>
    <t>41111927 - Sensores de presión</t>
  </si>
  <si>
    <t>SENSOR:PRESION</t>
  </si>
  <si>
    <t>036529</t>
  </si>
  <si>
    <t>31241502 - Prismas</t>
  </si>
  <si>
    <t>PRISMA</t>
  </si>
  <si>
    <t>036251</t>
  </si>
  <si>
    <t>41114200 - Instrumentos de agrimensión</t>
  </si>
  <si>
    <t>BASTON:RANGO</t>
  </si>
  <si>
    <t>036229</t>
  </si>
  <si>
    <t>MEDIDOR:VOLTAJE</t>
  </si>
  <si>
    <t>035947</t>
  </si>
  <si>
    <t>MEDIDOR:FRECUENCIA ELECTRICA</t>
  </si>
  <si>
    <t>035932</t>
  </si>
  <si>
    <t>MULTIMEDIDOR</t>
  </si>
  <si>
    <t>035901</t>
  </si>
  <si>
    <t>INDICADOR:POSICION</t>
  </si>
  <si>
    <t>035690</t>
  </si>
  <si>
    <t>41112301 - Higrómetros</t>
  </si>
  <si>
    <t>HIGROMETRO:DIGITAL</t>
  </si>
  <si>
    <t>035573</t>
  </si>
  <si>
    <t>40141746 - Mirillas (indicadores nivel)</t>
  </si>
  <si>
    <t>INDICADOR VISUAL</t>
  </si>
  <si>
    <t>035487</t>
  </si>
  <si>
    <t>41112514 - Indicadores de aceite</t>
  </si>
  <si>
    <t>INDICADOR:ACEITE</t>
  </si>
  <si>
    <t>035464</t>
  </si>
  <si>
    <t>41112406 - Indicadores de vacío</t>
  </si>
  <si>
    <t>VACUOMETRO</t>
  </si>
  <si>
    <t>035441</t>
  </si>
  <si>
    <t>41113734 - Medidor de desviación de frec</t>
  </si>
  <si>
    <t>MEDIDOR FRECUENCIA</t>
  </si>
  <si>
    <t>035410</t>
  </si>
  <si>
    <t>41111901 - Contadores</t>
  </si>
  <si>
    <t>CONTADOR</t>
  </si>
  <si>
    <t>035024</t>
  </si>
  <si>
    <t>46191501 - Detectores de humo</t>
  </si>
  <si>
    <t>DETECTOR:HUMO</t>
  </si>
  <si>
    <t>019426</t>
  </si>
  <si>
    <t>46171602 - Alarmas de seguridad</t>
  </si>
  <si>
    <t>ALARMA:AUDIBLE</t>
  </si>
  <si>
    <t>019398</t>
  </si>
  <si>
    <t>REGULADOR:VOLTAJE</t>
  </si>
  <si>
    <t>019046</t>
  </si>
  <si>
    <t>39121004 - Unidades suministro de energía</t>
  </si>
  <si>
    <t>FUENTE ALIMENTACION</t>
  </si>
  <si>
    <t>019028</t>
  </si>
  <si>
    <t>39121031 - Strip de salida del suminelect</t>
  </si>
  <si>
    <t>REGLETA ELECTRICA</t>
  </si>
  <si>
    <t>019025</t>
  </si>
  <si>
    <t>26101100 - Motores elec de cte alterna AC</t>
  </si>
  <si>
    <t>MOTOR:ELECTRICO</t>
  </si>
  <si>
    <t>018972</t>
  </si>
  <si>
    <t>26100000 - Fuentes de energía</t>
  </si>
  <si>
    <t>ENSAMBLE MOTOR:ELECTRICO</t>
  </si>
  <si>
    <t>018968</t>
  </si>
  <si>
    <t>26101302 - Alternador</t>
  </si>
  <si>
    <t>ALTERNADOR</t>
  </si>
  <si>
    <t>018940</t>
  </si>
  <si>
    <t>CORDON:ELECTRICO</t>
  </si>
  <si>
    <t>018882</t>
  </si>
  <si>
    <t>CARGADOR DE BATERIAS</t>
  </si>
  <si>
    <t>018844</t>
  </si>
  <si>
    <t>26111711 - Baterías de litio</t>
  </si>
  <si>
    <t>BATERIA:LITIO</t>
  </si>
  <si>
    <t>018798</t>
  </si>
  <si>
    <t>43223310 - Conector de fibra óptica</t>
  </si>
  <si>
    <t>CONECTOR:FIBRA</t>
  </si>
  <si>
    <t>018681</t>
  </si>
  <si>
    <t>32111611 - Transtrs bipolares unión (bjt)</t>
  </si>
  <si>
    <t>TRANSISTOR</t>
  </si>
  <si>
    <t>018619</t>
  </si>
  <si>
    <t>39121022 - Transformadores electrónicos</t>
  </si>
  <si>
    <t>TRANSFORMADOR:VOLTAJE</t>
  </si>
  <si>
    <t>018615</t>
  </si>
  <si>
    <t>39121032 - Transformador de corriente</t>
  </si>
  <si>
    <t>TRANSFORMADOR:CORRIENTE</t>
  </si>
  <si>
    <t>018612</t>
  </si>
  <si>
    <t>TERMINAL:PUNTA</t>
  </si>
  <si>
    <t>018590</t>
  </si>
  <si>
    <t>39122209 - Interruptores de resorte</t>
  </si>
  <si>
    <t>INTERRUPTOR:ACCION RESORTE</t>
  </si>
  <si>
    <t>018559</t>
  </si>
  <si>
    <t>39122250 - Interup selec cambio transauto</t>
  </si>
  <si>
    <t>018558</t>
  </si>
  <si>
    <t>39122213 - Interruptores de límite</t>
  </si>
  <si>
    <t>INTERRUPTOR;LIMITE</t>
  </si>
  <si>
    <t>018547</t>
  </si>
  <si>
    <t>018525</t>
  </si>
  <si>
    <t>39122202 - Interruptor de cuchilla</t>
  </si>
  <si>
    <t>INTERRUPTOR;CUCHILLA</t>
  </si>
  <si>
    <t>018523</t>
  </si>
  <si>
    <t>31251510 - Solenoides</t>
  </si>
  <si>
    <t>ELECTROIMAN</t>
  </si>
  <si>
    <t>018449</t>
  </si>
  <si>
    <t>39121425 - Separador de tablero de tmnal</t>
  </si>
  <si>
    <t>SEPARADOR:BORNERA</t>
  </si>
  <si>
    <t>018394</t>
  </si>
  <si>
    <t>32111502 - Diodos zener</t>
  </si>
  <si>
    <t>DIODO:ZENER</t>
  </si>
  <si>
    <t>018380</t>
  </si>
  <si>
    <t>32111702 - Tiristores</t>
  </si>
  <si>
    <t>TIRISTOR</t>
  </si>
  <si>
    <t>018359</t>
  </si>
  <si>
    <t>32121610 - Termistor</t>
  </si>
  <si>
    <t>RESISTENCIA:TÉRMICA</t>
  </si>
  <si>
    <t>018303</t>
  </si>
  <si>
    <t>RESISTOR:VARIABLE</t>
  </si>
  <si>
    <t>018301</t>
  </si>
  <si>
    <t>RELE:TERMICO</t>
  </si>
  <si>
    <t>018266</t>
  </si>
  <si>
    <t>39122221 - Parte o accesorio interruptor</t>
  </si>
  <si>
    <t>PULSADOR</t>
  </si>
  <si>
    <t>018231</t>
  </si>
  <si>
    <t>39121635 - Regulador de voltaje</t>
  </si>
  <si>
    <t>PROTECTOR:SERIE CIRCUITOS</t>
  </si>
  <si>
    <t>018226</t>
  </si>
  <si>
    <t>GUARDAMOTOR</t>
  </si>
  <si>
    <t>018223</t>
  </si>
  <si>
    <t>46182103 - Hardware de conexión a tierra</t>
  </si>
  <si>
    <t>PLACA:TOMA TIERRA</t>
  </si>
  <si>
    <t>018192</t>
  </si>
  <si>
    <t>32111701 - Células fotovoltaicas</t>
  </si>
  <si>
    <t>CÉLULA:FOTOELÉCTRICA</t>
  </si>
  <si>
    <t>018172</t>
  </si>
  <si>
    <t>MICROCIRCUITO</t>
  </si>
  <si>
    <t>018013</t>
  </si>
  <si>
    <t>32151502 - Módulo de luz</t>
  </si>
  <si>
    <t>LUZ-INTERRUPTOR</t>
  </si>
  <si>
    <t>017979</t>
  </si>
  <si>
    <t>32111503 - Diodos emisores de luz (led)</t>
  </si>
  <si>
    <t>DIODO:EMISOR LUZ</t>
  </si>
  <si>
    <t>017977</t>
  </si>
  <si>
    <t>26101414 - Transp de escobillas de motor</t>
  </si>
  <si>
    <t>SOPORTE:ESCOBILLAS</t>
  </si>
  <si>
    <t>017864</t>
  </si>
  <si>
    <t>39121624 - Soporte de fusible</t>
  </si>
  <si>
    <t>PORTAFUSIBLES</t>
  </si>
  <si>
    <t>017810</t>
  </si>
  <si>
    <t>39121628 - Fusible semiconductor</t>
  </si>
  <si>
    <t>017807</t>
  </si>
  <si>
    <t>FUSIBLE:RETARDO</t>
  </si>
  <si>
    <t>017805</t>
  </si>
  <si>
    <t>39121619 - Fusibles tipo botella</t>
  </si>
  <si>
    <t>FUSIBLE:BOTELLA</t>
  </si>
  <si>
    <t>017802</t>
  </si>
  <si>
    <t>39121611 - Fusibles de cerámicas</t>
  </si>
  <si>
    <t>FUSIBLE:CERAMICO</t>
  </si>
  <si>
    <t>017800</t>
  </si>
  <si>
    <t>39121606 - Fusibles de cartucho</t>
  </si>
  <si>
    <t>FUSIBLE:CARTUCHO</t>
  </si>
  <si>
    <t>017794</t>
  </si>
  <si>
    <t>39121618 - Alambre para fusible</t>
  </si>
  <si>
    <t>FUSIBLE DE EXPULSION</t>
  </si>
  <si>
    <t>017793</t>
  </si>
  <si>
    <t>32101513 - Cjtos ctos aplics específicas</t>
  </si>
  <si>
    <t>MODULO ELECTRONICO</t>
  </si>
  <si>
    <t>017724</t>
  </si>
  <si>
    <t>TAPA:INTERRUPTORES</t>
  </si>
  <si>
    <t>017589</t>
  </si>
  <si>
    <t>CONTACTO:ELECT.</t>
  </si>
  <si>
    <t>017527</t>
  </si>
  <si>
    <t>BLOCK;TERMINAL;ELECTRICA</t>
  </si>
  <si>
    <t>017438</t>
  </si>
  <si>
    <t>40151800 - Partes o acces de compresores</t>
  </si>
  <si>
    <t>TARJETA:CIRCUITOS</t>
  </si>
  <si>
    <t>017383</t>
  </si>
  <si>
    <t>24102000 - Dispo.estantes y almacenamient</t>
  </si>
  <si>
    <t>ARMARIO:ELECTRICO</t>
  </si>
  <si>
    <t>017213</t>
  </si>
  <si>
    <t>39121706 - Bujes de transformadores</t>
  </si>
  <si>
    <t>BUJE:TRANSFORMADOR</t>
  </si>
  <si>
    <t>017210</t>
  </si>
  <si>
    <t>39122335 - Base o toma de relé</t>
  </si>
  <si>
    <t>BASE:RELE ELECTRICO</t>
  </si>
  <si>
    <t>017166</t>
  </si>
  <si>
    <t>39121610 - Supresor de ondas</t>
  </si>
  <si>
    <t>PROTECTOR:SOBRETENSION</t>
  </si>
  <si>
    <t>017024</t>
  </si>
  <si>
    <t>SINCRONIZADOR:ELECTRICO</t>
  </si>
  <si>
    <t>016840</t>
  </si>
  <si>
    <t>PANEL CONTROL</t>
  </si>
  <si>
    <t>016516</t>
  </si>
  <si>
    <t>INDICADOR DE CODIGO</t>
  </si>
  <si>
    <t>016329</t>
  </si>
  <si>
    <t>39121007 - Conversores de frecuencia</t>
  </si>
  <si>
    <t>CONVERTIDOR:FRECUENCIA</t>
  </si>
  <si>
    <t>016024</t>
  </si>
  <si>
    <t>43200000 - Compts tecdlinfor difu/telecom</t>
  </si>
  <si>
    <t>CONTROL:INTERFACE</t>
  </si>
  <si>
    <t>015978</t>
  </si>
  <si>
    <t>30141512 - Kits de aislamiento térmico</t>
  </si>
  <si>
    <t>AISLANTE:TERMICO</t>
  </si>
  <si>
    <t>015494</t>
  </si>
  <si>
    <t>30111502 - Concreto conductor</t>
  </si>
  <si>
    <t>CONCRETO:CONDUCTOR</t>
  </si>
  <si>
    <t>015400</t>
  </si>
  <si>
    <t>ARANDELA:PLANA</t>
  </si>
  <si>
    <t>015076</t>
  </si>
  <si>
    <t>30152101 - Acero de perdigones</t>
  </si>
  <si>
    <t>BALIN</t>
  </si>
  <si>
    <t>014980</t>
  </si>
  <si>
    <t>JUNTA:NO METALICA</t>
  </si>
  <si>
    <t>014875</t>
  </si>
  <si>
    <t>31163202 - Anillos de retención</t>
  </si>
  <si>
    <t>ANILLO:RETENCION</t>
  </si>
  <si>
    <t>014797</t>
  </si>
  <si>
    <t>31411703 - Kit de sello mecánico</t>
  </si>
  <si>
    <t>KIT:SELLO MECANICO</t>
  </si>
  <si>
    <t>014676</t>
  </si>
  <si>
    <t>40151712 - Empaques para bombas</t>
  </si>
  <si>
    <t>EMPAQUE:BOMBA</t>
  </si>
  <si>
    <t>014662</t>
  </si>
  <si>
    <t>31181702 - Prensaestopas</t>
  </si>
  <si>
    <t>PRENSA ESTOPA</t>
  </si>
  <si>
    <t>014423</t>
  </si>
  <si>
    <t>31401501 - Empaque moldeado de caucho</t>
  </si>
  <si>
    <t>EMPAQUE:HULE</t>
  </si>
  <si>
    <t>014412</t>
  </si>
  <si>
    <t>31401502 - Empaque moldeado de plástico</t>
  </si>
  <si>
    <t>EMPAQUE:PLASTICO</t>
  </si>
  <si>
    <t>014411</t>
  </si>
  <si>
    <t>PERNO:MAQUINA</t>
  </si>
  <si>
    <t>014161</t>
  </si>
  <si>
    <t>31161611 - Pernos de sujeción</t>
  </si>
  <si>
    <t>PERNO:SUJECION</t>
  </si>
  <si>
    <t>014146</t>
  </si>
  <si>
    <t>LINEA DE NIVEL</t>
  </si>
  <si>
    <t>014037</t>
  </si>
  <si>
    <t>41113710 - Medidor de nivel</t>
  </si>
  <si>
    <t>MEDIDOR:NIVEL</t>
  </si>
  <si>
    <t>014033</t>
  </si>
  <si>
    <t>41112412 - Indicador de presión</t>
  </si>
  <si>
    <t>INDICADOR:PRESION</t>
  </si>
  <si>
    <t>014019</t>
  </si>
  <si>
    <t>CALIBRADOR:ANGULO</t>
  </si>
  <si>
    <t>014008</t>
  </si>
  <si>
    <t>24101635 - Gatos de tornillo</t>
  </si>
  <si>
    <t>JACK SCREW</t>
  </si>
  <si>
    <t>013104</t>
  </si>
  <si>
    <t>27112701 - Fuelles eléctricos</t>
  </si>
  <si>
    <t>SOPLADOR:PORTABLE</t>
  </si>
  <si>
    <t>011648</t>
  </si>
  <si>
    <t>40141604 - Válvulas de seguridad</t>
  </si>
  <si>
    <t>VALVULA:SEGURIDAD</t>
  </si>
  <si>
    <t>011554</t>
  </si>
  <si>
    <t>40141609 - Válvulas de control</t>
  </si>
  <si>
    <t>VALVULA:PALANCA</t>
  </si>
  <si>
    <t>011551</t>
  </si>
  <si>
    <t>40141605 - Válvulas solenoides</t>
  </si>
  <si>
    <t>VALVULA:SELENOIDE</t>
  </si>
  <si>
    <t>011546</t>
  </si>
  <si>
    <t>VALVULA:TEMPERATURA</t>
  </si>
  <si>
    <t>011537</t>
  </si>
  <si>
    <t>40141656 - Válvula de brida tipo mariposa</t>
  </si>
  <si>
    <t>VALVULA:MARIPOSA</t>
  </si>
  <si>
    <t>011535</t>
  </si>
  <si>
    <t>40141611 - Válvulas de globo</t>
  </si>
  <si>
    <t>VALVULA:GLOBO</t>
  </si>
  <si>
    <t>011525</t>
  </si>
  <si>
    <t>40141642 - Válvulas asiento(o auxiliares)</t>
  </si>
  <si>
    <t>VALVULA:ASIENTO</t>
  </si>
  <si>
    <t>011506</t>
  </si>
  <si>
    <t>40141608 - Válvulas hidráulicas</t>
  </si>
  <si>
    <t>SERVOVALVULA</t>
  </si>
  <si>
    <t>011473</t>
  </si>
  <si>
    <t>ASIENTO:VALVULAS</t>
  </si>
  <si>
    <t>011471</t>
  </si>
  <si>
    <t>VALVULA:DISCO</t>
  </si>
  <si>
    <t>011404</t>
  </si>
  <si>
    <t>40141924 - Conductos o red conducto nylon</t>
  </si>
  <si>
    <t>TUBERIA:NYLON</t>
  </si>
  <si>
    <t>011361</t>
  </si>
  <si>
    <t>40174500 - Pivotes o uni rota para tubos</t>
  </si>
  <si>
    <t>JUNTA:EXPANSION</t>
  </si>
  <si>
    <t>011209</t>
  </si>
  <si>
    <t>BRIDA:TUBERIAS</t>
  </si>
  <si>
    <t>010932</t>
  </si>
  <si>
    <t>40101801 - Radiadores</t>
  </si>
  <si>
    <t>RADIADOR:CALEFACCION</t>
  </si>
  <si>
    <t>010632</t>
  </si>
  <si>
    <t>40151510 - Bombas de agua</t>
  </si>
  <si>
    <t>BOMBA:AGUA</t>
  </si>
  <si>
    <t>010284</t>
  </si>
  <si>
    <t>40151558 - Bombas de tuerca</t>
  </si>
  <si>
    <t>BOMBA DE TORNILLO</t>
  </si>
  <si>
    <t>010262</t>
  </si>
  <si>
    <t>40151503 - Bombas centrífugas</t>
  </si>
  <si>
    <t>BOMBA:CENTRIFUGA</t>
  </si>
  <si>
    <t>010242</t>
  </si>
  <si>
    <t>40151616 - Kits de compresores</t>
  </si>
  <si>
    <t>KIT:COMPRESOR</t>
  </si>
  <si>
    <t>010188</t>
  </si>
  <si>
    <t>FILTRO:PRESION</t>
  </si>
  <si>
    <t>010127</t>
  </si>
  <si>
    <t>FILTRO:FLUIDOS</t>
  </si>
  <si>
    <t>010126</t>
  </si>
  <si>
    <t>27112823 - Cadenas de corte</t>
  </si>
  <si>
    <t>SIERRA:DE CADENA</t>
  </si>
  <si>
    <t>007994</t>
  </si>
  <si>
    <t>GUIA</t>
  </si>
  <si>
    <t>007822</t>
  </si>
  <si>
    <t>31171600 - Cojinetes</t>
  </si>
  <si>
    <t>BUJE:MANGUITO</t>
  </si>
  <si>
    <t>006722</t>
  </si>
  <si>
    <t>31171506 - Rodamientos lineales</t>
  </si>
  <si>
    <t>RODAMIENTO:LINEAL</t>
  </si>
  <si>
    <t>006715</t>
  </si>
  <si>
    <t>31171516 - Rodamientos cónicos</t>
  </si>
  <si>
    <t>RODAMIENTO:CONICO</t>
  </si>
  <si>
    <t>006692</t>
  </si>
  <si>
    <t>31171504 - Rodamientos de balineras</t>
  </si>
  <si>
    <t>RODAMIENTO BOLAS</t>
  </si>
  <si>
    <t>006664</t>
  </si>
  <si>
    <t>26111531 - Manguitos de la transmisión</t>
  </si>
  <si>
    <t>MANGA:TRANSMISION</t>
  </si>
  <si>
    <t>006626</t>
  </si>
  <si>
    <t>26101727 - Anillo de pistón</t>
  </si>
  <si>
    <t>ANILLO:PISTON</t>
  </si>
  <si>
    <t>006602</t>
  </si>
  <si>
    <t>31151609 - Eslabones de cadena</t>
  </si>
  <si>
    <t>ESLABON:CADENA</t>
  </si>
  <si>
    <t>006558</t>
  </si>
  <si>
    <t>31163021 - Acople universal flexible</t>
  </si>
  <si>
    <t>ACOPLE:FLEXIBLE</t>
  </si>
  <si>
    <t>006436</t>
  </si>
  <si>
    <t>31151603 - Cadenas de rodillos</t>
  </si>
  <si>
    <t>CADENA:RODILLO</t>
  </si>
  <si>
    <t>006400</t>
  </si>
  <si>
    <t>26111802 - Correas distribución engranaje</t>
  </si>
  <si>
    <t>CMI02090100 - Bandas Industriales</t>
  </si>
  <si>
    <t>CORREA:DENTADA</t>
  </si>
  <si>
    <t>006369</t>
  </si>
  <si>
    <t>26111804 - Correas planas</t>
  </si>
  <si>
    <t>CORREA:PLANA</t>
  </si>
  <si>
    <t>006368</t>
  </si>
  <si>
    <t>26111800 - Componentes de la transmisión</t>
  </si>
  <si>
    <t>CORREA:TRANSMISION</t>
  </si>
  <si>
    <t>006365</t>
  </si>
  <si>
    <t>BORNERA</t>
  </si>
  <si>
    <t>006309</t>
  </si>
  <si>
    <t>26101732 - Bujía de encendido</t>
  </si>
  <si>
    <t>BUJIA</t>
  </si>
  <si>
    <t>006268</t>
  </si>
  <si>
    <t>RADIADOR</t>
  </si>
  <si>
    <t>006215</t>
  </si>
  <si>
    <t>40161513 - Filtros de combustible</t>
  </si>
  <si>
    <t>FILTRO:COMBUSTIBLE</t>
  </si>
  <si>
    <t>006036</t>
  </si>
  <si>
    <t>26111509 - Culatas de transmisión</t>
  </si>
  <si>
    <t>CULATA:TRANSMISION</t>
  </si>
  <si>
    <t>005375</t>
  </si>
  <si>
    <t>VALVULA:PURGA</t>
  </si>
  <si>
    <t>005345</t>
  </si>
  <si>
    <t>25173806 - Juntas de velocidad constante</t>
  </si>
  <si>
    <t>PUNTA;FLECHA</t>
  </si>
  <si>
    <t>004975</t>
  </si>
  <si>
    <t>27121602 - Cilindros hidráulicos</t>
  </si>
  <si>
    <t>CILINDRO:FRENO;MASTER</t>
  </si>
  <si>
    <t>004839</t>
  </si>
  <si>
    <t>25172407 - Elementos respiraderos</t>
  </si>
  <si>
    <t>RESPIRADERO</t>
  </si>
  <si>
    <t>004733</t>
  </si>
  <si>
    <t>25171712 - Zapatas de freno de tambor</t>
  </si>
  <si>
    <t>ZAPATA:FRENOS</t>
  </si>
  <si>
    <t>004720</t>
  </si>
  <si>
    <t>BUJE:CILINDRO HIDRAULICO</t>
  </si>
  <si>
    <t>004664</t>
  </si>
  <si>
    <t>27121601 - Pistones de cilindro</t>
  </si>
  <si>
    <t>PISTON:HIDRAULICO</t>
  </si>
  <si>
    <t>003504</t>
  </si>
  <si>
    <t>43223327 - ANALIZADOR FIBRA OPTICA</t>
  </si>
  <si>
    <t>ANALIZADOR:FIBRA OPTICA</t>
  </si>
  <si>
    <t>067179</t>
  </si>
  <si>
    <t>TAPA:PROTECCION</t>
  </si>
  <si>
    <t>237217</t>
  </si>
  <si>
    <t>31411901 - Sello moldeado de caucho</t>
  </si>
  <si>
    <t>CAUCHO;MOLDEADO</t>
  </si>
  <si>
    <t>1082417</t>
  </si>
  <si>
    <t>32121500 - Capacitores</t>
  </si>
  <si>
    <t>CAPACITOR</t>
  </si>
  <si>
    <t>090629</t>
  </si>
  <si>
    <t>39121909 - Bloqueo de válvula</t>
  </si>
  <si>
    <t>VALVULA</t>
  </si>
  <si>
    <t>089708</t>
  </si>
  <si>
    <t>TERMOMETRO</t>
  </si>
  <si>
    <t>089487</t>
  </si>
  <si>
    <t>INTERRUPTOR</t>
  </si>
  <si>
    <t>089348</t>
  </si>
  <si>
    <t>31161900 - Muelles</t>
  </si>
  <si>
    <t>RESORTE</t>
  </si>
  <si>
    <t>089203</t>
  </si>
  <si>
    <t>RELE</t>
  </si>
  <si>
    <t>088734</t>
  </si>
  <si>
    <t>26101766 - Reguladores</t>
  </si>
  <si>
    <t>REGULADOR</t>
  </si>
  <si>
    <t>088725</t>
  </si>
  <si>
    <t>24131513 - Refrigerante</t>
  </si>
  <si>
    <t>REFRIGERANTE</t>
  </si>
  <si>
    <t>088720</t>
  </si>
  <si>
    <t>32121701 - Rectificadores</t>
  </si>
  <si>
    <t>RECTIFICADOR</t>
  </si>
  <si>
    <t>088677</t>
  </si>
  <si>
    <t>BOMBA</t>
  </si>
  <si>
    <t>088608</t>
  </si>
  <si>
    <t>31161700 - Tuercas</t>
  </si>
  <si>
    <t>TUERCA</t>
  </si>
  <si>
    <t>088177</t>
  </si>
  <si>
    <t>MEDIDOR</t>
  </si>
  <si>
    <t>088051</t>
  </si>
  <si>
    <t>40142000 - Mangueras</t>
  </si>
  <si>
    <t>MANGUERA</t>
  </si>
  <si>
    <t>087529</t>
  </si>
  <si>
    <t>40161505 - Filtros de aire</t>
  </si>
  <si>
    <t>FILTRO:AIRE</t>
  </si>
  <si>
    <t>087143</t>
  </si>
  <si>
    <t>CILINDRO HIDRAULICO</t>
  </si>
  <si>
    <t>086807</t>
  </si>
  <si>
    <t>40151601 - Compresores de aire</t>
  </si>
  <si>
    <t>COMPRESOR:AIRE</t>
  </si>
  <si>
    <t>086627</t>
  </si>
  <si>
    <t>BUJE</t>
  </si>
  <si>
    <t>086276</t>
  </si>
  <si>
    <t>41111938 - Sensores o transmisores nivel</t>
  </si>
  <si>
    <t>SENSOR</t>
  </si>
  <si>
    <t>075750</t>
  </si>
  <si>
    <t>31161620 - Pernos de cabeza hexagonal</t>
  </si>
  <si>
    <t>PERNO</t>
  </si>
  <si>
    <t>068756</t>
  </si>
  <si>
    <t>31231400 - Suplementos</t>
  </si>
  <si>
    <t>PLATINA</t>
  </si>
  <si>
    <t>065814</t>
  </si>
  <si>
    <t>RODAMIENTO</t>
  </si>
  <si>
    <t>060416</t>
  </si>
  <si>
    <t>44122101 - Cauchos</t>
  </si>
  <si>
    <t>BANDA DE GOMA</t>
  </si>
  <si>
    <t>044071</t>
  </si>
  <si>
    <t>MONITOR</t>
  </si>
  <si>
    <t>041961</t>
  </si>
  <si>
    <t>41113637 - Medidores voltaje, corriente</t>
  </si>
  <si>
    <t>VOLTIMETRO</t>
  </si>
  <si>
    <t>037286</t>
  </si>
  <si>
    <t>41112501 - Flujómetros</t>
  </si>
  <si>
    <t>INDICADOR:FLUJO</t>
  </si>
  <si>
    <t>035909</t>
  </si>
  <si>
    <t>BORNE:ELECTRICO</t>
  </si>
  <si>
    <t>018589</t>
  </si>
  <si>
    <t>41111970 - Sensor de temperatura</t>
  </si>
  <si>
    <t>SENSOR:TEMPERATURA</t>
  </si>
  <si>
    <t>018393</t>
  </si>
  <si>
    <t>32111700 - Aparatos semiconductores</t>
  </si>
  <si>
    <t>DIODO</t>
  </si>
  <si>
    <t>018360</t>
  </si>
  <si>
    <t>PANEL ELECTRICO</t>
  </si>
  <si>
    <t>018155</t>
  </si>
  <si>
    <t>PARARRAYOS</t>
  </si>
  <si>
    <t>017978</t>
  </si>
  <si>
    <t>CONJUNTO AISLADORES</t>
  </si>
  <si>
    <t>017921</t>
  </si>
  <si>
    <t>39121010 - Bobinas magnéticas</t>
  </si>
  <si>
    <t>BOBINA:ELECTRICIDAD</t>
  </si>
  <si>
    <t>017409</t>
  </si>
  <si>
    <t>39121601 - Breakers de circuito</t>
  </si>
  <si>
    <t>INTERRUPTOR;CIRCUITO</t>
  </si>
  <si>
    <t>017374</t>
  </si>
  <si>
    <t>32131000 - Acces mateprim pza compoelects</t>
  </si>
  <si>
    <t>PLACA DE PRUEBA</t>
  </si>
  <si>
    <t>017202</t>
  </si>
  <si>
    <t>31162405 - Tensores</t>
  </si>
  <si>
    <t>CUERPO:TENSOR</t>
  </si>
  <si>
    <t>015051</t>
  </si>
  <si>
    <t>31163200 - Herraje de retención</t>
  </si>
  <si>
    <t>PASADOR:RETENCION</t>
  </si>
  <si>
    <t>014697</t>
  </si>
  <si>
    <t>31401503 - Empaque moldeado o – ring</t>
  </si>
  <si>
    <t>JUNTA TORICA</t>
  </si>
  <si>
    <t>014653</t>
  </si>
  <si>
    <t>31400000 - Empaques</t>
  </si>
  <si>
    <t>EMPAQUE</t>
  </si>
  <si>
    <t>014407</t>
  </si>
  <si>
    <t>SOPORTE:INDUSTRIAL</t>
  </si>
  <si>
    <t>014216</t>
  </si>
  <si>
    <t>27112504 - Cuñas</t>
  </si>
  <si>
    <t>CUÑA</t>
  </si>
  <si>
    <t>013775</t>
  </si>
  <si>
    <t>VALVULA:CHEQUE</t>
  </si>
  <si>
    <t>011523</t>
  </si>
  <si>
    <t>40141654 - Válvula de regulación</t>
  </si>
  <si>
    <t>VALVULA REGULADORA</t>
  </si>
  <si>
    <t>011497</t>
  </si>
  <si>
    <t>40141607 - Válvulas de bola</t>
  </si>
  <si>
    <t>VALVULA:BOLA</t>
  </si>
  <si>
    <t>011378</t>
  </si>
  <si>
    <t>40161502 - Filtros de agua</t>
  </si>
  <si>
    <t>FILTRO:AGUA</t>
  </si>
  <si>
    <t>010725</t>
  </si>
  <si>
    <t>VENTILADOR</t>
  </si>
  <si>
    <t>009522</t>
  </si>
  <si>
    <t>31171519 - Carcasas o pedestales de rods</t>
  </si>
  <si>
    <t>CHUMACERA</t>
  </si>
  <si>
    <t>006729</t>
  </si>
  <si>
    <t>26111801 - Correas en v</t>
  </si>
  <si>
    <t>CORREA:V</t>
  </si>
  <si>
    <t>006366</t>
  </si>
  <si>
    <t>40161504 - Filtros de aceite</t>
  </si>
  <si>
    <t>FILTRO:ACEITE</t>
  </si>
  <si>
    <t>006037</t>
  </si>
  <si>
    <t>25174211 - Timones o volantes</t>
  </si>
  <si>
    <t>VOLANTE; DIRECCIÓN</t>
  </si>
  <si>
    <t>005274</t>
  </si>
  <si>
    <t>26101731 - Brazos oscilantes</t>
  </si>
  <si>
    <t>BRAZO OSCILANTE</t>
  </si>
  <si>
    <t>130323</t>
  </si>
  <si>
    <t>TEJA RODAMIENTO</t>
  </si>
  <si>
    <t>1145404</t>
  </si>
  <si>
    <t>26111532 - Soportes o conjuntos del eje</t>
  </si>
  <si>
    <t>ENSAMBLE:EJE</t>
  </si>
  <si>
    <t>1142335</t>
  </si>
  <si>
    <t>ELECTROLITO:BATERIA</t>
  </si>
  <si>
    <t>1140274</t>
  </si>
  <si>
    <t>TERMOSTATO AUTOMOTRIZ</t>
  </si>
  <si>
    <t>089491</t>
  </si>
  <si>
    <t>25172004 - Amortiguadores p/automóviles</t>
  </si>
  <si>
    <t>REP211200 - Rpto. Autom/Llantas</t>
  </si>
  <si>
    <t>AMORTIGUADOR</t>
  </si>
  <si>
    <t>089012</t>
  </si>
  <si>
    <t>TUERCA:SEGURIDAD</t>
  </si>
  <si>
    <t>088188</t>
  </si>
  <si>
    <t>46171604 - Sistemas de alarma</t>
  </si>
  <si>
    <t>ALARMA</t>
  </si>
  <si>
    <t>085790</t>
  </si>
  <si>
    <t>25172504 - Llantas p/automov o camionetas</t>
  </si>
  <si>
    <t>LLANTA</t>
  </si>
  <si>
    <t>077168</t>
  </si>
  <si>
    <t>41111926 - Sensores de proximidad</t>
  </si>
  <si>
    <t>SENSOR:PROXIMIDAD</t>
  </si>
  <si>
    <t>053715</t>
  </si>
  <si>
    <t>47131817 - Protrs uso doméstico o p/autos</t>
  </si>
  <si>
    <t>PULIMENTO:AUTO</t>
  </si>
  <si>
    <t>045217</t>
  </si>
  <si>
    <t>25172908 - Luz trasera del vehículo</t>
  </si>
  <si>
    <t>LUZ TRASERA:VEHICULO</t>
  </si>
  <si>
    <t>019376</t>
  </si>
  <si>
    <t>25172907 - Luz frontal del vehículo</t>
  </si>
  <si>
    <t>FARO DELANTERO:VEHICULOS</t>
  </si>
  <si>
    <t>019210</t>
  </si>
  <si>
    <t>SOPORTE:MOTOR</t>
  </si>
  <si>
    <t>019078</t>
  </si>
  <si>
    <t>BATERIA:VEHICULO</t>
  </si>
  <si>
    <t>018793</t>
  </si>
  <si>
    <t>39121612 - Fusibles de cuchilla</t>
  </si>
  <si>
    <t>FUSIBLE:CUCHILLA</t>
  </si>
  <si>
    <t>017799</t>
  </si>
  <si>
    <t>31161902 - Muelles.</t>
  </si>
  <si>
    <t>RESORTE HOJA</t>
  </si>
  <si>
    <t>014962</t>
  </si>
  <si>
    <t>RETENEDOR</t>
  </si>
  <si>
    <t>014777</t>
  </si>
  <si>
    <t>31401507 - Kit de empaque moldeado</t>
  </si>
  <si>
    <t>JUEGO EMPAQUES</t>
  </si>
  <si>
    <t>014417</t>
  </si>
  <si>
    <t>25172009 - Buje de automóvil</t>
  </si>
  <si>
    <t>BUJE:AUTOMOTRIZ</t>
  </si>
  <si>
    <t>014254</t>
  </si>
  <si>
    <t>25174003 - Tapas de radiador</t>
  </si>
  <si>
    <t>TAPON:RADIADOR</t>
  </si>
  <si>
    <t>011675</t>
  </si>
  <si>
    <t>BAUL</t>
  </si>
  <si>
    <t>009144</t>
  </si>
  <si>
    <t>31171509 - Rodamientos manguito interior</t>
  </si>
  <si>
    <t>AXIALES;JUEGO</t>
  </si>
  <si>
    <t>006667</t>
  </si>
  <si>
    <t>26111530 - Leva de transmisión</t>
  </si>
  <si>
    <t>LEVA:MANDO</t>
  </si>
  <si>
    <t>006385</t>
  </si>
  <si>
    <t>CMI05010600 - Otros-Aditivos</t>
  </si>
  <si>
    <t>KIT:ETER;ARRANQUE</t>
  </si>
  <si>
    <t>006183</t>
  </si>
  <si>
    <t>40151524 - Bombas de aceite</t>
  </si>
  <si>
    <t>BOMBA:ACEITE</t>
  </si>
  <si>
    <t>006142</t>
  </si>
  <si>
    <t>TOBERA:INYECCION</t>
  </si>
  <si>
    <t>006137</t>
  </si>
  <si>
    <t>KIT:TRANSMISION</t>
  </si>
  <si>
    <t>005735</t>
  </si>
  <si>
    <t>26101755 - Guía de válvula</t>
  </si>
  <si>
    <t>GUIA;VALVULA</t>
  </si>
  <si>
    <t>005633</t>
  </si>
  <si>
    <t>26101504 - Motores diesel</t>
  </si>
  <si>
    <t>MOTOR:DIESEL</t>
  </si>
  <si>
    <t>005592</t>
  </si>
  <si>
    <t>25172509 - Neum p/llantas camiones pesado</t>
  </si>
  <si>
    <t>TUBO:LLANTA VEHICULO</t>
  </si>
  <si>
    <t>005388</t>
  </si>
  <si>
    <t>25172303 - Ventanas para automotores</t>
  </si>
  <si>
    <t>VENTANA:VEHICULAR</t>
  </si>
  <si>
    <t>005366</t>
  </si>
  <si>
    <t>25173810 - Juntas de cardán</t>
  </si>
  <si>
    <t>JUNTA CARDANICA</t>
  </si>
  <si>
    <t>005330</t>
  </si>
  <si>
    <t>25173812 - Transmisiones manuales</t>
  </si>
  <si>
    <t>TRANSMISION:VEHICULAR</t>
  </si>
  <si>
    <t>005319</t>
  </si>
  <si>
    <t>25174200 - Sistema de dirección</t>
  </si>
  <si>
    <t>ROTULA:DE DIRECCION</t>
  </si>
  <si>
    <t>005307</t>
  </si>
  <si>
    <t>25172304 - Cremal ventana/ensabl regulato</t>
  </si>
  <si>
    <t>CREMALLERA;VENTANA</t>
  </si>
  <si>
    <t>005188</t>
  </si>
  <si>
    <t>CREMALLERA Y PIÑON</t>
  </si>
  <si>
    <t>005179</t>
  </si>
  <si>
    <t>25172600 - Acab y revest exterior p/vehcl</t>
  </si>
  <si>
    <t>LINER:VEHICULAR</t>
  </si>
  <si>
    <t>004997</t>
  </si>
  <si>
    <t>REVESTIMIENTO:VEHICULOS</t>
  </si>
  <si>
    <t>004996</t>
  </si>
  <si>
    <t>25172110 - Pito de vehículo</t>
  </si>
  <si>
    <t>CLAXON:VEHICULO</t>
  </si>
  <si>
    <t>004937</t>
  </si>
  <si>
    <t>25174807 - Bisagra de vehículo</t>
  </si>
  <si>
    <t>BISAGRA:VEHICULO</t>
  </si>
  <si>
    <t>004929</t>
  </si>
  <si>
    <t>25172603 - Parachoques para automotores</t>
  </si>
  <si>
    <t>PARACHOQUES</t>
  </si>
  <si>
    <t>004736</t>
  </si>
  <si>
    <t>25171502 - limpiaparabrisas p/automóvil</t>
  </si>
  <si>
    <t>ESCOBILLA:LIMPIAPARABRISAS</t>
  </si>
  <si>
    <t>004677</t>
  </si>
  <si>
    <t>25172010 - Barra anti - ladeo</t>
  </si>
  <si>
    <t>BARRA:ESTABILIZADORA</t>
  </si>
  <si>
    <t>004666</t>
  </si>
  <si>
    <t>25174216 - Brazo articulado de dirección</t>
  </si>
  <si>
    <t>MULETA:DIRECCION</t>
  </si>
  <si>
    <t>004651</t>
  </si>
  <si>
    <t>25171713 - Almohadillas de discos freno</t>
  </si>
  <si>
    <t>PASTILLA FRENO</t>
  </si>
  <si>
    <t>088281</t>
  </si>
  <si>
    <t>25173900 - Componentes eléctricos</t>
  </si>
  <si>
    <t>FLASHER</t>
  </si>
  <si>
    <t>087189</t>
  </si>
  <si>
    <t>25172901 - Ilum exterior para automóviles</t>
  </si>
  <si>
    <t>LUZ:NIEBLA</t>
  </si>
  <si>
    <t>019302</t>
  </si>
  <si>
    <t>26101765 - Amortiguadores de vibración</t>
  </si>
  <si>
    <t>005534</t>
  </si>
  <si>
    <t>25173800 - Sistemas tren de transmisión</t>
  </si>
  <si>
    <t>CRUCETA; VEHICULOS</t>
  </si>
  <si>
    <t>005257</t>
  </si>
  <si>
    <t>10150000 - Semillas, bulbos, plántulas y</t>
  </si>
  <si>
    <t>ZQUI - Suministros Quimicos</t>
  </si>
  <si>
    <t>QUI281000 - Fertilizantes</t>
  </si>
  <si>
    <t>AL MAYOR:SEMILLA</t>
  </si>
  <si>
    <t>060216</t>
  </si>
  <si>
    <t>51211616 - Anti venenos</t>
  </si>
  <si>
    <t>QUI281300 - Químicos /Tratamient</t>
  </si>
  <si>
    <t>ANTIDOTO:VENENO</t>
  </si>
  <si>
    <t>020388</t>
  </si>
  <si>
    <t>11111501 - Tierra</t>
  </si>
  <si>
    <t>CMI02051500 - Piedrín y Arena</t>
  </si>
  <si>
    <t>SUELO</t>
  </si>
  <si>
    <t>051091</t>
  </si>
  <si>
    <t>31201601 - Adhesivos químicos</t>
  </si>
  <si>
    <t>DILUYENTE, ADHESIVOS</t>
  </si>
  <si>
    <t>045570</t>
  </si>
  <si>
    <t>10171505 - Nutriente foliar</t>
  </si>
  <si>
    <t>FERTILIZANTE:QUIMICO</t>
  </si>
  <si>
    <t>056366</t>
  </si>
  <si>
    <t>10191500 - Pesticidas o repelentes plagas</t>
  </si>
  <si>
    <t>QUI281200 - Insecticidas/Plaguic</t>
  </si>
  <si>
    <t>CMI02180200 - Insecticidas y plaguicidas</t>
  </si>
  <si>
    <t>PESTICIDA:VENENO</t>
  </si>
  <si>
    <t>088390</t>
  </si>
  <si>
    <t>10191509 - Insecticidas</t>
  </si>
  <si>
    <t>CMI02180100 - Herbicidas</t>
  </si>
  <si>
    <t>INSECTICIDA</t>
  </si>
  <si>
    <t>087665</t>
  </si>
  <si>
    <t>10171700 - Herbicidas</t>
  </si>
  <si>
    <t>QUI281100 - Herbicidas</t>
  </si>
  <si>
    <t>HERBICIDA</t>
  </si>
  <si>
    <t>087479</t>
  </si>
  <si>
    <t>47101610 - Compuestos para suavizar agua</t>
  </si>
  <si>
    <t>ABLANDADOR AGUA</t>
  </si>
  <si>
    <t>077712</t>
  </si>
  <si>
    <t>10171800 - Acondicionadores de suelos</t>
  </si>
  <si>
    <t>ESTABILIZADOR SUELO</t>
  </si>
  <si>
    <t>076181</t>
  </si>
  <si>
    <t>12352302 - Sales metálicas inorgánicas</t>
  </si>
  <si>
    <t>NITRATO DE ZINC</t>
  </si>
  <si>
    <t>066712</t>
  </si>
  <si>
    <t>ACONDICIONADOR SUELO</t>
  </si>
  <si>
    <t>056068</t>
  </si>
  <si>
    <t>10171504 - Abono</t>
  </si>
  <si>
    <t>FERTILIZANTES</t>
  </si>
  <si>
    <t>048007</t>
  </si>
  <si>
    <t>LIMPIADOR;FOSAS SEPTICAS</t>
  </si>
  <si>
    <t>045150</t>
  </si>
  <si>
    <t>10171702 - Fungicidas</t>
  </si>
  <si>
    <t>FUNGUICIDA</t>
  </si>
  <si>
    <t>039195</t>
  </si>
  <si>
    <t>10191508 - Protectores contra termitas</t>
  </si>
  <si>
    <t>PROTECTOR:TERMITAS</t>
  </si>
  <si>
    <t>014897</t>
  </si>
  <si>
    <t>52141514 - Procesadores de alimentos</t>
  </si>
  <si>
    <t>ZOFI - Equipo de oficina</t>
  </si>
  <si>
    <t>OFI311000 - Electrodoméstico</t>
  </si>
  <si>
    <t>PROCESADOR:ALIMENTOS</t>
  </si>
  <si>
    <t>042952</t>
  </si>
  <si>
    <t>52141520 - Mezcladoras para uso doméstico</t>
  </si>
  <si>
    <t>BATIDORA:ELECTRICA</t>
  </si>
  <si>
    <t>043172</t>
  </si>
  <si>
    <t>48101607 - Licuadoras de uso comercial</t>
  </si>
  <si>
    <t>EXTRACTOR JUGO</t>
  </si>
  <si>
    <t>043031</t>
  </si>
  <si>
    <t>52161514 - Audífonos</t>
  </si>
  <si>
    <t>AUDÍFONOS</t>
  </si>
  <si>
    <t>017691</t>
  </si>
  <si>
    <t>52161520 - Micrófonos</t>
  </si>
  <si>
    <t>MICROFONO</t>
  </si>
  <si>
    <t>088062</t>
  </si>
  <si>
    <t>52161547 - Amplificadores de audio</t>
  </si>
  <si>
    <t>AMPLIFICADOR</t>
  </si>
  <si>
    <t>085839</t>
  </si>
  <si>
    <t>52161510 - Sistemas audio alta fidelidad</t>
  </si>
  <si>
    <t>SISTEMA ESTEREO:CASA</t>
  </si>
  <si>
    <t>054001</t>
  </si>
  <si>
    <t>52161509 - Sistemas de estéreo portátiles</t>
  </si>
  <si>
    <t>EQUIPO DE MUSICA</t>
  </si>
  <si>
    <t>054000</t>
  </si>
  <si>
    <t>52161533 - Megáfonos</t>
  </si>
  <si>
    <t>MEGAFONO</t>
  </si>
  <si>
    <t>047358</t>
  </si>
  <si>
    <t>52161505 - Televisores</t>
  </si>
  <si>
    <t>EQUIPO TELEVISION</t>
  </si>
  <si>
    <t>044652</t>
  </si>
  <si>
    <t>52141521 - Hornos tostadores uso doméstic</t>
  </si>
  <si>
    <t>HORNO:TOSTADOR</t>
  </si>
  <si>
    <t>043195</t>
  </si>
  <si>
    <t>48101516 - Hornos microondas p/uso comer</t>
  </si>
  <si>
    <t>HORNO:MICROONDAS</t>
  </si>
  <si>
    <t>043188</t>
  </si>
  <si>
    <t>48101601 - Mezcladores para uso comercial</t>
  </si>
  <si>
    <t>LICUADORA</t>
  </si>
  <si>
    <t>043044</t>
  </si>
  <si>
    <t>52141526 - Cafeteras para uso doméstico</t>
  </si>
  <si>
    <t>CAFETERA:AUTOMATICA</t>
  </si>
  <si>
    <t>042909</t>
  </si>
  <si>
    <t>48101700 - Distrs auto comida y bebida</t>
  </si>
  <si>
    <t>DISPENSADOR DE AGUA</t>
  </si>
  <si>
    <t>042658</t>
  </si>
  <si>
    <t>30151901 - Toldos</t>
  </si>
  <si>
    <t>TOLDO</t>
  </si>
  <si>
    <t>042581</t>
  </si>
  <si>
    <t>56101520 - Casilleros (“lockers”)</t>
  </si>
  <si>
    <t>LOCKER</t>
  </si>
  <si>
    <t>042444</t>
  </si>
  <si>
    <t>43202003 - Discos versátile digitales dvd</t>
  </si>
  <si>
    <t>DVD</t>
  </si>
  <si>
    <t>041960</t>
  </si>
  <si>
    <t>45111603 - Pantallas para proyección</t>
  </si>
  <si>
    <t>PANTALLA:PROYECCION</t>
  </si>
  <si>
    <t>037687</t>
  </si>
  <si>
    <t>ALTAVOCES:CONJUNTO</t>
  </si>
  <si>
    <t>017993</t>
  </si>
  <si>
    <t>43191511 - Teléfonos ip</t>
  </si>
  <si>
    <t>TELF DIGITAL</t>
  </si>
  <si>
    <t>016892</t>
  </si>
  <si>
    <t>43191512 - Teléfonos Inalámbricos digital</t>
  </si>
  <si>
    <t>TELEFONO:INALAMBRICO</t>
  </si>
  <si>
    <t>016885</t>
  </si>
  <si>
    <t>52141545 - Placa de cocina uso doméstico</t>
  </si>
  <si>
    <t>CMI01020500 - Equipo Restaurantes</t>
  </si>
  <si>
    <t>COCINA:DOMESTICA</t>
  </si>
  <si>
    <t>015165</t>
  </si>
  <si>
    <t>47111502 - Máquinas lavad tipo lavandería</t>
  </si>
  <si>
    <t>LAVADORA</t>
  </si>
  <si>
    <t>007602</t>
  </si>
  <si>
    <t>23151601 - Sopladores o secadores</t>
  </si>
  <si>
    <t>SECADORA</t>
  </si>
  <si>
    <t>070729</t>
  </si>
  <si>
    <t>24131600 - Congeladores industriales</t>
  </si>
  <si>
    <t>CMI01020400 - Equipo Refrigeración</t>
  </si>
  <si>
    <t>CONGELADOR:INDUSTRIAL</t>
  </si>
  <si>
    <t>009535</t>
  </si>
  <si>
    <t>BANCO:EXTERIOR</t>
  </si>
  <si>
    <t>042279</t>
  </si>
  <si>
    <t>23152200 - Mesa y estantes para fabricaci</t>
  </si>
  <si>
    <t>MESA:INDUSTRIAL</t>
  </si>
  <si>
    <t>011942</t>
  </si>
  <si>
    <t>39111510 - Lámparas de mesa</t>
  </si>
  <si>
    <t>LAMPARA:MESA</t>
  </si>
  <si>
    <t>019299</t>
  </si>
  <si>
    <t>MESA:NOCHE</t>
  </si>
  <si>
    <t>042543</t>
  </si>
  <si>
    <t>95131605 - Casa contenedor</t>
  </si>
  <si>
    <t>CONTENEDOR:CASA</t>
  </si>
  <si>
    <t>086664</t>
  </si>
  <si>
    <t>MESA:OFICINA</t>
  </si>
  <si>
    <t>042549</t>
  </si>
  <si>
    <t>56112103 - Sillas para visitantes</t>
  </si>
  <si>
    <t>SILLA:VISITANTES</t>
  </si>
  <si>
    <t>042344</t>
  </si>
  <si>
    <t>56101502 - Sofás</t>
  </si>
  <si>
    <t>SOFA</t>
  </si>
  <si>
    <t>042505</t>
  </si>
  <si>
    <t>56101504 - Asientos</t>
  </si>
  <si>
    <t>SILLA:GIRATORIA</t>
  </si>
  <si>
    <t>042333</t>
  </si>
  <si>
    <t>56101706 - Mesas de conferencia</t>
  </si>
  <si>
    <t>MESA:REUNIONES</t>
  </si>
  <si>
    <t>042552</t>
  </si>
  <si>
    <t>56101700 - Muebles de oficina</t>
  </si>
  <si>
    <t>MUEBLE:OFICINA</t>
  </si>
  <si>
    <t>042409</t>
  </si>
  <si>
    <t>52141501 - Neveras para uso doméstico</t>
  </si>
  <si>
    <t>REFRIGERADOR</t>
  </si>
  <si>
    <t>053542</t>
  </si>
  <si>
    <t>31331100 - Cjtos estrs c/acabado ligado</t>
  </si>
  <si>
    <t>ESTRUCTURADO</t>
  </si>
  <si>
    <t>065999</t>
  </si>
  <si>
    <t>56101703 - Escritorios</t>
  </si>
  <si>
    <t>ESCRITORIO</t>
  </si>
  <si>
    <t>042490</t>
  </si>
  <si>
    <t>30241601 - Tarima y acce de la tribuna</t>
  </si>
  <si>
    <t>TARIMA</t>
  </si>
  <si>
    <t>088475</t>
  </si>
  <si>
    <t>MESA:DE COMEDOR</t>
  </si>
  <si>
    <t>042546</t>
  </si>
  <si>
    <t>56101530 - Gabinetes de almacenamiento</t>
  </si>
  <si>
    <t>ARMARIO</t>
  </si>
  <si>
    <t>042310</t>
  </si>
  <si>
    <t>PANEL:INDICATOR</t>
  </si>
  <si>
    <t>016520</t>
  </si>
  <si>
    <t>24112406 - Compartimentos caja/estantería</t>
  </si>
  <si>
    <t>ESTANTE;ALMACENAMIENTO</t>
  </si>
  <si>
    <t>042498</t>
  </si>
  <si>
    <t>CARDAMOMO</t>
  </si>
  <si>
    <t>048557</t>
  </si>
  <si>
    <t>50181900 - Pan galletas pastelitos dulces</t>
  </si>
  <si>
    <t>GALLETA:CAFÉ</t>
  </si>
  <si>
    <t>048791</t>
  </si>
  <si>
    <t>50171904 - Conserva</t>
  </si>
  <si>
    <t>CMI02060600 - Jaleas</t>
  </si>
  <si>
    <t>CONSERVA</t>
  </si>
  <si>
    <t>048750</t>
  </si>
  <si>
    <t>50192401 - Mermeladas preserv para fruta</t>
  </si>
  <si>
    <t>MERMELADA</t>
  </si>
  <si>
    <t>049249</t>
  </si>
  <si>
    <t>82121512 - Impresión en relieve</t>
  </si>
  <si>
    <t>IMPRESIÓN:PUBLICIDAD</t>
  </si>
  <si>
    <t>055266</t>
  </si>
  <si>
    <t>60141019 - PIÑATA</t>
  </si>
  <si>
    <t>JUGUETE:PIÑATA</t>
  </si>
  <si>
    <t>044921</t>
  </si>
  <si>
    <t>46171515 - Cadenas o estuches de llaves</t>
  </si>
  <si>
    <t>LLAVERO</t>
  </si>
  <si>
    <t>014472</t>
  </si>
  <si>
    <t>24122002 - Botellas de plástico</t>
  </si>
  <si>
    <t>BOTELLA:CON TAPA;SEGURIDAD</t>
  </si>
  <si>
    <t>045637</t>
  </si>
  <si>
    <t>60100000 - Materia didácticos profes desa</t>
  </si>
  <si>
    <t>UTILES ESCOLARES</t>
  </si>
  <si>
    <t>1144556</t>
  </si>
  <si>
    <t>49101700 - Premios</t>
  </si>
  <si>
    <t>CMI02040300 - Otros-Material POP</t>
  </si>
  <si>
    <t>REGALO CORPORATIVO</t>
  </si>
  <si>
    <t>1070051</t>
  </si>
  <si>
    <t>60141000 - Juguetes</t>
  </si>
  <si>
    <t>AL MAYOR:JUGUETE</t>
  </si>
  <si>
    <t>060272</t>
  </si>
  <si>
    <t>14111608 - Certificados de regalo</t>
  </si>
  <si>
    <t>CERTIFICADO:REGALO</t>
  </si>
  <si>
    <t>050343</t>
  </si>
  <si>
    <t>53102516 - Gorras</t>
  </si>
  <si>
    <t>GORRA</t>
  </si>
  <si>
    <t>046767</t>
  </si>
  <si>
    <t>54101601 - Brazaletes</t>
  </si>
  <si>
    <t>BRAZALETE</t>
  </si>
  <si>
    <t>046733</t>
  </si>
  <si>
    <t>24111502 - Bolsas de papel</t>
  </si>
  <si>
    <t>CMI03040100 - Bolsas de Papel</t>
  </si>
  <si>
    <t>BOLSA:PAPEL</t>
  </si>
  <si>
    <t>045613</t>
  </si>
  <si>
    <t>44112002 - Calendarios</t>
  </si>
  <si>
    <t>CALENDARIO</t>
  </si>
  <si>
    <t>043605</t>
  </si>
  <si>
    <t>CUADERNO</t>
  </si>
  <si>
    <t>043588</t>
  </si>
  <si>
    <t>53102507 - Ganchos para colgar la ropa</t>
  </si>
  <si>
    <t>COLGADOR:SACO</t>
  </si>
  <si>
    <t>042683</t>
  </si>
  <si>
    <t>42151900 - Eq sums p/hign dental cuidprev</t>
  </si>
  <si>
    <t>SET EQUIPO:HIGIENE</t>
  </si>
  <si>
    <t>027722</t>
  </si>
  <si>
    <t>44102600 - Maquina de Escribir accesorios</t>
  </si>
  <si>
    <t>MAQUINA ESCRIBIR</t>
  </si>
  <si>
    <t>016998</t>
  </si>
  <si>
    <t>42251600 - Eq dispositivo ejercicio rehab</t>
  </si>
  <si>
    <t>EJERCITADOR:TOBILLO</t>
  </si>
  <si>
    <t>025144</t>
  </si>
  <si>
    <t>44102801 - Laminadoras</t>
  </si>
  <si>
    <t>MAQUINA:LAMINADORA</t>
  </si>
  <si>
    <t>007528</t>
  </si>
  <si>
    <t>60121305 - Cortador rotativo de tela o pa</t>
  </si>
  <si>
    <t>CORTADORA:PAPEL</t>
  </si>
  <si>
    <t>043684</t>
  </si>
  <si>
    <t>44102800 - Máquinas encuadernadoras y plastificadoras</t>
  </si>
  <si>
    <t>CMI01020000 - Maquinaria y Equípo</t>
  </si>
  <si>
    <t>MAQUINA:ENCUADERNADORA</t>
  </si>
  <si>
    <t>057840</t>
  </si>
  <si>
    <t>23101513 - Fresadoras</t>
  </si>
  <si>
    <t>FRESADORA:VERTICAL</t>
  </si>
  <si>
    <t>007211</t>
  </si>
  <si>
    <t>21101600 - Maquinaria agrícola para siemb</t>
  </si>
  <si>
    <t>MAQUINA AGRICOLA:SIEMBRA</t>
  </si>
  <si>
    <t>056286</t>
  </si>
  <si>
    <t>23151602 - Trituradoras</t>
  </si>
  <si>
    <t>TRITURADORA</t>
  </si>
  <si>
    <t>008462</t>
  </si>
  <si>
    <t>22101511 - Compactadores</t>
  </si>
  <si>
    <t>EQUIPO:APISONADORA</t>
  </si>
  <si>
    <t>008408</t>
  </si>
  <si>
    <t>27111607 - Herramientas de recalcar</t>
  </si>
  <si>
    <t>ESTAMPADORA:CONTERA</t>
  </si>
  <si>
    <t>013584</t>
  </si>
  <si>
    <t>21101504 - Desmalezadoras</t>
  </si>
  <si>
    <t>QUEMADOR:HIERBA</t>
  </si>
  <si>
    <t>008353</t>
  </si>
  <si>
    <t>22101901 - Mezcladoras o plantas concreto</t>
  </si>
  <si>
    <t>MEZCLADOR:CONCRETO</t>
  </si>
  <si>
    <t>008727</t>
  </si>
  <si>
    <t>26111600 - Generadores de potencia</t>
  </si>
  <si>
    <t>GENERADOR</t>
  </si>
  <si>
    <t>006051</t>
  </si>
  <si>
    <t>26101515 - Motor fuera de borda gasolina</t>
  </si>
  <si>
    <t>MOTOR FUERABORDA:GASOLINA</t>
  </si>
  <si>
    <t>005718</t>
  </si>
  <si>
    <t>25101916 - Camión tolva</t>
  </si>
  <si>
    <t>CAMION:TOLVA</t>
  </si>
  <si>
    <t>004593</t>
  </si>
  <si>
    <t>25111516 - Bote de caucho inflable</t>
  </si>
  <si>
    <t>BOTE:INFLABLE</t>
  </si>
  <si>
    <t>003881</t>
  </si>
  <si>
    <t>72153504 - Limpieza chorro agua alta pres</t>
  </si>
  <si>
    <t>EQUIPO;LIMPIEZA;ELEC</t>
  </si>
  <si>
    <t>011646</t>
  </si>
  <si>
    <t>40151600 - Compresores</t>
  </si>
  <si>
    <t>COMPRESOR</t>
  </si>
  <si>
    <t>086626</t>
  </si>
  <si>
    <t>ROSCADORA:ELECTRICA</t>
  </si>
  <si>
    <t>007055</t>
  </si>
  <si>
    <t>15121501 - Aceite motor</t>
  </si>
  <si>
    <t>ZLUB - Combustibles y Lubricante</t>
  </si>
  <si>
    <t>LUB261200 - LubricanIndustriales</t>
  </si>
  <si>
    <t>LUBRICANTE</t>
  </si>
  <si>
    <t>087912</t>
  </si>
  <si>
    <t>27112914 - Lubricador de grasa</t>
  </si>
  <si>
    <t>LUB261000 - Grasas Industriales</t>
  </si>
  <si>
    <t>GRASA LUBRICANTE</t>
  </si>
  <si>
    <t>073066</t>
  </si>
  <si>
    <t>15121802 - Lubricante anti – corrosión</t>
  </si>
  <si>
    <t>CMI02030100 - Grasas Industriales</t>
  </si>
  <si>
    <t>INHIBIDOR CORROSION</t>
  </si>
  <si>
    <t>070102</t>
  </si>
  <si>
    <t>15121500 - Preparados lubricantes</t>
  </si>
  <si>
    <t>ACEITE;RODAMIENTOS</t>
  </si>
  <si>
    <t>050234</t>
  </si>
  <si>
    <t>15121503 - Aceite de engranajes</t>
  </si>
  <si>
    <t>ACEITE:ENGRANAJES</t>
  </si>
  <si>
    <t>050231</t>
  </si>
  <si>
    <t>15121527 - Aceite de turbina</t>
  </si>
  <si>
    <t>ACEITE:TURBINA</t>
  </si>
  <si>
    <t>050225</t>
  </si>
  <si>
    <t>15121504 - Aceite hidráulico</t>
  </si>
  <si>
    <t>LUB261100 - Lubrican/Automotriz</t>
  </si>
  <si>
    <t>CMI02030200 - Lubricante Automotriz</t>
  </si>
  <si>
    <t>ACEITE HIDRAULICO</t>
  </si>
  <si>
    <t>050224</t>
  </si>
  <si>
    <t>LUBRICANTE:AIRE COMPRIMIDO</t>
  </si>
  <si>
    <t>050211</t>
  </si>
  <si>
    <t>ACEITE:MOTOR</t>
  </si>
  <si>
    <t>050209</t>
  </si>
  <si>
    <t>15121505 - Aceite transformador/aislador</t>
  </si>
  <si>
    <t>ACEITE AISLADOR:ELECTRICO</t>
  </si>
  <si>
    <t>050193</t>
  </si>
  <si>
    <t>GRASA:LITIO</t>
  </si>
  <si>
    <t>050182</t>
  </si>
  <si>
    <t>GRASA:RESISTENTE AGUA DE MAR</t>
  </si>
  <si>
    <t>050156</t>
  </si>
  <si>
    <t>15101506 - Gasolina</t>
  </si>
  <si>
    <t>LUB241200 - Gasolina</t>
  </si>
  <si>
    <t>CMI02010400 - Gasolina</t>
  </si>
  <si>
    <t>GASOLINA SIN PLOMO</t>
  </si>
  <si>
    <t>050151</t>
  </si>
  <si>
    <t>15101505 - Combustible diesel</t>
  </si>
  <si>
    <t>LUB241000 - Diesel</t>
  </si>
  <si>
    <t>CMI02010200 - Diésel</t>
  </si>
  <si>
    <t>DIESEL</t>
  </si>
  <si>
    <t>050132</t>
  </si>
  <si>
    <t>15121502 - Aceite de corte</t>
  </si>
  <si>
    <t>ACEITE DE CORTE</t>
  </si>
  <si>
    <t>050130</t>
  </si>
  <si>
    <t>15121509 - Aceite de frenos</t>
  </si>
  <si>
    <t>LIQUIDO:FRENOS;AUTOMOVILES</t>
  </si>
  <si>
    <t>050116</t>
  </si>
  <si>
    <t>15111501 - Propano</t>
  </si>
  <si>
    <t>LUB241100 - Gas Propano</t>
  </si>
  <si>
    <t>CMI02010300 - Gas Propano</t>
  </si>
  <si>
    <t>PROPANO</t>
  </si>
  <si>
    <t>040378</t>
  </si>
  <si>
    <t>15121520 - Lubricantes propósito general</t>
  </si>
  <si>
    <t>ACEITE LUBRICANTE</t>
  </si>
  <si>
    <t>050223</t>
  </si>
  <si>
    <t>GRASA</t>
  </si>
  <si>
    <t>050158</t>
  </si>
  <si>
    <t>43211602 - Estaciones acoplamiento</t>
  </si>
  <si>
    <t>ZHAR - Hardware</t>
  </si>
  <si>
    <t>HAR321100 - Computadoras</t>
  </si>
  <si>
    <t>ESTACION:ACOPLAMIENTO</t>
  </si>
  <si>
    <t>061540</t>
  </si>
  <si>
    <t>52161558 - Consola portátil de juegos</t>
  </si>
  <si>
    <t>HAR321000 - Servidores</t>
  </si>
  <si>
    <t>CONSOLA:VIDEOJUEGO</t>
  </si>
  <si>
    <t>059016</t>
  </si>
  <si>
    <t>43211504 - Asistentes personales digitale</t>
  </si>
  <si>
    <t>CMI01010200 - Handhelds</t>
  </si>
  <si>
    <t>ORGANIZADOR:DIGITAL</t>
  </si>
  <si>
    <t>929742</t>
  </si>
  <si>
    <t>39121011 - Fuentes ininterrumpible de pot</t>
  </si>
  <si>
    <t>HAR321200 - UPS</t>
  </si>
  <si>
    <t>CMI01010700 - UPSs</t>
  </si>
  <si>
    <t>UPS</t>
  </si>
  <si>
    <t>061673</t>
  </si>
  <si>
    <t>43211712 - Tabletas de gráficos</t>
  </si>
  <si>
    <t>TABLETA GRAFICA:DIGITALIZADORA</t>
  </si>
  <si>
    <t>041939</t>
  </si>
  <si>
    <t>43211507 - Computadores de escritorio</t>
  </si>
  <si>
    <t>CMI01010100 - Computadoras</t>
  </si>
  <si>
    <t>COMPUTADORA</t>
  </si>
  <si>
    <t>086630</t>
  </si>
  <si>
    <t>43211501 - Servidores de computador</t>
  </si>
  <si>
    <t>CMI01010600 - Servidores</t>
  </si>
  <si>
    <t>SERVIDOR</t>
  </si>
  <si>
    <t>131383</t>
  </si>
  <si>
    <t>43222640 - Punto de acceso inalámbrico</t>
  </si>
  <si>
    <t>ACCESS POINT</t>
  </si>
  <si>
    <t>054472</t>
  </si>
  <si>
    <t>43212104 - Impresoras inyección de tinta</t>
  </si>
  <si>
    <t>HAR321300 - Impresoras</t>
  </si>
  <si>
    <t>CMI01010300 - Impresoras</t>
  </si>
  <si>
    <t>IMPRESORA:INKJET</t>
  </si>
  <si>
    <t>042068</t>
  </si>
  <si>
    <t>43211503 - Computadores notebook</t>
  </si>
  <si>
    <t>NOTEBOOK</t>
  </si>
  <si>
    <t>042041</t>
  </si>
  <si>
    <t>HAR321400 - Monitor</t>
  </si>
  <si>
    <t>MONITOR:COMPUTO</t>
  </si>
  <si>
    <t>060079</t>
  </si>
  <si>
    <t>40101701 - Aires acondicionados</t>
  </si>
  <si>
    <t>AIRE:ACONDICIONADO</t>
  </si>
  <si>
    <t>009469</t>
  </si>
  <si>
    <t>60104702 - Kits solares</t>
  </si>
  <si>
    <t>SOLAR:KIT</t>
  </si>
  <si>
    <t>053905</t>
  </si>
  <si>
    <t>ADAPTADOR:ELEVACION</t>
  </si>
  <si>
    <t>009100</t>
  </si>
  <si>
    <t>26111607 - Generadores solares</t>
  </si>
  <si>
    <t>PANEL:SOLAR</t>
  </si>
  <si>
    <t>019070</t>
  </si>
  <si>
    <t>INSTRUMENTO:MEDICION</t>
  </si>
  <si>
    <t>013912</t>
  </si>
  <si>
    <t>22101706 - Cucharas de pala</t>
  </si>
  <si>
    <t>CON251000 - Accesorios</t>
  </si>
  <si>
    <t>CMI02140600 - Herramienta Mecánica</t>
  </si>
  <si>
    <t>CUCHARA:PALA MECANICA</t>
  </si>
  <si>
    <t>008494</t>
  </si>
  <si>
    <t>30191502 - Andamios</t>
  </si>
  <si>
    <t>CON251400 - Fijación y Anclajes</t>
  </si>
  <si>
    <t>ANDAMIOS</t>
  </si>
  <si>
    <t>015161</t>
  </si>
  <si>
    <t>30181506 - Orinales</t>
  </si>
  <si>
    <t>CON251100 - Artefactos Sanitario</t>
  </si>
  <si>
    <t>URINAL</t>
  </si>
  <si>
    <t>010687</t>
  </si>
  <si>
    <t>LIBRETAS</t>
  </si>
  <si>
    <t>886265</t>
  </si>
  <si>
    <t>23151608 - Tamices</t>
  </si>
  <si>
    <t>TAMIZ</t>
  </si>
  <si>
    <t>672312</t>
  </si>
  <si>
    <t>31211507 - Pinturas en aerosol</t>
  </si>
  <si>
    <t>CON252200 - Pinturas y solventes</t>
  </si>
  <si>
    <t>PINTURA:SPRAY</t>
  </si>
  <si>
    <t>1144801</t>
  </si>
  <si>
    <t>31211518 - Pintura antióxido</t>
  </si>
  <si>
    <t>PINTURA:ANTICORROSIVA</t>
  </si>
  <si>
    <t>1095190</t>
  </si>
  <si>
    <t>30103600 - Productos estructurales</t>
  </si>
  <si>
    <t>CON251200 - Block</t>
  </si>
  <si>
    <t>SISTEMA;VIGUETA;BOVEDILLA</t>
  </si>
  <si>
    <t>1072993</t>
  </si>
  <si>
    <t>30181505 - Inodoros o excusados</t>
  </si>
  <si>
    <t>INODORO</t>
  </si>
  <si>
    <t>089532</t>
  </si>
  <si>
    <t>30102300 - Perfiles</t>
  </si>
  <si>
    <t>CON252000 - Perfiles</t>
  </si>
  <si>
    <t>PERFIL</t>
  </si>
  <si>
    <t>088582</t>
  </si>
  <si>
    <t>BASE:SUPERFICIE</t>
  </si>
  <si>
    <t>088563</t>
  </si>
  <si>
    <t>PINTURA</t>
  </si>
  <si>
    <t>088299</t>
  </si>
  <si>
    <t>31162807 - Palancas</t>
  </si>
  <si>
    <t>PALANCA</t>
  </si>
  <si>
    <t>087835</t>
  </si>
  <si>
    <t>12141903 - Nitrógeno n</t>
  </si>
  <si>
    <t>CON251500 - Gases industriales</t>
  </si>
  <si>
    <t>GAS:NITROGENO</t>
  </si>
  <si>
    <t>087267</t>
  </si>
  <si>
    <t>30111505 - Concreto premezclado</t>
  </si>
  <si>
    <t>CON251300 - Concret/cemento/Adit</t>
  </si>
  <si>
    <t>CONCRETO</t>
  </si>
  <si>
    <t>086634</t>
  </si>
  <si>
    <t>31161601 - Pernos de anclaje</t>
  </si>
  <si>
    <t>PERNO:ANCLAJE</t>
  </si>
  <si>
    <t>086143</t>
  </si>
  <si>
    <t>30131502 - Bloques de concreto</t>
  </si>
  <si>
    <t>CMI02050300 - Blocks</t>
  </si>
  <si>
    <t>BLOQUE</t>
  </si>
  <si>
    <t>086116</t>
  </si>
  <si>
    <t>30121700 - Mats constr caminos y carril</t>
  </si>
  <si>
    <t>BALASTO</t>
  </si>
  <si>
    <t>085949</t>
  </si>
  <si>
    <t>31162101 - Anclajes de concreto</t>
  </si>
  <si>
    <t>ANCLAJE:CONCRETO</t>
  </si>
  <si>
    <t>085847</t>
  </si>
  <si>
    <t>12162304 - Acelerador adhesivo</t>
  </si>
  <si>
    <t>ACELERADOR</t>
  </si>
  <si>
    <t>085733</t>
  </si>
  <si>
    <t>CON251900 - Madera y derivados</t>
  </si>
  <si>
    <t>CMI02051100 - Madera y derivados</t>
  </si>
  <si>
    <t>MARCO PUERTA</t>
  </si>
  <si>
    <t>081430</t>
  </si>
  <si>
    <t>30121705 - Losa de pavimento</t>
  </si>
  <si>
    <t>PAVIMENTO</t>
  </si>
  <si>
    <t>079418</t>
  </si>
  <si>
    <t>31163401 - Gavión</t>
  </si>
  <si>
    <t>GAVION COLCHON</t>
  </si>
  <si>
    <t>078852</t>
  </si>
  <si>
    <t>30121702 - Geotextil</t>
  </si>
  <si>
    <t>GEOTEXTIL</t>
  </si>
  <si>
    <t>071810</t>
  </si>
  <si>
    <t>30121701 - Geomalla</t>
  </si>
  <si>
    <t>GEOMEMBRANA</t>
  </si>
  <si>
    <t>071806</t>
  </si>
  <si>
    <t>12162100 - Retardadores de llama</t>
  </si>
  <si>
    <t>RETARDANTE AL FUEGO</t>
  </si>
  <si>
    <t>071419</t>
  </si>
  <si>
    <t>23151804 - React/fermentadores digestores</t>
  </si>
  <si>
    <t>DIGESTOR</t>
  </si>
  <si>
    <t>070495</t>
  </si>
  <si>
    <t>TIERRA</t>
  </si>
  <si>
    <t>067736</t>
  </si>
  <si>
    <t>30111607 - Cal viva</t>
  </si>
  <si>
    <t>CAL HIDRATADA</t>
  </si>
  <si>
    <t>067504</t>
  </si>
  <si>
    <t>30101717 - Vigas de concreto</t>
  </si>
  <si>
    <t>VIGA:CEMENTO</t>
  </si>
  <si>
    <t>051265</t>
  </si>
  <si>
    <t>30103604 - Revestimiento o láminas madera</t>
  </si>
  <si>
    <t>LAMINA:MADERA</t>
  </si>
  <si>
    <t>050906</t>
  </si>
  <si>
    <t>30102005 - Lámina de acero inoxidable</t>
  </si>
  <si>
    <t>CON251800 - Laminas</t>
  </si>
  <si>
    <t>LAMINA:ACERO INOX</t>
  </si>
  <si>
    <t>050902</t>
  </si>
  <si>
    <t>30102000 - Hoja</t>
  </si>
  <si>
    <t>LAMINA:METAL</t>
  </si>
  <si>
    <t>050886</t>
  </si>
  <si>
    <t>30102303 - Perfiles de hierro</t>
  </si>
  <si>
    <t>PERFIL:HIERRO</t>
  </si>
  <si>
    <t>050857</t>
  </si>
  <si>
    <t>30102004 - Lámina de acero</t>
  </si>
  <si>
    <t>LAMINA:ACERO</t>
  </si>
  <si>
    <t>050814</t>
  </si>
  <si>
    <t>30102203 - Placa de hierro</t>
  </si>
  <si>
    <t>LAMINA:HIERRO</t>
  </si>
  <si>
    <t>050809</t>
  </si>
  <si>
    <t>30101703 - Vigas de hierro</t>
  </si>
  <si>
    <t>VIGA HIERRO</t>
  </si>
  <si>
    <t>050757</t>
  </si>
  <si>
    <t>30101503 - Ángulos de hierro</t>
  </si>
  <si>
    <t>ANGULO:HIERRO</t>
  </si>
  <si>
    <t>050636</t>
  </si>
  <si>
    <t>30111601 - Cemento</t>
  </si>
  <si>
    <t>CEMENTO:REFRACTARIO</t>
  </si>
  <si>
    <t>050342</t>
  </si>
  <si>
    <t>11111804 - Bentonita</t>
  </si>
  <si>
    <t>BENTONITA:TECNICA</t>
  </si>
  <si>
    <t>050299</t>
  </si>
  <si>
    <t>11151709 - Hilado de sintético</t>
  </si>
  <si>
    <t>HILO:SINTETICO</t>
  </si>
  <si>
    <t>046567</t>
  </si>
  <si>
    <t>31211803 - Diluys para pintura y barnices</t>
  </si>
  <si>
    <t>DISOLVENTE:PINTURA</t>
  </si>
  <si>
    <t>045567</t>
  </si>
  <si>
    <t>31211704 - Sellantes</t>
  </si>
  <si>
    <t>SELLADOR:SUPERFICIE</t>
  </si>
  <si>
    <t>045552</t>
  </si>
  <si>
    <t>12164905 - Agente de impermeabilización</t>
  </si>
  <si>
    <t>REVESTIMIENTO</t>
  </si>
  <si>
    <t>045528</t>
  </si>
  <si>
    <t>31211502 - Pinturas de agua</t>
  </si>
  <si>
    <t>PINTURA:AGUA;POLVO</t>
  </si>
  <si>
    <t>045418</t>
  </si>
  <si>
    <t>31211504 - Pinturas de revestimiento</t>
  </si>
  <si>
    <t>PINTURA:TRAFICO</t>
  </si>
  <si>
    <t>045416</t>
  </si>
  <si>
    <t>31211505 - Pinturas de aceite</t>
  </si>
  <si>
    <t>PINTURA:ACEITE</t>
  </si>
  <si>
    <t>045412</t>
  </si>
  <si>
    <t>PINTURA:AL AGUA</t>
  </si>
  <si>
    <t>045411</t>
  </si>
  <si>
    <t>31211506 - Pinturas de látex</t>
  </si>
  <si>
    <t>PINTURA:LATEX</t>
  </si>
  <si>
    <t>045407</t>
  </si>
  <si>
    <t>31201615 - Activadores del adhesivo</t>
  </si>
  <si>
    <t>ENDURECEDOR;ADHESIVO</t>
  </si>
  <si>
    <t>045384</t>
  </si>
  <si>
    <t>RECUBRIMIENTO EPOXY</t>
  </si>
  <si>
    <t>045356</t>
  </si>
  <si>
    <t>PINTURA EPOXY</t>
  </si>
  <si>
    <t>045354</t>
  </si>
  <si>
    <t>31201607 - Aglomerante epoxy</t>
  </si>
  <si>
    <t>EPOXY AGLOMERANTE</t>
  </si>
  <si>
    <t>045353</t>
  </si>
  <si>
    <t>31211501 - Pinturas de esmalte</t>
  </si>
  <si>
    <t>ESMALTE</t>
  </si>
  <si>
    <t>045351</t>
  </si>
  <si>
    <t>31211708 - Recubrimiento de polvo</t>
  </si>
  <si>
    <t>RECUBRIMIENTO:POLVO</t>
  </si>
  <si>
    <t>045337</t>
  </si>
  <si>
    <t>47121702 - Contenedores de desperdicios</t>
  </si>
  <si>
    <t>PAPELERA</t>
  </si>
  <si>
    <t>043573</t>
  </si>
  <si>
    <t>30161707 - Pisos de vinilo</t>
  </si>
  <si>
    <t>CON252300 - Pisos y Azulejos</t>
  </si>
  <si>
    <t>PISO:VINYL</t>
  </si>
  <si>
    <t>042672</t>
  </si>
  <si>
    <t>12162502 - Romped emulsión aceite en agua</t>
  </si>
  <si>
    <t>SEPAROL</t>
  </si>
  <si>
    <t>039960</t>
  </si>
  <si>
    <t>12142004 - Gas argón ar</t>
  </si>
  <si>
    <t>ARGON</t>
  </si>
  <si>
    <t>038283</t>
  </si>
  <si>
    <t>47101602 - Anti incrustante</t>
  </si>
  <si>
    <t>ANTI-INCRUSTANTE</t>
  </si>
  <si>
    <t>038275</t>
  </si>
  <si>
    <t>15111506 - Acetileno</t>
  </si>
  <si>
    <t>ACETILENO</t>
  </si>
  <si>
    <t>038059</t>
  </si>
  <si>
    <t>12141904 - Oxígeno o</t>
  </si>
  <si>
    <t>OXIGENO</t>
  </si>
  <si>
    <t>028994</t>
  </si>
  <si>
    <t>11162108 - Tela malla de alambre</t>
  </si>
  <si>
    <t>CON251600 - Hierro</t>
  </si>
  <si>
    <t>ELECTROMALLA</t>
  </si>
  <si>
    <t>018646</t>
  </si>
  <si>
    <t>PERNO PARTIDO</t>
  </si>
  <si>
    <t>017511</t>
  </si>
  <si>
    <t>11111611 - Gravilla</t>
  </si>
  <si>
    <t>GRAVA</t>
  </si>
  <si>
    <t>015478</t>
  </si>
  <si>
    <t>30103200 - Enrejado</t>
  </si>
  <si>
    <t>REJILLA:METAL</t>
  </si>
  <si>
    <t>015469</t>
  </si>
  <si>
    <t>CEMENTO:ALBAÑILERIA</t>
  </si>
  <si>
    <t>015380</t>
  </si>
  <si>
    <t>30131603 - Ladrillos de concreto</t>
  </si>
  <si>
    <t>LADRILLO:CONCRETO</t>
  </si>
  <si>
    <t>015366</t>
  </si>
  <si>
    <t>30161509 - Tabla de yeso</t>
  </si>
  <si>
    <t>TABLA:YESO</t>
  </si>
  <si>
    <t>015362</t>
  </si>
  <si>
    <t>30131503 - Bloques de piedra</t>
  </si>
  <si>
    <t>BLOQUE:PIEDRA</t>
  </si>
  <si>
    <t>015361</t>
  </si>
  <si>
    <t>11122001 - Triplex</t>
  </si>
  <si>
    <t>PLYWOOD</t>
  </si>
  <si>
    <t>015315</t>
  </si>
  <si>
    <t>31161607 - Pernos de expansión</t>
  </si>
  <si>
    <t>PERNO:EXPANSION</t>
  </si>
  <si>
    <t>014196</t>
  </si>
  <si>
    <t>PUNTA:PLOMADA</t>
  </si>
  <si>
    <t>014056</t>
  </si>
  <si>
    <t>40142513 - Trampa p</t>
  </si>
  <si>
    <t>SIFON:DRENAJE</t>
  </si>
  <si>
    <t>011248</t>
  </si>
  <si>
    <t>47101531 - Tanques sépticos</t>
  </si>
  <si>
    <t>TANQUE SEPTICO</t>
  </si>
  <si>
    <t>010744</t>
  </si>
  <si>
    <t>30181514 - Tapa de tanque del inodoro</t>
  </si>
  <si>
    <t>TAPA:INODORO</t>
  </si>
  <si>
    <t>010668</t>
  </si>
  <si>
    <t>30181504 - Lavamanos</t>
  </si>
  <si>
    <t>LAVAMANO</t>
  </si>
  <si>
    <t>010654</t>
  </si>
  <si>
    <t>30181801 - Pomo de ducha</t>
  </si>
  <si>
    <t>DUCHA FIJA</t>
  </si>
  <si>
    <t>010646</t>
  </si>
  <si>
    <t>30180000 - Instalaciones de plomería</t>
  </si>
  <si>
    <t>MANIJA INODORO</t>
  </si>
  <si>
    <t>010611</t>
  </si>
  <si>
    <t>ACCESORIOS:SANITARIO</t>
  </si>
  <si>
    <t>010606</t>
  </si>
  <si>
    <t>30181601 - Jabonera</t>
  </si>
  <si>
    <t>JABONERA</t>
  </si>
  <si>
    <t>010586</t>
  </si>
  <si>
    <t>MEZCLADORA GRIFO</t>
  </si>
  <si>
    <t>010547</t>
  </si>
  <si>
    <t>23241615 - Grifos</t>
  </si>
  <si>
    <t>GRIFO:DOBLE</t>
  </si>
  <si>
    <t>010534</t>
  </si>
  <si>
    <t>30102400 - Varillas</t>
  </si>
  <si>
    <t>VARILLA</t>
  </si>
  <si>
    <t>088802</t>
  </si>
  <si>
    <t>30102900 - Pilares</t>
  </si>
  <si>
    <t>POSTE</t>
  </si>
  <si>
    <t>088536</t>
  </si>
  <si>
    <t>CANAL</t>
  </si>
  <si>
    <t>086456</t>
  </si>
  <si>
    <t>12162305 - Aditivo de concreto</t>
  </si>
  <si>
    <t>ADITIVO</t>
  </si>
  <si>
    <t>085771</t>
  </si>
  <si>
    <t>PINTURA:REVESTIMIENTO</t>
  </si>
  <si>
    <t>083674</t>
  </si>
  <si>
    <t>30103605 - Tablones de madera</t>
  </si>
  <si>
    <t>TABLON</t>
  </si>
  <si>
    <t>081807</t>
  </si>
  <si>
    <t>30101700 - Vigas</t>
  </si>
  <si>
    <t>VIGA</t>
  </si>
  <si>
    <t>050751</t>
  </si>
  <si>
    <t>30101506 - Ángulos de aluminio</t>
  </si>
  <si>
    <t>ANGULO:ALUMINIO</t>
  </si>
  <si>
    <t>050631</t>
  </si>
  <si>
    <t>30102015 - Lámina de plástico</t>
  </si>
  <si>
    <t>LAMINA DE PLASTICO</t>
  </si>
  <si>
    <t>050395</t>
  </si>
  <si>
    <t>COMPUESTO:SELLANTE</t>
  </si>
  <si>
    <t>045555</t>
  </si>
  <si>
    <t>31211508 - Pinturas acrílicas</t>
  </si>
  <si>
    <t>PINTURA:ACRILICA</t>
  </si>
  <si>
    <t>045409</t>
  </si>
  <si>
    <t>12162301 - Agentes curado trans. por agua</t>
  </si>
  <si>
    <t>CURADOR:CONCRETO</t>
  </si>
  <si>
    <t>045346</t>
  </si>
  <si>
    <t>30131704 - Losas o baldosas de cerámica</t>
  </si>
  <si>
    <t>CMI02051700 - Pisos y Azulejos</t>
  </si>
  <si>
    <t>AZULEJOS:SUELO;CERAMICA</t>
  </si>
  <si>
    <t>015612</t>
  </si>
  <si>
    <t>11111701 - Arena de sílice</t>
  </si>
  <si>
    <t>ARENA:CONSTRUCCION</t>
  </si>
  <si>
    <t>015567</t>
  </si>
  <si>
    <t>24111810 - Tanques de almacenamiento agua</t>
  </si>
  <si>
    <t>DEPOSITO</t>
  </si>
  <si>
    <t>015238</t>
  </si>
  <si>
    <t>DUCHA DE BAÑO</t>
  </si>
  <si>
    <t>010648</t>
  </si>
  <si>
    <t>30181700 - Grifos.</t>
  </si>
  <si>
    <t>GRIFO</t>
  </si>
  <si>
    <t>010535</t>
  </si>
  <si>
    <t>60121001 - Pinturas</t>
  </si>
  <si>
    <t>ZART - Obras de arte</t>
  </si>
  <si>
    <t>ART371000 - Obras de arte</t>
  </si>
  <si>
    <t>PINTURAS:DECORATIVAS</t>
  </si>
  <si>
    <t>053111</t>
  </si>
  <si>
    <t>ID</t>
  </si>
  <si>
    <t>UNSPSC</t>
  </si>
  <si>
    <t>Tipo de Material</t>
  </si>
  <si>
    <t>Sector</t>
  </si>
  <si>
    <t>Grupo de Artículos</t>
  </si>
  <si>
    <t>Unidad de Negocio</t>
  </si>
  <si>
    <t>Clave de Valores de Compras</t>
  </si>
  <si>
    <t>Categoría CMI</t>
  </si>
  <si>
    <t>Código Completo</t>
  </si>
  <si>
    <t>Denominación</t>
  </si>
  <si>
    <t>Código</t>
  </si>
  <si>
    <t>Precio variable</t>
  </si>
  <si>
    <t>007343</t>
  </si>
  <si>
    <t>DESCARGADOR CHISPA</t>
  </si>
  <si>
    <t>CMI07220002 - Herramienta Electrica</t>
  </si>
  <si>
    <t>HER100101 - Herram. Montaje</t>
  </si>
  <si>
    <t>ZHER - Herramientas</t>
  </si>
  <si>
    <t>39121647 - Descargador electrostático</t>
  </si>
  <si>
    <t>013657</t>
  </si>
  <si>
    <t>HERRAMIENTA</t>
  </si>
  <si>
    <t>CMI07220003 - Herramienta Mecanica</t>
  </si>
  <si>
    <t>27113201 - Kits de herramientas generales</t>
  </si>
  <si>
    <t>Ubicación</t>
  </si>
  <si>
    <t>T01</t>
  </si>
  <si>
    <t>UN</t>
  </si>
  <si>
    <t>X19</t>
  </si>
  <si>
    <t>PAÑO:LIMPIA;PANTALLA;MICROFIBRA;XL</t>
  </si>
  <si>
    <t>CAMISA:ALGODON;SOLDADOR;TALLA;M</t>
  </si>
  <si>
    <t>PAÑO DE MICROFIBRA TAMAÑO XL PARA LIMPIEZA DE PANTALLAS; MARCA WHOOSH; PRESENTACIÓN EN PAQUETE</t>
  </si>
  <si>
    <t>CAMISA DE SEGURIDAD PARA SOLDADOR; MARCA STANCO; MATERIAL 100% ALGODON; TALLA M</t>
  </si>
  <si>
    <t>CAMISA:ALGODON;SOLDADOR;TALLA;L</t>
  </si>
  <si>
    <t>CAMISA DE SEGURIDAD PARA SOLDADOR; MARCA STANCO; MATERIAL 100% ALGODON; TALLA L</t>
  </si>
  <si>
    <t>CAMISA:ALGODON;SOLDADOR;TALLA;XL</t>
  </si>
  <si>
    <t>CAMISA DE SEGURIDAD PARA SOLDADOR; MARCA STANCO; MATERIAL 100% ALGODON; TALLA XL</t>
  </si>
  <si>
    <t>X20</t>
  </si>
  <si>
    <t>6E91</t>
  </si>
  <si>
    <t>6ET</t>
  </si>
  <si>
    <t>Número de material antiguo
MARA-BISMT</t>
  </si>
  <si>
    <t>Punto de pedido
MARC-MINBE</t>
  </si>
  <si>
    <t>Tamaño de lote de planificación de necesidades
MARC-DISLS</t>
  </si>
  <si>
    <t>Tamaño de lote mínimo
MARC-BSTMI</t>
  </si>
  <si>
    <t>Tamaño de lote máximo
MARC-BSTMA</t>
  </si>
  <si>
    <t>Stock máximo
MARC-MABST</t>
  </si>
  <si>
    <t>Plazo de entrega previsto en días
MARC-PLIFZ</t>
  </si>
  <si>
    <t>Característica de planificación de necesidades
MARC-DISMM</t>
  </si>
  <si>
    <t>Planificador de necesidades
MARC-DISPO</t>
  </si>
  <si>
    <t>Grupo de verificación p.verificación de disponibilidad
MARC-MTVFP</t>
  </si>
  <si>
    <t>Vista_planificación</t>
  </si>
  <si>
    <t>Vista_Dat.ce/Almacenam.1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</si>
</sst>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Red]##0.000000"/>
  </numFmts>
  <fonts count="26" x14ac:knownFonts="1">
    <font>
      <sz val="11"/>
      <color theme="1"/>
      <name val="Aptos Narrow"/>
      <family val="2"/>
      <scheme val="minor"/>
    </font>
    <font>
      <sz val="11"/>
      <color theme="1"/>
      <name val="Century Gothic"/>
      <family val="2"/>
    </font>
    <font>
      <sz val="8"/>
      <color theme="1"/>
      <name val="Century Gothic"/>
      <family val="2"/>
    </font>
    <font>
      <b/>
      <sz val="8.4499999999999993"/>
      <color rgb="FF000000"/>
      <name val="Century Gothic"/>
      <family val="2"/>
    </font>
    <font>
      <b/>
      <sz val="8.4499999999999993"/>
      <color theme="5" tint="-0.249977111117893"/>
      <name val="Century Gothic"/>
      <family val="2"/>
    </font>
    <font>
      <b/>
      <sz val="8.4499999999999993"/>
      <color rgb="FF0070C0"/>
      <name val="Century Gothic"/>
      <family val="2"/>
    </font>
    <font>
      <b/>
      <sz val="9"/>
      <color indexed="81"/>
      <name val="Tahoma"/>
      <family val="2"/>
    </font>
    <font>
      <sz val="9"/>
      <color indexed="81"/>
      <name val="Tahoma"/>
      <family val="2"/>
    </font>
    <font>
      <sz val="10"/>
      <color theme="1"/>
      <name val="Arial"/>
      <family val="2"/>
    </font>
    <font>
      <b/>
      <sz val="10"/>
      <color theme="1"/>
      <name val="Arial"/>
      <family val="2"/>
    </font>
    <font>
      <sz val="11"/>
      <color theme="1"/>
      <name val="Aptos Narrow"/>
      <scheme val="minor"/>
    </font>
    <font>
      <sz val="11"/>
      <color theme="0"/>
      <name val="Aptos Narrow"/>
      <scheme val="minor"/>
    </font>
    <font>
      <sz val="11"/>
      <color rgb="FF9C0006"/>
      <name val="Aptos Narrow"/>
      <scheme val="minor"/>
    </font>
    <font>
      <b/>
      <sz val="11"/>
      <color rgb="FFFA7D00"/>
      <name val="Aptos Narrow"/>
      <scheme val="minor"/>
    </font>
    <font>
      <b/>
      <sz val="11"/>
      <color theme="0"/>
      <name val="Aptos Narrow"/>
      <scheme val="minor"/>
    </font>
    <font>
      <i/>
      <sz val="11"/>
      <color rgb="FF7F7F7F"/>
      <name val="Aptos Narrow"/>
      <scheme val="minor"/>
    </font>
    <font>
      <sz val="11"/>
      <color rgb="FF006100"/>
      <name val="Aptos Narrow"/>
      <scheme val="minor"/>
    </font>
    <font>
      <b/>
      <sz val="15"/>
      <color theme="3"/>
      <name val="Aptos Narrow"/>
      <scheme val="minor"/>
    </font>
    <font>
      <b/>
      <sz val="13"/>
      <color theme="3"/>
      <name val="Aptos Narrow"/>
      <scheme val="minor"/>
    </font>
    <font>
      <b/>
      <sz val="11"/>
      <color theme="3"/>
      <name val="Aptos Narrow"/>
      <scheme val="minor"/>
    </font>
    <font>
      <sz val="11"/>
      <color rgb="FF3F3F76"/>
      <name val="Aptos Narrow"/>
      <scheme val="minor"/>
    </font>
    <font>
      <sz val="11"/>
      <color rgb="FFFA7D00"/>
      <name val="Aptos Narrow"/>
      <scheme val="minor"/>
    </font>
    <font>
      <b/>
      <sz val="11"/>
      <color rgb="FF3F3F3F"/>
      <name val="Aptos Narrow"/>
      <scheme val="minor"/>
    </font>
    <font>
      <b/>
      <sz val="18"/>
      <color theme="3"/>
      <name val="Aptos Display"/>
      <scheme val="major"/>
    </font>
    <font>
      <sz val="11"/>
      <color rgb="FFFF0000"/>
      <name val="Aptos Narrow"/>
      <scheme val="minor"/>
    </font>
    <font>
      <b/>
      <sz val="8.4499999999999993"/>
      <color rgb="FF000000"/>
      <name val="Tahoma"/>
    </font>
  </fonts>
  <fills count="38">
    <fill>
      <patternFill patternType="none"/>
    </fill>
    <fill>
      <patternFill patternType="gray125"/>
    </fill>
    <fill>
      <patternFill patternType="solid">
        <fgColor theme="2" tint="-9.9978637043366805E-2"/>
        <bgColor indexed="64"/>
      </patternFill>
    </fill>
    <fill>
      <patternFill patternType="solid">
        <fgColor rgb="FFFFC000"/>
        <bgColor rgb="FF000000"/>
      </patternFill>
    </fill>
    <fill>
      <patternFill patternType="solid">
        <fgColor rgb="FF99CCFF"/>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FF00"/>
        <bgColor rgb="FF000000"/>
      </patternFill>
    </fill>
    <fill>
      <patternFill patternType="solid">
        <fgColor theme="4" tint="0.80001220740379042"/>
        <bgColor indexed="64"/>
      </patternFill>
    </fill>
    <fill>
      <patternFill patternType="solid">
        <fgColor theme="5" tint="0.80001220740379042"/>
        <bgColor indexed="64"/>
      </patternFill>
    </fill>
    <fill>
      <patternFill patternType="solid">
        <fgColor theme="6" tint="0.80001220740379042"/>
        <bgColor indexed="64"/>
      </patternFill>
    </fill>
    <fill>
      <patternFill patternType="solid">
        <fgColor theme="7" tint="0.80001220740379042"/>
        <bgColor indexed="64"/>
      </patternFill>
    </fill>
    <fill>
      <patternFill patternType="solid">
        <fgColor theme="8" tint="0.80001220740379042"/>
        <bgColor indexed="64"/>
      </patternFill>
    </fill>
    <fill>
      <patternFill patternType="solid">
        <fgColor theme="9" tint="0.800012207403790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40000610370189521"/>
        <bgColor indexed="64"/>
      </patternFill>
    </fill>
    <fill>
      <patternFill patternType="solid">
        <fgColor theme="5" tint="0.40000610370189521"/>
        <bgColor indexed="64"/>
      </patternFill>
    </fill>
    <fill>
      <patternFill patternType="solid">
        <fgColor theme="6" tint="0.40000610370189521"/>
        <bgColor indexed="64"/>
      </patternFill>
    </fill>
    <fill>
      <patternFill patternType="solid">
        <fgColor theme="7" tint="0.40000610370189521"/>
        <bgColor indexed="64"/>
      </patternFill>
    </fill>
    <fill>
      <patternFill patternType="solid">
        <fgColor theme="8" tint="0.40000610370189521"/>
        <bgColor indexed="64"/>
      </patternFill>
    </fill>
    <fill>
      <patternFill patternType="solid">
        <fgColor theme="9" tint="0.400006103701895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rgb="FFFFFFCC"/>
        <bgColor indexed="64"/>
      </patternFill>
    </fill>
  </fills>
  <borders count="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42">
    <xf numFmtId="0" fontId="0" fillId="0" borderId="0"/>
    <xf numFmtId="0" fontId="8" fillId="0" borderId="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2" fillId="32" borderId="0" applyNumberFormat="0" applyBorder="0" applyAlignment="0" applyProtection="0"/>
    <xf numFmtId="0" fontId="13" fillId="33" borderId="4" applyNumberFormat="0" applyAlignment="0" applyProtection="0"/>
    <xf numFmtId="0" fontId="14" fillId="34" borderId="7" applyNumberFormat="0" applyAlignment="0" applyProtection="0"/>
    <xf numFmtId="0" fontId="15" fillId="0" borderId="0" applyNumberFormat="0" applyFill="0" applyBorder="0" applyAlignment="0" applyProtection="0"/>
    <xf numFmtId="0" fontId="16" fillId="35" borderId="0" applyNumberFormat="0" applyBorder="0" applyAlignment="0" applyProtection="0"/>
    <xf numFmtId="0" fontId="17" fillId="0" borderId="1" applyNumberFormat="0" applyFill="0" applyAlignment="0" applyProtection="0"/>
    <xf numFmtId="0" fontId="18" fillId="0" borderId="2" applyNumberFormat="0" applyFill="0" applyAlignment="0" applyProtection="0"/>
    <xf numFmtId="0" fontId="19" fillId="0" borderId="3" applyNumberFormat="0" applyFill="0" applyAlignment="0" applyProtection="0"/>
    <xf numFmtId="0" fontId="19" fillId="0" borderId="0" applyNumberFormat="0" applyFill="0" applyBorder="0" applyAlignment="0" applyProtection="0"/>
    <xf numFmtId="0" fontId="20" fillId="36" borderId="4" applyNumberFormat="0" applyAlignment="0" applyProtection="0"/>
    <xf numFmtId="0" fontId="21" fillId="0" borderId="6" applyNumberFormat="0" applyFill="0" applyAlignment="0" applyProtection="0"/>
    <xf numFmtId="0" fontId="10" fillId="0" borderId="0"/>
    <xf numFmtId="0" fontId="10" fillId="37" borderId="8" applyNumberFormat="0" applyFont="0" applyAlignment="0" applyProtection="0"/>
    <xf numFmtId="0" fontId="22" fillId="33" borderId="5" applyNumberFormat="0" applyAlignment="0" applyProtection="0"/>
    <xf numFmtId="0" fontId="23" fillId="0" borderId="0" applyNumberFormat="0" applyFill="0" applyBorder="0" applyAlignment="0" applyProtection="0"/>
    <xf numFmtId="0" fontId="24" fillId="0" borderId="0" applyNumberFormat="0" applyFill="0" applyBorder="0" applyAlignment="0" applyProtection="0"/>
  </cellStyleXfs>
  <cellXfs count="29">
    <xf numFmtId="0" fontId="0" fillId="0" borderId="0" xfId="0"/>
    <xf numFmtId="0" fontId="2" fillId="2" borderId="0" xfId="0" applyFont="1" applyFill="1" applyAlignment="1">
      <alignment horizontal="center" vertical="center"/>
    </xf>
    <xf numFmtId="0" fontId="1" fillId="2" borderId="0" xfId="0" applyFont="1" applyFill="1" applyAlignment="1">
      <alignment horizontal="center" vertical="center"/>
    </xf>
    <xf numFmtId="0" fontId="3" fillId="3" borderId="0" xfId="0" applyFont="1" applyFill="1" applyAlignment="1">
      <alignment horizontal="center" vertical="center" wrapText="1"/>
    </xf>
    <xf numFmtId="0" fontId="3" fillId="4" borderId="0" xfId="0" applyFont="1" applyFill="1" applyAlignment="1">
      <alignment horizontal="center" vertical="center" wrapText="1"/>
    </xf>
    <xf numFmtId="0" fontId="1" fillId="0" borderId="0" xfId="0" applyFont="1"/>
    <xf numFmtId="0" fontId="8" fillId="0" borderId="0" xfId="1"/>
    <xf numFmtId="3" fontId="8" fillId="0" borderId="0" xfId="1" applyNumberFormat="1" applyAlignment="1">
      <alignment horizontal="right"/>
    </xf>
    <xf numFmtId="0" fontId="8" fillId="0" borderId="0" xfId="1" applyAlignment="1">
      <alignment wrapText="1"/>
    </xf>
    <xf numFmtId="164" fontId="8" fillId="0" borderId="0" xfId="1" applyNumberFormat="1"/>
    <xf numFmtId="0" fontId="8" fillId="5" borderId="0" xfId="1" applyFill="1"/>
    <xf numFmtId="0" fontId="9" fillId="0" borderId="0" xfId="1" applyFont="1"/>
    <xf numFmtId="0" fontId="9" fillId="5" borderId="0" xfId="1" applyFont="1" applyFill="1"/>
    <xf numFmtId="0" fontId="1" fillId="0" borderId="0" xfId="0" applyFont="1" applyAlignment="1">
      <alignment horizontal="center"/>
    </xf>
    <xf numFmtId="0" fontId="1" fillId="0" borderId="0" xfId="0" applyFont="1" applyAlignment="1" applyProtection="1">
      <alignment horizontal="center"/>
      <protection hidden="1"/>
    </xf>
    <xf numFmtId="0" fontId="3" fillId="6" borderId="0" xfId="0" applyFont="1" applyFill="1" applyAlignment="1">
      <alignment horizontal="center" vertical="center" wrapText="1"/>
    </xf>
    <xf numFmtId="0" fontId="3" fillId="7" borderId="0" xfId="0" applyFont="1" applyFill="1" applyAlignment="1">
      <alignment horizontal="center" vertical="center" wrapText="1"/>
    </xf>
    <xf numFmtId="0" fontId="0" fillId="0" borderId="0" xfId="0" applyAlignment="1">
      <alignment wrapText="1"/>
    </xf>
    <xf numFmtId="164" fontId="8" fillId="0" borderId="0" xfId="1" quotePrefix="1" applyNumberFormat="1"/>
    <xf numFmtId="0" fontId="1" fillId="6" borderId="0" xfId="0" applyFont="1" applyFill="1" applyAlignment="1">
      <alignment horizontal="center"/>
    </xf>
    <xf numFmtId="49" fontId="9" fillId="0" borderId="0" xfId="1" applyNumberFormat="1" applyFont="1"/>
    <xf numFmtId="49" fontId="8" fillId="0" borderId="0" xfId="1" applyNumberFormat="1"/>
    <xf numFmtId="49" fontId="8" fillId="0" borderId="0" xfId="1" applyNumberFormat="1" applyAlignment="1">
      <alignment wrapText="1"/>
    </xf>
    <xf numFmtId="49" fontId="8" fillId="0" borderId="0" xfId="1" quotePrefix="1" applyNumberFormat="1"/>
    <xf numFmtId="49" fontId="0" fillId="0" borderId="0" xfId="0" quotePrefix="1" applyNumberFormat="1"/>
    <xf numFmtId="0" fontId="1" fillId="0" borderId="0" xfId="0" quotePrefix="1" applyFont="1" applyAlignment="1">
      <alignment horizontal="center"/>
    </xf>
    <xf numFmtId="0" fontId="25" fillId="4" borderId="0" xfId="37" applyFont="1" applyFill="1" applyAlignment="1">
      <alignment horizontal="center" vertical="top" wrapText="1"/>
    </xf>
    <xf numFmtId="0" fontId="1" fillId="0" borderId="0" xfId="37" applyFont="1" applyAlignment="1">
      <alignment horizontal="center"/>
    </xf>
    <xf numFmtId="0" fontId="10" fillId="0" borderId="0" xfId="37"/>
  </cellXfs>
  <cellStyles count="42">
    <cellStyle name="20% - Accent1" xfId="2" xr:uid="{173D136D-D531-490C-AE95-70C1B13110DF}"/>
    <cellStyle name="20% - Accent2" xfId="3" xr:uid="{5D66F2E0-E440-4A1F-A3BB-6351C135BA62}"/>
    <cellStyle name="20% - Accent3" xfId="4" xr:uid="{228BD9EC-6BC2-4F8E-A7DF-24215B34D1E2}"/>
    <cellStyle name="20% - Accent4" xfId="5" xr:uid="{C9BF11C1-1F9A-493D-B411-8A56A108E2C4}"/>
    <cellStyle name="20% - Accent5" xfId="6" xr:uid="{D51EDC3C-4C44-492D-B3F2-6F4C8F65C8E3}"/>
    <cellStyle name="20% - Accent6" xfId="7" xr:uid="{486EA876-EBCC-4857-8949-766F1298B21B}"/>
    <cellStyle name="40% - Accent1" xfId="8" xr:uid="{8542ED50-5BCB-4A06-B378-23F58F3C2892}"/>
    <cellStyle name="40% - Accent2" xfId="9" xr:uid="{27035FA8-20CE-4AEB-B776-032404D4D005}"/>
    <cellStyle name="40% - Accent3" xfId="10" xr:uid="{8DC140FB-6933-4F6C-9E97-1E1FB473A129}"/>
    <cellStyle name="40% - Accent4" xfId="11" xr:uid="{23F2E541-F6E2-4DB0-A882-EE529CAB7AB8}"/>
    <cellStyle name="40% - Accent5" xfId="12" xr:uid="{94A958C3-84D3-4273-A3EE-749BE4F4E6CF}"/>
    <cellStyle name="40% - Accent6" xfId="13" xr:uid="{B4C43F5F-266F-4623-B8D2-D16AD5F7B66C}"/>
    <cellStyle name="60% - Accent1" xfId="14" xr:uid="{8BAD8097-E54C-4980-8EED-E003E343699C}"/>
    <cellStyle name="60% - Accent2" xfId="15" xr:uid="{7AF699E4-F41D-4B42-81D1-630C1D250A29}"/>
    <cellStyle name="60% - Accent3" xfId="16" xr:uid="{8CFEB4B0-20B1-46DA-BA90-AF20C929E260}"/>
    <cellStyle name="60% - Accent4" xfId="17" xr:uid="{3BDF14F1-857B-4D30-8865-20ED59E49B7B}"/>
    <cellStyle name="60% - Accent5" xfId="18" xr:uid="{31E84B7B-23A3-4C48-ABBC-54CE3C97A27D}"/>
    <cellStyle name="60% - Accent6" xfId="19" xr:uid="{D9F8903B-FDB3-46D4-98FA-CBF2457B62E8}"/>
    <cellStyle name="Accent1" xfId="20" xr:uid="{B026560F-E3AF-48C5-A558-B9811AB61D59}"/>
    <cellStyle name="Accent2" xfId="21" xr:uid="{C5208949-DF60-476B-9D4C-DBD0709E3522}"/>
    <cellStyle name="Accent3" xfId="22" xr:uid="{EAAE7FCB-FA7E-4128-9488-19E732844105}"/>
    <cellStyle name="Accent4" xfId="23" xr:uid="{F90C3DB3-07CA-4DA7-BEF5-8905676B8241}"/>
    <cellStyle name="Accent5" xfId="24" xr:uid="{726D9803-0287-43A7-91B3-DF76F65D8336}"/>
    <cellStyle name="Accent6" xfId="25" xr:uid="{E444366F-5B7E-45C1-941E-5FD2A4F4443A}"/>
    <cellStyle name="Bad" xfId="26" xr:uid="{41136849-DDAD-4531-A0AC-A3A8E1930ACB}"/>
    <cellStyle name="Calculation" xfId="27" xr:uid="{00E1BFB3-057A-4A8E-8756-B4F615996674}"/>
    <cellStyle name="Check Cell" xfId="28" xr:uid="{BE70B57E-C5D3-4DB2-9042-4C773798CF1D}"/>
    <cellStyle name="Explanatory Text" xfId="29" xr:uid="{942C73E1-04E6-4718-9784-097287A06958}"/>
    <cellStyle name="Good" xfId="30" xr:uid="{FC0FE1EE-D52A-448D-BB60-FA80CD8844BC}"/>
    <cellStyle name="Heading 1" xfId="31" xr:uid="{AD86893B-BE0B-4DCA-972C-71C1A78FCC19}"/>
    <cellStyle name="Heading 2" xfId="32" xr:uid="{8D971CD0-E248-4325-AD04-2DDC48ED23BD}"/>
    <cellStyle name="Heading 3" xfId="33" xr:uid="{BA3E4426-D0FA-4D96-97F2-78097A9C5FF3}"/>
    <cellStyle name="Heading 4" xfId="34" xr:uid="{9AE09A82-5C7E-49DE-8053-3AF1E6FF3D9D}"/>
    <cellStyle name="Input" xfId="35" xr:uid="{64BAFA2D-708E-4359-B780-EBD23F04D215}"/>
    <cellStyle name="Linked Cell" xfId="36" xr:uid="{AFBEB13C-B558-46BE-AF6D-16F2DF53B863}"/>
    <cellStyle name="Normal" xfId="0" builtinId="0"/>
    <cellStyle name="Normal 2" xfId="1" xr:uid="{EE635BB9-331B-4445-A9E3-F84587279B9D}"/>
    <cellStyle name="Normal_Plantilla" xfId="37" xr:uid="{2B2AF616-C6F4-4F9C-B71A-44FBEEEA4460}"/>
    <cellStyle name="Note" xfId="38" xr:uid="{0AC1327E-38EC-4851-9A07-5810C30E38D3}"/>
    <cellStyle name="Output" xfId="39" xr:uid="{F6401D20-B46B-42E3-AC34-4E45D028C78F}"/>
    <cellStyle name="Title" xfId="40" xr:uid="{12ADE64E-F81B-4BE5-B01A-A5B7F713FAC9}"/>
    <cellStyle name="Warning Text" xfId="41" xr:uid="{D79E4184-4DCE-43D7-AEB7-94E18ADC36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2.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0</xdr:colOff>
      <xdr:row>5</xdr:row>
      <xdr:rowOff>15241</xdr:rowOff>
    </xdr:to>
    <xdr:pic macro="[1]!BackToMenu">
      <xdr:nvPicPr>
        <xdr:cNvPr id="2" name="Gráfico 1" descr="Círculo con flecha a la izquierda con relleno sólido">
          <a:extLst>
            <a:ext uri="{FF2B5EF4-FFF2-40B4-BE49-F238E27FC236}">
              <a16:creationId xmlns:a16="http://schemas.microsoft.com/office/drawing/2014/main" id="{48946765-3C7E-48EA-8FF0-F65BAA3CF70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0" cy="13763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teams/DatosMaestrosyFA/Documentos%20compartidos/General/DM%20Materiales/PLANTILLA%20CONSOLIDADA/PLANTILLA_MATERIALES_USUARIO_CSI.xlsm" TargetMode="External"/><Relationship Id="rId2" Type="http://schemas.openxmlformats.org/officeDocument/2006/relationships/externalLinkPath" Target="https://portalcmi.sharepoint.com/teams/DatosMaestrosyFA/Documentos%20compartidos/General/DM%20Materiales/PLANTILLA%20CONSOLIDADA/PLANTILLA_MATERIALES_USUARIO_CSI.xlsm" TargetMode="External"/><Relationship Id="rId1" Type="http://schemas.openxmlformats.org/officeDocument/2006/relationships/externalLinkPath" Target="/teams/DatosMaestrosyFA/Documentos%20compartidos/General/DM%20Materiales/PLANTILLA%20CONSOLIDADA/PLANTILLA_MATERIALES_USUARIO_CSI.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personal/maria_chuy_somoscmi_com/Documents/Documentos/Copia%20de%20PLANTILLA%20-%20IP-%20GT-%20Inventario%20nuevo.xlsx" TargetMode="External"/><Relationship Id="rId2" Type="http://schemas.openxmlformats.org/officeDocument/2006/relationships/externalLinkPath" Target="https://portalcmi-my.sharepoint.com/personal/maria_chuy_somoscmi_com/Documents/Documentos/Copia%20de%20PLANTILLA%20-%20IP-%20GT-%20Inventario%20nuevo.xlsx" TargetMode="External"/><Relationship Id="rId1" Type="http://schemas.openxmlformats.org/officeDocument/2006/relationships/externalLinkPath" Target="/personal/maria_chuy_somoscmi_com/Documents/Documentos/Copia%20de%20PLANTILLA%20-%20IP-%20GT-%20Inventario%20nuev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ENU"/>
      <sheetName val="CRE_MM"/>
      <sheetName val="CRE_DRCA"/>
      <sheetName val="AMP_DRCA"/>
      <sheetName val="VENTAS_DRCA"/>
      <sheetName val="MOD_DRCA"/>
      <sheetName val="UMA_DRCA"/>
      <sheetName val="CRE_SC"/>
      <sheetName val="AMP_SC"/>
      <sheetName val="VENTAS_SC"/>
      <sheetName val="MOD_SC"/>
      <sheetName val="GAccount"/>
      <sheetName val="DATA_CUSA"/>
      <sheetName val="VC_CUSA"/>
      <sheetName val="CRE_401"/>
      <sheetName val="AMP_401"/>
      <sheetName val="CRE_DEN"/>
      <sheetName val="AMP_DEN"/>
      <sheetName val="VENTAS_DEN"/>
      <sheetName val="CRE_CUSA"/>
      <sheetName val="EXP_CUSA"/>
      <sheetName val="MOD_CUSA"/>
      <sheetName val="CRE_406"/>
      <sheetName val="AMP_406"/>
      <sheetName val="CAMPOS406"/>
      <sheetName val="MOD_406"/>
      <sheetName val="TMAT"/>
      <sheetName val="UM"/>
      <sheetName val="ID_IMPUESTO"/>
      <sheetName val="Vista_contabilidad_DEN"/>
      <sheetName val="PLANTILLA_MATERIALES_USUARIO_CS"/>
    </sheetNames>
    <definedNames>
      <definedName name="BackToMenu"/>
    </definedNames>
    <sheetDataSet>
      <sheetData sheetId="0"/>
      <sheetData sheetId="1"/>
      <sheetData sheetId="2"/>
      <sheetData sheetId="3"/>
      <sheetData sheetId="4"/>
      <sheetData sheetId="5"/>
      <sheetData sheetId="6"/>
      <sheetData sheetId="7"/>
      <sheetData sheetId="8"/>
      <sheetData sheetId="9"/>
      <sheetData sheetId="10"/>
      <sheetData sheetId="11"/>
      <sheetData sheetId="12">
        <row r="3">
          <cell r="A3">
            <v>1</v>
          </cell>
          <cell r="C3" t="str">
            <v>ZEMP_Packaging_Materials</v>
          </cell>
          <cell r="E3" t="str">
            <v xml:space="preserve">%   - Percentage                    </v>
          </cell>
        </row>
        <row r="4">
          <cell r="C4" t="str">
            <v>ZSUM_Supplies</v>
          </cell>
          <cell r="E4" t="str">
            <v xml:space="preserve">%O  - Per mille                     </v>
          </cell>
        </row>
        <row r="5">
          <cell r="C5" t="str">
            <v>ZPOP_POP_Material</v>
          </cell>
          <cell r="E5" t="str">
            <v xml:space="preserve">1 - One                           </v>
          </cell>
        </row>
        <row r="6">
          <cell r="C6" t="str">
            <v>ZSEG_Safety_Material</v>
          </cell>
          <cell r="E6" t="str">
            <v xml:space="preserve">10 - Days                          </v>
          </cell>
        </row>
        <row r="7">
          <cell r="C7" t="str">
            <v>ZUTS_Restaurant_utensils</v>
          </cell>
          <cell r="E7" t="str">
            <v xml:space="preserve">22S - Square millimeter/second      </v>
          </cell>
        </row>
        <row r="8">
          <cell r="C8" t="str">
            <v>ZREP_Spare_Parts</v>
          </cell>
          <cell r="E8" t="str">
            <v xml:space="preserve">2M  - Centimeter/second             </v>
          </cell>
        </row>
        <row r="9">
          <cell r="C9" t="str">
            <v>DIEN_Services</v>
          </cell>
          <cell r="E9" t="str">
            <v xml:space="preserve">2X  - Meter/Minute                  </v>
          </cell>
        </row>
        <row r="10">
          <cell r="E10" t="str">
            <v xml:space="preserve">4G  - Microliter                    </v>
          </cell>
        </row>
        <row r="11">
          <cell r="E11" t="str">
            <v xml:space="preserve">4O  - Microfarad                    </v>
          </cell>
        </row>
        <row r="12">
          <cell r="E12" t="str">
            <v xml:space="preserve">4T  - Pikofarad                     </v>
          </cell>
        </row>
        <row r="13">
          <cell r="E13" t="str">
            <v xml:space="preserve">A   - Ampere                        </v>
          </cell>
        </row>
        <row r="14">
          <cell r="E14" t="str">
            <v xml:space="preserve">A00 - Case/24 EA                    </v>
          </cell>
        </row>
        <row r="15">
          <cell r="E15" t="str">
            <v xml:space="preserve">A01 - Lb                            </v>
          </cell>
        </row>
        <row r="16">
          <cell r="E16" t="str">
            <v xml:space="preserve">A02 - Case/96 EA                    </v>
          </cell>
        </row>
        <row r="17">
          <cell r="E17" t="str">
            <v xml:space="preserve">A03 - Case/6 Half Gal               </v>
          </cell>
        </row>
        <row r="18">
          <cell r="E18" t="str">
            <v xml:space="preserve">A06 - Fl Oz                         </v>
          </cell>
        </row>
        <row r="19">
          <cell r="E19" t="str">
            <v xml:space="preserve">A08 - Case/25 Lb                    </v>
          </cell>
        </row>
        <row r="20">
          <cell r="E20" t="str">
            <v xml:space="preserve">A09 - Case/5 Gal                    </v>
          </cell>
        </row>
        <row r="21">
          <cell r="E21" t="str">
            <v xml:space="preserve">A11 - Case/30 Lb                    </v>
          </cell>
        </row>
        <row r="22">
          <cell r="E22" t="str">
            <v xml:space="preserve">A12 - Bag/4 Lb                      </v>
          </cell>
        </row>
        <row r="23">
          <cell r="E23" t="str">
            <v xml:space="preserve">A13 - Case/32 Lb                    </v>
          </cell>
        </row>
        <row r="24">
          <cell r="E24" t="str">
            <v xml:space="preserve">A14 - Case/20 Lb                    </v>
          </cell>
        </row>
        <row r="25">
          <cell r="E25" t="str">
            <v xml:space="preserve">A15 - Bag/10 Lb                     </v>
          </cell>
        </row>
        <row r="26">
          <cell r="E26" t="str">
            <v xml:space="preserve">A16 - Bag/50 Lb                     </v>
          </cell>
        </row>
        <row r="27">
          <cell r="E27" t="str">
            <v xml:space="preserve">A17 - Bag/5 Lb                      </v>
          </cell>
        </row>
        <row r="28">
          <cell r="E28" t="str">
            <v xml:space="preserve">A18 - Bag/1.8 Lb                    </v>
          </cell>
        </row>
        <row r="29">
          <cell r="E29" t="str">
            <v xml:space="preserve">A19 - Case/10 Bag                   </v>
          </cell>
        </row>
        <row r="30">
          <cell r="E30" t="str">
            <v xml:space="preserve">A20 - Cont/1 Lb                     </v>
          </cell>
        </row>
        <row r="31">
          <cell r="E31" t="str">
            <v xml:space="preserve">A21 - Case/6 EA                     </v>
          </cell>
        </row>
        <row r="32">
          <cell r="E32" t="str">
            <v xml:space="preserve">A22 - Case/6 Cont                   </v>
          </cell>
        </row>
        <row r="33">
          <cell r="E33" t="str">
            <v xml:space="preserve">A23 - Case/12 Can                   </v>
          </cell>
        </row>
        <row r="34">
          <cell r="E34" t="str">
            <v xml:space="preserve">A24 - Can                           </v>
          </cell>
        </row>
        <row r="35">
          <cell r="E35" t="str">
            <v xml:space="preserve">A25 - Can/7 Oz                      </v>
          </cell>
        </row>
        <row r="36">
          <cell r="E36" t="str">
            <v xml:space="preserve">A26 - Can/12 Oz                     </v>
          </cell>
        </row>
        <row r="37">
          <cell r="E37" t="str">
            <v xml:space="preserve">A27 - Case 12/12 Oz                 </v>
          </cell>
        </row>
        <row r="38">
          <cell r="E38" t="str">
            <v xml:space="preserve">A28 - Case 12/7 Oz                  </v>
          </cell>
        </row>
        <row r="39">
          <cell r="E39" t="str">
            <v xml:space="preserve">A29 - Bag/1 Lb                      </v>
          </cell>
        </row>
        <row r="40">
          <cell r="E40" t="str">
            <v xml:space="preserve">A30 - Case 6/32 Oz                  </v>
          </cell>
        </row>
        <row r="41">
          <cell r="E41" t="str">
            <v xml:space="preserve">A31 - Can/32 Oz                     </v>
          </cell>
        </row>
        <row r="42">
          <cell r="E42" t="str">
            <v xml:space="preserve">A32 - Bag/192 Oz                    </v>
          </cell>
        </row>
        <row r="43">
          <cell r="E43" t="str">
            <v xml:space="preserve">A33 - Case/2 Bag                    </v>
          </cell>
        </row>
        <row r="44">
          <cell r="E44" t="str">
            <v xml:space="preserve">A34 - Case/1000 EA                  </v>
          </cell>
        </row>
        <row r="45">
          <cell r="E45" t="str">
            <v xml:space="preserve">A35 - Case/28 Lb                    </v>
          </cell>
        </row>
        <row r="46">
          <cell r="E46" t="str">
            <v xml:space="preserve">A36 - Case/4 Gal                    </v>
          </cell>
        </row>
        <row r="47">
          <cell r="E47" t="str">
            <v xml:space="preserve">A37 - Bag/7 Oz                      </v>
          </cell>
        </row>
        <row r="48">
          <cell r="E48" t="str">
            <v xml:space="preserve">A38 - Cont/105 Oz                   </v>
          </cell>
        </row>
        <row r="49">
          <cell r="E49" t="str">
            <v xml:space="preserve">A39 - Case/4 Cont                   </v>
          </cell>
        </row>
        <row r="50">
          <cell r="E50" t="str">
            <v xml:space="preserve">A40 - Bag/96 Oz                     </v>
          </cell>
        </row>
        <row r="51">
          <cell r="E51" t="str">
            <v xml:space="preserve">A41 - Case/6 Bag                    </v>
          </cell>
        </row>
        <row r="52">
          <cell r="E52" t="str">
            <v xml:space="preserve">A42 - Can #10                       </v>
          </cell>
        </row>
        <row r="53">
          <cell r="E53" t="str">
            <v xml:space="preserve">A43 - Case/6 Can                    </v>
          </cell>
        </row>
        <row r="54">
          <cell r="E54" t="str">
            <v xml:space="preserve">A44 - Case/12 EA                    </v>
          </cell>
        </row>
        <row r="55">
          <cell r="E55" t="str">
            <v xml:space="preserve">A45 - Case 8/5 Lb                   </v>
          </cell>
        </row>
        <row r="56">
          <cell r="E56" t="str">
            <v xml:space="preserve">A46 - Case/6000 EA                  </v>
          </cell>
        </row>
        <row r="57">
          <cell r="E57" t="str">
            <v xml:space="preserve">A47 - Bag/1000 EA                   </v>
          </cell>
        </row>
        <row r="58">
          <cell r="E58" t="str">
            <v xml:space="preserve">A48 - Bag/25 Lb                     </v>
          </cell>
        </row>
        <row r="59">
          <cell r="E59" t="str">
            <v xml:space="preserve">A49 - Case/4.4 Gal                  </v>
          </cell>
        </row>
        <row r="60">
          <cell r="E60" t="str">
            <v xml:space="preserve">A50 - Bot/18 Oz                     </v>
          </cell>
        </row>
        <row r="61">
          <cell r="E61" t="str">
            <v xml:space="preserve">A51 - Case 6/14 Oz                  </v>
          </cell>
        </row>
        <row r="62">
          <cell r="E62" t="str">
            <v xml:space="preserve">A52 - Bot/14 Oz                     </v>
          </cell>
        </row>
        <row r="63">
          <cell r="E63" t="str">
            <v xml:space="preserve">A53 - Bot/40 Oz                     </v>
          </cell>
        </row>
        <row r="64">
          <cell r="E64" t="str">
            <v xml:space="preserve">A54 - Case/5.5 Lb                   </v>
          </cell>
        </row>
        <row r="65">
          <cell r="E65" t="str">
            <v xml:space="preserve">A55 - Bot/13 Oz                     </v>
          </cell>
        </row>
        <row r="66">
          <cell r="E66" t="str">
            <v xml:space="preserve">A56 - Case/3000 EA                  </v>
          </cell>
        </row>
        <row r="67">
          <cell r="E67" t="str">
            <v xml:space="preserve">A57 - Bag/100 EA                    </v>
          </cell>
        </row>
        <row r="68">
          <cell r="E68" t="str">
            <v xml:space="preserve">A58 - Bag/12 EA                     </v>
          </cell>
        </row>
        <row r="69">
          <cell r="E69" t="str">
            <v xml:space="preserve">A59 - Case 4/5 Lb                   </v>
          </cell>
        </row>
        <row r="70">
          <cell r="E70" t="str">
            <v xml:space="preserve">A60 - Case/10 Lb                    </v>
          </cell>
        </row>
        <row r="71">
          <cell r="E71" t="str">
            <v xml:space="preserve">A61 - Case 2/5 Lb                   </v>
          </cell>
        </row>
        <row r="72">
          <cell r="E72" t="str">
            <v xml:space="preserve">A62 - Cont/5 Lb                     </v>
          </cell>
        </row>
        <row r="73">
          <cell r="E73" t="str">
            <v xml:space="preserve">A63 - Case/75 EA                    </v>
          </cell>
        </row>
        <row r="74">
          <cell r="E74" t="str">
            <v xml:space="preserve">A64 - Case/32 EA                    </v>
          </cell>
        </row>
        <row r="75">
          <cell r="E75" t="str">
            <v xml:space="preserve">A65 - Case/27 Lb                    </v>
          </cell>
        </row>
        <row r="76">
          <cell r="E76" t="str">
            <v xml:space="preserve">A66 - Bag/4.5 Lb                    </v>
          </cell>
        </row>
        <row r="77">
          <cell r="E77" t="str">
            <v xml:space="preserve">A67 - Case 6/4.5 Lb                 </v>
          </cell>
        </row>
        <row r="78">
          <cell r="E78" t="str">
            <v xml:space="preserve">A68 - Case/24 Lb                    </v>
          </cell>
        </row>
        <row r="79">
          <cell r="E79" t="str">
            <v xml:space="preserve">A69 - Bag/6 Lb                      </v>
          </cell>
        </row>
        <row r="80">
          <cell r="E80" t="str">
            <v xml:space="preserve">A70 - Case 4/6 Lb                   </v>
          </cell>
        </row>
        <row r="81">
          <cell r="E81" t="str">
            <v xml:space="preserve">A71 - Case 20/1 Lb                  </v>
          </cell>
        </row>
        <row r="82">
          <cell r="E82" t="str">
            <v xml:space="preserve">A72 - Case/500 EA                   </v>
          </cell>
        </row>
        <row r="83">
          <cell r="E83" t="str">
            <v xml:space="preserve">A73 - Case/2000 EA                  </v>
          </cell>
        </row>
        <row r="84">
          <cell r="E84" t="str">
            <v xml:space="preserve">A74 - Case/250 EA                   </v>
          </cell>
        </row>
        <row r="85">
          <cell r="E85" t="str">
            <v xml:space="preserve">A75 - Case/125 EA                   </v>
          </cell>
        </row>
        <row r="86">
          <cell r="E86" t="str">
            <v xml:space="preserve">A76 - Case/120 EA                   </v>
          </cell>
        </row>
        <row r="87">
          <cell r="E87" t="str">
            <v xml:space="preserve">A77 - Case/300 EA                   </v>
          </cell>
        </row>
        <row r="88">
          <cell r="E88" t="str">
            <v xml:space="preserve">A78 - Case/200 EA                   </v>
          </cell>
        </row>
        <row r="89">
          <cell r="E89" t="str">
            <v xml:space="preserve">A79 - Sleeve/50 EA                  </v>
          </cell>
        </row>
        <row r="90">
          <cell r="E90" t="str">
            <v xml:space="preserve">A80 - Case/750 EA                   </v>
          </cell>
        </row>
        <row r="91">
          <cell r="E91" t="str">
            <v xml:space="preserve">A81 - Case/2500 EA                  </v>
          </cell>
        </row>
        <row r="92">
          <cell r="E92" t="str">
            <v xml:space="preserve">A82 - Sleeve/250 EA                 </v>
          </cell>
        </row>
        <row r="93">
          <cell r="E93" t="str">
            <v xml:space="preserve">A83 - Case/80 EA                    </v>
          </cell>
        </row>
        <row r="94">
          <cell r="E94" t="str">
            <v xml:space="preserve">A84 - Case/100 EA                   </v>
          </cell>
        </row>
        <row r="95">
          <cell r="E95" t="str">
            <v xml:space="preserve">A85 - Sleeve/100 EA                 </v>
          </cell>
        </row>
        <row r="96">
          <cell r="E96" t="str">
            <v xml:space="preserve">A86 - Case/1200 EA                  </v>
          </cell>
        </row>
        <row r="97">
          <cell r="E97" t="str">
            <v xml:space="preserve">A87 - Gigaohm                       </v>
          </cell>
        </row>
        <row r="98">
          <cell r="E98" t="str">
            <v xml:space="preserve">A88 - Case/2400 EA                  </v>
          </cell>
        </row>
        <row r="99">
          <cell r="E99" t="str">
            <v xml:space="preserve">A89 - Bag/500 EA                    </v>
          </cell>
        </row>
        <row r="100">
          <cell r="E100" t="str">
            <v xml:space="preserve">A90 - Case/40 EA                    </v>
          </cell>
        </row>
        <row r="101">
          <cell r="E101" t="str">
            <v xml:space="preserve">A91 - Pack/100 EA                   </v>
          </cell>
        </row>
        <row r="102">
          <cell r="E102" t="str">
            <v xml:space="preserve">A92 - Pack/1000 EA                  </v>
          </cell>
        </row>
        <row r="103">
          <cell r="E103" t="str">
            <v xml:space="preserve">A93 - Gram/Cubic meter              </v>
          </cell>
        </row>
        <row r="104">
          <cell r="E104" t="str">
            <v xml:space="preserve">A94 - Case 2/10 Lb                  </v>
          </cell>
        </row>
        <row r="105">
          <cell r="E105" t="str">
            <v xml:space="preserve">A95 - Case/128 Pz                   </v>
          </cell>
        </row>
        <row r="106">
          <cell r="E106" t="str">
            <v xml:space="preserve">A96 - Pz                            </v>
          </cell>
        </row>
        <row r="107">
          <cell r="E107" t="str">
            <v xml:space="preserve">A97 - Case/40 Lb                    </v>
          </cell>
        </row>
        <row r="108">
          <cell r="E108" t="str">
            <v xml:space="preserve">A98 - Case 4/10 Lb                  </v>
          </cell>
        </row>
        <row r="109">
          <cell r="E109" t="str">
            <v xml:space="preserve">A99 - Qtr                           </v>
          </cell>
        </row>
        <row r="110">
          <cell r="E110" t="str">
            <v xml:space="preserve">ACR - Acre                          </v>
          </cell>
        </row>
        <row r="111">
          <cell r="E111" t="str">
            <v xml:space="preserve">B01 - Case/56 Qtr                   </v>
          </cell>
        </row>
        <row r="112">
          <cell r="E112" t="str">
            <v xml:space="preserve">B02 - Bag/8 Qtr                     </v>
          </cell>
        </row>
        <row r="113">
          <cell r="E113" t="str">
            <v xml:space="preserve">B03 - Strip                         </v>
          </cell>
        </row>
        <row r="114">
          <cell r="E114" t="str">
            <v xml:space="preserve">B04 - Case/50 Lb                    </v>
          </cell>
        </row>
        <row r="115">
          <cell r="E115" t="str">
            <v xml:space="preserve">B05 - Ct                            </v>
          </cell>
        </row>
        <row r="116">
          <cell r="E116" t="str">
            <v xml:space="preserve">B06 - Case/30 Ct                    </v>
          </cell>
        </row>
        <row r="117">
          <cell r="E117" t="str">
            <v xml:space="preserve">B07 - Case/15 Lb                    </v>
          </cell>
        </row>
        <row r="118">
          <cell r="E118" t="str">
            <v xml:space="preserve">B08 - Case/400 EA                   </v>
          </cell>
        </row>
        <row r="119">
          <cell r="E119" t="str">
            <v xml:space="preserve">B09 - Case/144 EA                   </v>
          </cell>
        </row>
        <row r="120">
          <cell r="E120" t="str">
            <v xml:space="preserve">B10 - Case 10/144 EA                </v>
          </cell>
        </row>
        <row r="121">
          <cell r="E121" t="str">
            <v xml:space="preserve">B11 - Case/50 EA                    </v>
          </cell>
        </row>
        <row r="122">
          <cell r="E122" t="str">
            <v xml:space="preserve">B12 - Batch/10 Lb                   </v>
          </cell>
        </row>
        <row r="123">
          <cell r="E123" t="str">
            <v xml:space="preserve">B13 - Batch/5 Lb                    </v>
          </cell>
        </row>
        <row r="124">
          <cell r="E124" t="str">
            <v xml:space="preserve">B14 - Portion                       </v>
          </cell>
        </row>
        <row r="125">
          <cell r="E125" t="str">
            <v xml:space="preserve">B16 - Pack/2 EA                     </v>
          </cell>
        </row>
        <row r="126">
          <cell r="E126" t="str">
            <v xml:space="preserve">B17 - Wedge                         </v>
          </cell>
        </row>
        <row r="127">
          <cell r="E127" t="str">
            <v xml:space="preserve">B18 - Case/2 Lb                     </v>
          </cell>
        </row>
        <row r="128">
          <cell r="E128" t="str">
            <v xml:space="preserve">B20 - Case/150 EA                   </v>
          </cell>
        </row>
        <row r="129">
          <cell r="E129" t="str">
            <v xml:space="preserve">B21 - Case/26 EA                    </v>
          </cell>
        </row>
        <row r="130">
          <cell r="E130" t="str">
            <v xml:space="preserve">B22 - Tray/32 EA                    </v>
          </cell>
        </row>
        <row r="131">
          <cell r="E131" t="str">
            <v xml:space="preserve">B23 - Tray/16 Pz                    </v>
          </cell>
        </row>
        <row r="132">
          <cell r="E132" t="str">
            <v xml:space="preserve">B24 - Rack/16 Pz                    </v>
          </cell>
        </row>
        <row r="133">
          <cell r="E133" t="str">
            <v xml:space="preserve">B25 - Bot/20 Oz                     </v>
          </cell>
        </row>
        <row r="134">
          <cell r="E134" t="str">
            <v xml:space="preserve">B26 - Case/6 Lb                     </v>
          </cell>
        </row>
        <row r="135">
          <cell r="E135" t="str">
            <v xml:space="preserve">B27 - Case 8/1.5 Lb                 </v>
          </cell>
        </row>
        <row r="136">
          <cell r="E136" t="str">
            <v xml:space="preserve">B28 - Case 2/25 Lb                  </v>
          </cell>
        </row>
        <row r="137">
          <cell r="E137" t="str">
            <v xml:space="preserve">B29 - Bot/24 Oz                     </v>
          </cell>
        </row>
        <row r="138">
          <cell r="E138" t="str">
            <v xml:space="preserve">B30 - Case/360 EA                   </v>
          </cell>
        </row>
        <row r="139">
          <cell r="E139" t="str">
            <v xml:space="preserve">B31 - Sleeve/120 EA                 </v>
          </cell>
        </row>
        <row r="140">
          <cell r="E140" t="str">
            <v xml:space="preserve">B32 - Case/20 EA                    </v>
          </cell>
        </row>
        <row r="141">
          <cell r="E141" t="str">
            <v xml:space="preserve">B33 - Case/4 EA                     </v>
          </cell>
        </row>
        <row r="142">
          <cell r="E142" t="str">
            <v xml:space="preserve">B34 - Kilogram/cubic decimeter      </v>
          </cell>
        </row>
        <row r="143">
          <cell r="E143" t="str">
            <v xml:space="preserve">B35 - Bot/41.25 Oz                  </v>
          </cell>
        </row>
        <row r="144">
          <cell r="E144" t="str">
            <v xml:space="preserve">B36 - Cont/4.5 Lb                   </v>
          </cell>
        </row>
        <row r="145">
          <cell r="E145" t="str">
            <v xml:space="preserve">B37 - Case 12/32 Oz                 </v>
          </cell>
        </row>
        <row r="146">
          <cell r="E146" t="str">
            <v xml:space="preserve">B38 - Bot/32 Oz                     </v>
          </cell>
        </row>
        <row r="147">
          <cell r="E147" t="str">
            <v xml:space="preserve">B39 - Case 8/2 Lb                   </v>
          </cell>
        </row>
        <row r="148">
          <cell r="E148" t="str">
            <v xml:space="preserve">B40 - Case/6 Bot                    </v>
          </cell>
        </row>
        <row r="149">
          <cell r="E149" t="str">
            <v xml:space="preserve">B41 - Case 8/4 Lb                   </v>
          </cell>
        </row>
        <row r="150">
          <cell r="E150" t="str">
            <v xml:space="preserve">B42 - Case/90 EA                    </v>
          </cell>
        </row>
        <row r="151">
          <cell r="E151" t="str">
            <v xml:space="preserve">B43 - Case/4.58 Gal                 </v>
          </cell>
        </row>
        <row r="152">
          <cell r="E152" t="str">
            <v xml:space="preserve">B44 - Batch/12 Lb                   </v>
          </cell>
        </row>
        <row r="153">
          <cell r="E153" t="str">
            <v xml:space="preserve">B45 - Kilomol                       </v>
          </cell>
        </row>
        <row r="154">
          <cell r="E154" t="str">
            <v xml:space="preserve">B46 - Case 18/14 Pack               </v>
          </cell>
        </row>
        <row r="155">
          <cell r="E155" t="str">
            <v xml:space="preserve">B47 - Kilonewton                    </v>
          </cell>
        </row>
        <row r="156">
          <cell r="E156" t="str">
            <v xml:space="preserve">B48 - Case 6/2 Lb                   </v>
          </cell>
        </row>
        <row r="157">
          <cell r="E157" t="str">
            <v xml:space="preserve">B49 - Case/5000 EA                  </v>
          </cell>
        </row>
        <row r="158">
          <cell r="E158" t="str">
            <v xml:space="preserve">B50 - Case/160 EA                   </v>
          </cell>
        </row>
        <row r="159">
          <cell r="E159" t="str">
            <v xml:space="preserve">B51 - Bot/5 Oz                      </v>
          </cell>
        </row>
        <row r="160">
          <cell r="E160" t="str">
            <v xml:space="preserve">B52 - Case/6 Gal                    </v>
          </cell>
        </row>
        <row r="161">
          <cell r="E161" t="str">
            <v xml:space="preserve">B53 - Case/2 EA                     </v>
          </cell>
        </row>
        <row r="162">
          <cell r="E162" t="str">
            <v xml:space="preserve">B54 - Case 2/24 EA                  </v>
          </cell>
        </row>
        <row r="163">
          <cell r="E163" t="str">
            <v xml:space="preserve">B55 - Case/2 Gal                    </v>
          </cell>
        </row>
        <row r="164">
          <cell r="E164" t="str">
            <v xml:space="preserve">B56 - Case/4.5 Gal                  </v>
          </cell>
        </row>
        <row r="165">
          <cell r="E165" t="str">
            <v xml:space="preserve">B57 - Case/42 EA                    </v>
          </cell>
        </row>
        <row r="166">
          <cell r="E166" t="str">
            <v xml:space="preserve">B58 - Rajas                         </v>
          </cell>
        </row>
        <row r="167">
          <cell r="E167" t="str">
            <v xml:space="preserve">B59 - Case 6/2.5 Lb                 </v>
          </cell>
        </row>
        <row r="168">
          <cell r="E168" t="str">
            <v xml:space="preserve">B60 - Bag/2.5 Lb                    </v>
          </cell>
        </row>
        <row r="169">
          <cell r="E169" t="str">
            <v xml:space="preserve">B61 - Case 4/1000 EA                </v>
          </cell>
        </row>
        <row r="170">
          <cell r="E170" t="str">
            <v xml:space="preserve">B62 - Case/18 EA                    </v>
          </cell>
        </row>
        <row r="171">
          <cell r="E171" t="str">
            <v xml:space="preserve">B63 - Case/8000 EA                  </v>
          </cell>
        </row>
        <row r="172">
          <cell r="E172" t="str">
            <v xml:space="preserve">B64 - Case/4 Half Gal               </v>
          </cell>
        </row>
        <row r="173">
          <cell r="E173" t="str">
            <v xml:space="preserve">B65 - Case/45 Lb                    </v>
          </cell>
        </row>
        <row r="174">
          <cell r="E174" t="str">
            <v xml:space="preserve">B66 - Case 4/4 Lb                   </v>
          </cell>
        </row>
        <row r="175">
          <cell r="E175" t="str">
            <v xml:space="preserve">B68 - Case/8 EA                     </v>
          </cell>
        </row>
        <row r="176">
          <cell r="E176" t="str">
            <v xml:space="preserve">B69 - Case/12 Bot                   </v>
          </cell>
        </row>
        <row r="177">
          <cell r="E177" t="str">
            <v xml:space="preserve">B70 - Case/48 EA                    </v>
          </cell>
        </row>
        <row r="178">
          <cell r="E178" t="str">
            <v xml:space="preserve">B71 - Case/29 EA                    </v>
          </cell>
        </row>
        <row r="179">
          <cell r="E179" t="str">
            <v xml:space="preserve">B72 - Case 6/500 EA                 </v>
          </cell>
        </row>
        <row r="180">
          <cell r="E180" t="str">
            <v xml:space="preserve">B73 - Meganewton                    </v>
          </cell>
        </row>
        <row r="181">
          <cell r="E181" t="str">
            <v xml:space="preserve">B74 - Case 4/16 EA                  </v>
          </cell>
        </row>
        <row r="182">
          <cell r="E182" t="str">
            <v xml:space="preserve">B75 - Megohm                        </v>
          </cell>
        </row>
        <row r="183">
          <cell r="E183" t="str">
            <v xml:space="preserve">B76 - Case 3/125 EA                 </v>
          </cell>
        </row>
        <row r="184">
          <cell r="E184" t="str">
            <v xml:space="preserve">B77 - Case/84.5 Oz                  </v>
          </cell>
        </row>
        <row r="185">
          <cell r="E185" t="str">
            <v xml:space="preserve">B78 - Megavolt                      </v>
          </cell>
        </row>
        <row r="186">
          <cell r="E186" t="str">
            <v xml:space="preserve">B79 - Tray                          </v>
          </cell>
        </row>
        <row r="187">
          <cell r="E187" t="str">
            <v xml:space="preserve">B80 - Case/30 EA                    </v>
          </cell>
        </row>
        <row r="188">
          <cell r="E188" t="str">
            <v xml:space="preserve">B81 - Case/3 Gal                    </v>
          </cell>
        </row>
        <row r="189">
          <cell r="E189" t="str">
            <v xml:space="preserve">B82 - Sleeve/25 EA                  </v>
          </cell>
        </row>
        <row r="190">
          <cell r="E190" t="str">
            <v xml:space="preserve">B83 - Case/3 Lb                     </v>
          </cell>
        </row>
        <row r="191">
          <cell r="E191" t="str">
            <v xml:space="preserve">B84 - Microampere                   </v>
          </cell>
        </row>
        <row r="192">
          <cell r="E192" t="str">
            <v xml:space="preserve">B86 - Case/10 Dz                    </v>
          </cell>
        </row>
        <row r="193">
          <cell r="E193" t="str">
            <v xml:space="preserve">B87 - Case/4 Lb                     </v>
          </cell>
        </row>
        <row r="194">
          <cell r="E194" t="str">
            <v xml:space="preserve">B89 - Case 6/12                     </v>
          </cell>
        </row>
        <row r="195">
          <cell r="E195" t="str">
            <v xml:space="preserve">B90 - Case 6/12 EA                  </v>
          </cell>
        </row>
        <row r="196">
          <cell r="E196" t="str">
            <v xml:space="preserve">B91 - Case6/12 EA                   </v>
          </cell>
        </row>
        <row r="197">
          <cell r="E197" t="str">
            <v xml:space="preserve">B92 - Case/4000 EA                  </v>
          </cell>
        </row>
        <row r="198">
          <cell r="E198" t="str">
            <v xml:space="preserve">B93 - Case/12 Lb                    </v>
          </cell>
        </row>
        <row r="199">
          <cell r="E199" t="str">
            <v xml:space="preserve">B94 - Case/192 EA                   </v>
          </cell>
        </row>
        <row r="200">
          <cell r="E200" t="str">
            <v xml:space="preserve">B95 - Case/3 EA                     </v>
          </cell>
        </row>
        <row r="201">
          <cell r="E201" t="str">
            <v xml:space="preserve">B96 - Case 24/13.4 Oz               </v>
          </cell>
        </row>
        <row r="202">
          <cell r="E202" t="str">
            <v xml:space="preserve">B97 - Case 12/26 Oz                 </v>
          </cell>
        </row>
        <row r="203">
          <cell r="E203" t="str">
            <v xml:space="preserve">B98 - Case/288 EA                   </v>
          </cell>
        </row>
        <row r="204">
          <cell r="E204" t="str">
            <v xml:space="preserve">B99 - Case/25 EA                    </v>
          </cell>
        </row>
        <row r="205">
          <cell r="E205" t="str">
            <v xml:space="preserve">BAG - Bag                           </v>
          </cell>
        </row>
        <row r="206">
          <cell r="E206" t="str">
            <v xml:space="preserve">BAR - bar                           </v>
          </cell>
        </row>
        <row r="207">
          <cell r="E207" t="str">
            <v xml:space="preserve">BOT - Bottle                        </v>
          </cell>
        </row>
        <row r="208">
          <cell r="E208" t="str">
            <v xml:space="preserve">BQK - Becquerel/kilogram            </v>
          </cell>
        </row>
        <row r="209">
          <cell r="E209" t="str">
            <v xml:space="preserve">BTU - British Thermal Unit          </v>
          </cell>
        </row>
        <row r="210">
          <cell r="E210" t="str">
            <v xml:space="preserve">C01 - Case 8/2.5 Lb                 </v>
          </cell>
        </row>
        <row r="211">
          <cell r="E211" t="str">
            <v xml:space="preserve">C02 - Case 4/4.3 Lb                 </v>
          </cell>
        </row>
        <row r="212">
          <cell r="E212" t="str">
            <v xml:space="preserve">C03 - Case 3/4.5 Lb                 </v>
          </cell>
        </row>
        <row r="213">
          <cell r="E213" t="str">
            <v xml:space="preserve">C04 - Case 3/12 Lb                  </v>
          </cell>
        </row>
        <row r="214">
          <cell r="E214" t="str">
            <v xml:space="preserve">C05 - Case 3/5 Lb                   </v>
          </cell>
        </row>
        <row r="215">
          <cell r="E215" t="str">
            <v xml:space="preserve">C06 - Case/12000 EA                 </v>
          </cell>
        </row>
        <row r="216">
          <cell r="E216" t="str">
            <v xml:space="preserve">C07 - BAG 2.5 GAL                   </v>
          </cell>
        </row>
        <row r="217">
          <cell r="E217" t="str">
            <v xml:space="preserve">C08 - Case/48Packs                  </v>
          </cell>
        </row>
        <row r="218">
          <cell r="E218" t="str">
            <v xml:space="preserve">C09 - Case/12 packs                 </v>
          </cell>
        </row>
        <row r="219">
          <cell r="E219" t="str">
            <v xml:space="preserve">C10 - Millifarad                    </v>
          </cell>
        </row>
        <row r="220">
          <cell r="E220" t="str">
            <v xml:space="preserve">C36 - Mole per Cubic Meter          </v>
          </cell>
        </row>
        <row r="221">
          <cell r="E221" t="str">
            <v xml:space="preserve">C38 - Mole per Liter                </v>
          </cell>
        </row>
        <row r="222">
          <cell r="E222" t="str">
            <v xml:space="preserve">C39 - Nanoampere                    </v>
          </cell>
        </row>
        <row r="223">
          <cell r="E223" t="str">
            <v xml:space="preserve">C3S - Cubic centimeter/second       </v>
          </cell>
        </row>
        <row r="224">
          <cell r="E224" t="str">
            <v xml:space="preserve">C41 - Nanofarad                     </v>
          </cell>
        </row>
        <row r="225">
          <cell r="E225" t="str">
            <v xml:space="preserve">C56 - Newton/Square millimeter      </v>
          </cell>
        </row>
        <row r="226">
          <cell r="E226" t="str">
            <v xml:space="preserve">C70 - Case/600 EA                   </v>
          </cell>
        </row>
        <row r="227">
          <cell r="E227" t="str">
            <v xml:space="preserve">C71 - Pack/500 EA                   </v>
          </cell>
        </row>
        <row r="228">
          <cell r="E228" t="str">
            <v xml:space="preserve">C72 - Case/36 EA                    </v>
          </cell>
        </row>
        <row r="229">
          <cell r="E229" t="str">
            <v xml:space="preserve">C73 - Case/18 Pack                  </v>
          </cell>
        </row>
        <row r="230">
          <cell r="E230" t="str">
            <v xml:space="preserve">C74 - Case/5 Lb                     </v>
          </cell>
        </row>
        <row r="231">
          <cell r="E231" t="str">
            <v xml:space="preserve">C75 - Case/16 EA                    </v>
          </cell>
        </row>
        <row r="232">
          <cell r="E232" t="str">
            <v xml:space="preserve">C77 - Case/12 PT                    </v>
          </cell>
        </row>
        <row r="233">
          <cell r="E233" t="str">
            <v xml:space="preserve">C78 - Case 6/5 Lbs                  </v>
          </cell>
        </row>
        <row r="234">
          <cell r="E234" t="str">
            <v xml:space="preserve">C79 - Case/14 Pack                  </v>
          </cell>
        </row>
        <row r="235">
          <cell r="E235" t="str">
            <v xml:space="preserve">C80 - Case/2.5 Gal                  </v>
          </cell>
        </row>
        <row r="236">
          <cell r="E236" t="str">
            <v xml:space="preserve">C81 - Case/36 Lb                    </v>
          </cell>
        </row>
        <row r="237">
          <cell r="E237" t="str">
            <v xml:space="preserve">C82 - Case/9 Bag                    </v>
          </cell>
        </row>
        <row r="238">
          <cell r="E238" t="str">
            <v xml:space="preserve">C83 - Case 6/2.2 Lb                 </v>
          </cell>
        </row>
        <row r="239">
          <cell r="E239" t="str">
            <v xml:space="preserve">C84 - Case 4/2.5 Lb                 </v>
          </cell>
        </row>
        <row r="240">
          <cell r="E240" t="str">
            <v xml:space="preserve">C85 - Can # 5                       </v>
          </cell>
        </row>
        <row r="241">
          <cell r="E241" t="str">
            <v xml:space="preserve">C86 - Case 4/200 EA                 </v>
          </cell>
        </row>
        <row r="242">
          <cell r="E242" t="str">
            <v xml:space="preserve">C87 - Case 12/8 Oz                  </v>
          </cell>
        </row>
        <row r="243">
          <cell r="E243" t="str">
            <v xml:space="preserve">C88 - Case 8/24 Oz                  </v>
          </cell>
        </row>
        <row r="244">
          <cell r="E244" t="str">
            <v xml:space="preserve">C89 - Case 6/28 Oz                  </v>
          </cell>
        </row>
        <row r="245">
          <cell r="E245" t="str">
            <v xml:space="preserve">C90 - Case/110 EA                   </v>
          </cell>
        </row>
        <row r="246">
          <cell r="E246" t="str">
            <v xml:space="preserve">C91 - CASE/84 EA                    </v>
          </cell>
        </row>
        <row r="247">
          <cell r="E247" t="str">
            <v xml:space="preserve">C92 - CASE 2/8.2 LB                 </v>
          </cell>
        </row>
        <row r="248">
          <cell r="E248" t="str">
            <v xml:space="preserve">C93 - CASE 6/5.75 LB                </v>
          </cell>
        </row>
        <row r="249">
          <cell r="E249" t="str">
            <v xml:space="preserve">C94 - CASE 6/4 LB                   </v>
          </cell>
        </row>
        <row r="250">
          <cell r="E250" t="str">
            <v xml:space="preserve">C95 - CASE 10/2 LB                  </v>
          </cell>
        </row>
        <row r="251">
          <cell r="E251" t="str">
            <v xml:space="preserve">C96 - CASE 6/6 LB                   </v>
          </cell>
        </row>
        <row r="252">
          <cell r="E252" t="str">
            <v xml:space="preserve">C97 - Case 8/2 DOZ                  </v>
          </cell>
        </row>
        <row r="253">
          <cell r="E253" t="str">
            <v xml:space="preserve">C98 - Case 6/1 Lb                   </v>
          </cell>
        </row>
        <row r="254">
          <cell r="E254" t="str">
            <v xml:space="preserve">C99 - Case 4/500 EA                 </v>
          </cell>
        </row>
        <row r="255">
          <cell r="E255" t="str">
            <v xml:space="preserve">CCM - Cubic centimeter              </v>
          </cell>
        </row>
        <row r="256">
          <cell r="E256" t="str">
            <v xml:space="preserve">CD  - Candela                       </v>
          </cell>
        </row>
        <row r="257">
          <cell r="E257" t="str">
            <v xml:space="preserve">CDM - Cubic decimeter               </v>
          </cell>
        </row>
        <row r="258">
          <cell r="E258" t="str">
            <v xml:space="preserve">CM  - Centimeter                    </v>
          </cell>
        </row>
        <row r="259">
          <cell r="E259" t="str">
            <v xml:space="preserve">CM2 - Square centimeter             </v>
          </cell>
        </row>
        <row r="260">
          <cell r="E260" t="str">
            <v xml:space="preserve">CMB - Combos                        </v>
          </cell>
        </row>
        <row r="261">
          <cell r="E261" t="str">
            <v xml:space="preserve">CMH - Centimeter/hour               </v>
          </cell>
        </row>
        <row r="262">
          <cell r="E262" t="str">
            <v xml:space="preserve">CS  - Case                          </v>
          </cell>
        </row>
        <row r="263">
          <cell r="E263" t="str">
            <v xml:space="preserve">CS5 - CS5                           </v>
          </cell>
        </row>
        <row r="264">
          <cell r="E264" t="str">
            <v xml:space="preserve">CTL - Centiliter                    </v>
          </cell>
        </row>
        <row r="265">
          <cell r="E265" t="str">
            <v xml:space="preserve">D02 - CASE 12/200 EA                </v>
          </cell>
        </row>
        <row r="266">
          <cell r="E266" t="str">
            <v xml:space="preserve">D03 - CASE 20/120 EA                </v>
          </cell>
        </row>
        <row r="267">
          <cell r="E267" t="str">
            <v xml:space="preserve">D04 - Case 2/1.5 Gal                </v>
          </cell>
        </row>
        <row r="268">
          <cell r="E268" t="str">
            <v xml:space="preserve">D05 - Case 7/4 Lb                   </v>
          </cell>
        </row>
        <row r="269">
          <cell r="E269" t="str">
            <v xml:space="preserve">D06 - CASE 20/150 EA                </v>
          </cell>
        </row>
        <row r="270">
          <cell r="E270" t="str">
            <v xml:space="preserve">D07 - Case/720 EA                   </v>
          </cell>
        </row>
        <row r="271">
          <cell r="E271" t="str">
            <v xml:space="preserve">D08 - CASE 9/4.5 LB                 </v>
          </cell>
        </row>
        <row r="272">
          <cell r="E272" t="str">
            <v xml:space="preserve">D09 - CASE/35 EA                    </v>
          </cell>
        </row>
        <row r="273">
          <cell r="E273" t="str">
            <v xml:space="preserve">D10 - Siemens per meter             </v>
          </cell>
        </row>
        <row r="274">
          <cell r="E274" t="str">
            <v xml:space="preserve">D11 - Case 28/70 EA                 </v>
          </cell>
        </row>
        <row r="275">
          <cell r="E275" t="str">
            <v xml:space="preserve">D12 - CASE/540 EA                   </v>
          </cell>
        </row>
        <row r="276">
          <cell r="E276" t="str">
            <v xml:space="preserve">D41 - Ton/Cubic meter               </v>
          </cell>
        </row>
        <row r="277">
          <cell r="E277" t="str">
            <v xml:space="preserve">D46 - Voltampere                    </v>
          </cell>
        </row>
        <row r="278">
          <cell r="E278" t="str">
            <v xml:space="preserve">DBA - Decibels (A Weighting)        </v>
          </cell>
        </row>
        <row r="279">
          <cell r="E279" t="str">
            <v xml:space="preserve">DBC - Decibels (C Weighting)        </v>
          </cell>
        </row>
        <row r="280">
          <cell r="E280" t="str">
            <v xml:space="preserve">DEG - Degree                        </v>
          </cell>
        </row>
        <row r="281">
          <cell r="E281" t="str">
            <v xml:space="preserve">DM  - Decimeter                     </v>
          </cell>
        </row>
        <row r="282">
          <cell r="E282" t="str">
            <v xml:space="preserve">DR  - Drum                          </v>
          </cell>
        </row>
        <row r="283">
          <cell r="E283" t="str">
            <v xml:space="preserve">DZ  - Dozen                         </v>
          </cell>
        </row>
        <row r="284">
          <cell r="E284" t="str">
            <v xml:space="preserve">EA  - EA                            </v>
          </cell>
        </row>
        <row r="285">
          <cell r="E285" t="str">
            <v xml:space="preserve">EE  - Enzyme Units                  </v>
          </cell>
        </row>
        <row r="286">
          <cell r="E286" t="str">
            <v xml:space="preserve">EML - Enzyme Units/Milliliter       </v>
          </cell>
        </row>
        <row r="287">
          <cell r="E287" t="str">
            <v xml:space="preserve">F   - Farad                         </v>
          </cell>
        </row>
        <row r="288">
          <cell r="E288" t="str">
            <v xml:space="preserve">FA  - Fahrenheit                    </v>
          </cell>
        </row>
        <row r="289">
          <cell r="E289" t="str">
            <v xml:space="preserve">FT  - Foot                          </v>
          </cell>
        </row>
        <row r="290">
          <cell r="E290" t="str">
            <v xml:space="preserve">FT2 - Square foot                   </v>
          </cell>
        </row>
        <row r="291">
          <cell r="E291" t="str">
            <v xml:space="preserve">FT3 - Cubic foot                    </v>
          </cell>
        </row>
        <row r="292">
          <cell r="E292" t="str">
            <v xml:space="preserve">G   - Gram                          </v>
          </cell>
        </row>
        <row r="293">
          <cell r="E293" t="str">
            <v xml:space="preserve">G/L - Gram Active Ingredient/Liter  </v>
          </cell>
        </row>
        <row r="294">
          <cell r="E294" t="str">
            <v xml:space="preserve">GAU - Gram Gold                     </v>
          </cell>
        </row>
        <row r="295">
          <cell r="E295" t="str">
            <v xml:space="preserve">GC  - Degrees Celsius               </v>
          </cell>
        </row>
        <row r="296">
          <cell r="E296" t="str">
            <v xml:space="preserve">GHG - Gram/hectogram                </v>
          </cell>
        </row>
        <row r="297">
          <cell r="E297" t="str">
            <v xml:space="preserve">GJ  - Gigajoule                     </v>
          </cell>
        </row>
        <row r="298">
          <cell r="E298" t="str">
            <v xml:space="preserve">GJT - Gigajoules/Ton                </v>
          </cell>
        </row>
        <row r="299">
          <cell r="E299" t="str">
            <v xml:space="preserve">GKG - Gram/kilogram                 </v>
          </cell>
        </row>
        <row r="300">
          <cell r="E300" t="str">
            <v xml:space="preserve">GLI - Gram/liter                    </v>
          </cell>
        </row>
        <row r="301">
          <cell r="E301" t="str">
            <v xml:space="preserve">GLL - Gal                           </v>
          </cell>
        </row>
        <row r="302">
          <cell r="E302" t="str">
            <v xml:space="preserve">GLM - Gallons per mile (US)         </v>
          </cell>
        </row>
        <row r="303">
          <cell r="E303" t="str">
            <v xml:space="preserve">GM  - Gram/Mole                     </v>
          </cell>
        </row>
        <row r="304">
          <cell r="E304" t="str">
            <v xml:space="preserve">GM2 - Gram/square meter             </v>
          </cell>
        </row>
        <row r="305">
          <cell r="E305" t="str">
            <v xml:space="preserve">GPH - Gallons per hour (US)         </v>
          </cell>
        </row>
        <row r="306">
          <cell r="E306" t="str">
            <v xml:space="preserve">GQ  - Microgram/cubic meter         </v>
          </cell>
        </row>
        <row r="307">
          <cell r="E307" t="str">
            <v xml:space="preserve">GRO - Gross                         </v>
          </cell>
        </row>
        <row r="308">
          <cell r="E308" t="str">
            <v xml:space="preserve">GW  - Gram Active Ingredient        </v>
          </cell>
        </row>
        <row r="309">
          <cell r="E309" t="str">
            <v xml:space="preserve">H   - Hour                          </v>
          </cell>
        </row>
        <row r="310">
          <cell r="E310" t="str">
            <v xml:space="preserve">HAR - Hectare                       </v>
          </cell>
        </row>
        <row r="311">
          <cell r="E311" t="str">
            <v xml:space="preserve">HG  - Half Gal                      </v>
          </cell>
        </row>
        <row r="312">
          <cell r="E312" t="str">
            <v xml:space="preserve">HL  - Hectoliter                    </v>
          </cell>
        </row>
        <row r="313">
          <cell r="E313" t="str">
            <v xml:space="preserve">HPA - Hectopascal                   </v>
          </cell>
        </row>
        <row r="314">
          <cell r="E314" t="str">
            <v xml:space="preserve">HZ  - Hertz (1/second)              </v>
          </cell>
        </row>
        <row r="315">
          <cell r="E315" t="str">
            <v xml:space="preserve">J   - Joule                         </v>
          </cell>
        </row>
        <row r="316">
          <cell r="E316" t="str">
            <v xml:space="preserve">JHR - Years                         </v>
          </cell>
        </row>
        <row r="317">
          <cell r="E317" t="str">
            <v xml:space="preserve">JKG - Joule/Kilogram                </v>
          </cell>
        </row>
        <row r="318">
          <cell r="E318" t="str">
            <v xml:space="preserve">JKK - Spec. Heat Capacity           </v>
          </cell>
        </row>
        <row r="319">
          <cell r="E319" t="str">
            <v xml:space="preserve">JMO - Joule/Mole                    </v>
          </cell>
        </row>
        <row r="320">
          <cell r="E320" t="str">
            <v xml:space="preserve">K   - Kelvin                        </v>
          </cell>
        </row>
        <row r="321">
          <cell r="E321" t="str">
            <v xml:space="preserve">KA  - Kiloampere                    </v>
          </cell>
        </row>
        <row r="322">
          <cell r="E322" t="str">
            <v xml:space="preserve">KAN - Canister                      </v>
          </cell>
        </row>
        <row r="323">
          <cell r="E323" t="str">
            <v xml:space="preserve">KAR - Carton                        </v>
          </cell>
        </row>
        <row r="324">
          <cell r="E324" t="str">
            <v xml:space="preserve">KBK - Kilobecquerel/Kilogram        </v>
          </cell>
        </row>
        <row r="325">
          <cell r="E325" t="str">
            <v xml:space="preserve">KG  - Kilogram                      </v>
          </cell>
        </row>
        <row r="326">
          <cell r="E326" t="str">
            <v xml:space="preserve">KGF - Kilogram/Square meter         </v>
          </cell>
        </row>
        <row r="327">
          <cell r="E327" t="str">
            <v xml:space="preserve">KGH - Kilogram/Hour                 </v>
          </cell>
        </row>
        <row r="328">
          <cell r="E328" t="str">
            <v xml:space="preserve">KGK - Kilogram/Kilogram             </v>
          </cell>
        </row>
        <row r="329">
          <cell r="E329" t="str">
            <v xml:space="preserve">KGM - Kilogram/Mole                 </v>
          </cell>
        </row>
        <row r="330">
          <cell r="E330" t="str">
            <v xml:space="preserve">KGS - Kilogram/second               </v>
          </cell>
        </row>
        <row r="331">
          <cell r="E331" t="str">
            <v xml:space="preserve">KGT - Kilogram/Ton                  </v>
          </cell>
        </row>
        <row r="332">
          <cell r="E332" t="str">
            <v xml:space="preserve">KGV - Kilogram/cubic meter          </v>
          </cell>
        </row>
        <row r="333">
          <cell r="E333" t="str">
            <v xml:space="preserve">KGW - Kilogram Active Ingredient    </v>
          </cell>
        </row>
        <row r="334">
          <cell r="E334" t="str">
            <v xml:space="preserve">KHZ - Kilohertz                     </v>
          </cell>
        </row>
        <row r="335">
          <cell r="E335" t="str">
            <v xml:space="preserve">KI  - Crate                         </v>
          </cell>
        </row>
        <row r="336">
          <cell r="E336" t="str">
            <v xml:space="preserve">KJ  - Kilojoule                     </v>
          </cell>
        </row>
        <row r="337">
          <cell r="E337" t="str">
            <v xml:space="preserve">KJK - Kilojoule/kilogram            </v>
          </cell>
        </row>
        <row r="338">
          <cell r="E338" t="str">
            <v xml:space="preserve">KJM - Kilojoule/Mole                </v>
          </cell>
        </row>
        <row r="339">
          <cell r="E339" t="str">
            <v xml:space="preserve">KM  - Kilometer                     </v>
          </cell>
        </row>
        <row r="340">
          <cell r="E340" t="str">
            <v xml:space="preserve">KM2 - Square kilometer              </v>
          </cell>
        </row>
        <row r="341">
          <cell r="E341" t="str">
            <v xml:space="preserve">KMH - Kilometer/hour                </v>
          </cell>
        </row>
        <row r="342">
          <cell r="E342" t="str">
            <v xml:space="preserve">KMK - Cubic meter/Cubic meter       </v>
          </cell>
        </row>
        <row r="343">
          <cell r="E343" t="str">
            <v xml:space="preserve">KMN - Kelvin/Minute                 </v>
          </cell>
        </row>
        <row r="344">
          <cell r="E344" t="str">
            <v xml:space="preserve">KMS - Kelvin/Second                 </v>
          </cell>
        </row>
        <row r="345">
          <cell r="E345" t="str">
            <v xml:space="preserve">KOH - Kiloohm                       </v>
          </cell>
        </row>
        <row r="346">
          <cell r="E346" t="str">
            <v xml:space="preserve">KPA - Kilopascal                    </v>
          </cell>
        </row>
        <row r="347">
          <cell r="E347" t="str">
            <v xml:space="preserve">KT  - Kiloton                       </v>
          </cell>
        </row>
        <row r="348">
          <cell r="E348" t="str">
            <v xml:space="preserve">KV  - Kilovolt                      </v>
          </cell>
        </row>
        <row r="349">
          <cell r="E349" t="str">
            <v xml:space="preserve">KVA - Kilovoltampere                </v>
          </cell>
        </row>
        <row r="350">
          <cell r="E350" t="str">
            <v xml:space="preserve">KW  - Kilowatt                      </v>
          </cell>
        </row>
        <row r="351">
          <cell r="E351" t="str">
            <v xml:space="preserve">KWH - Kilowatt hours                </v>
          </cell>
        </row>
        <row r="352">
          <cell r="E352" t="str">
            <v xml:space="preserve">KWK - kg Active Ingredient/kg       </v>
          </cell>
        </row>
        <row r="353">
          <cell r="E353" t="str">
            <v xml:space="preserve">KWM - Kilowatt Hours/Cubic Meter    </v>
          </cell>
        </row>
        <row r="354">
          <cell r="E354" t="str">
            <v xml:space="preserve">L   - Lt                            </v>
          </cell>
        </row>
        <row r="355">
          <cell r="E355" t="str">
            <v xml:space="preserve">L2  - Liter/Minute                  </v>
          </cell>
        </row>
        <row r="356">
          <cell r="E356" t="str">
            <v xml:space="preserve">LB  - Pound                         </v>
          </cell>
        </row>
        <row r="357">
          <cell r="E357" t="str">
            <v xml:space="preserve">LBJ - Pounds/Year                   </v>
          </cell>
        </row>
        <row r="358">
          <cell r="E358" t="str">
            <v xml:space="preserve">LBm - Pounds/Month                  </v>
          </cell>
        </row>
        <row r="359">
          <cell r="E359" t="str">
            <v xml:space="preserve">LE  - Activity unit                 </v>
          </cell>
        </row>
        <row r="360">
          <cell r="E360" t="str">
            <v xml:space="preserve">LHK - Liter per 100 km              </v>
          </cell>
        </row>
        <row r="361">
          <cell r="E361" t="str">
            <v xml:space="preserve">LM  - Length in Meters per Unit     </v>
          </cell>
        </row>
        <row r="362">
          <cell r="E362" t="str">
            <v xml:space="preserve">LMS - Liter/Mole Second             </v>
          </cell>
        </row>
        <row r="363">
          <cell r="E363" t="str">
            <v xml:space="preserve">LPH - Liter per hour                </v>
          </cell>
        </row>
        <row r="364">
          <cell r="E364" t="str">
            <v xml:space="preserve">M   - Meter                         </v>
          </cell>
        </row>
        <row r="365">
          <cell r="E365" t="str">
            <v xml:space="preserve">M%  - Percent mass                  </v>
          </cell>
        </row>
        <row r="366">
          <cell r="E366" t="str">
            <v xml:space="preserve">M%O - Permille mass                 </v>
          </cell>
        </row>
        <row r="367">
          <cell r="E367" t="str">
            <v xml:space="preserve">M/S - Meter/second                  </v>
          </cell>
        </row>
        <row r="368">
          <cell r="E368" t="str">
            <v xml:space="preserve">M2  - Square meter                  </v>
          </cell>
        </row>
        <row r="369">
          <cell r="E369" t="str">
            <v xml:space="preserve">M2I - 1/Square Meter                </v>
          </cell>
        </row>
        <row r="370">
          <cell r="E370" t="str">
            <v xml:space="preserve">M2S - Square meter/second           </v>
          </cell>
        </row>
        <row r="371">
          <cell r="E371" t="str">
            <v xml:space="preserve">M3  - Cubic meter                   </v>
          </cell>
        </row>
        <row r="372">
          <cell r="E372" t="str">
            <v xml:space="preserve">M3D - Cubic meter/day               </v>
          </cell>
        </row>
        <row r="373">
          <cell r="E373" t="str">
            <v xml:space="preserve">M3S - Cubic meter/second            </v>
          </cell>
        </row>
        <row r="374">
          <cell r="E374" t="str">
            <v xml:space="preserve">MA  - Milliampere                   </v>
          </cell>
        </row>
        <row r="375">
          <cell r="E375" t="str">
            <v xml:space="preserve">MBA - Millibar                      </v>
          </cell>
        </row>
        <row r="376">
          <cell r="E376" t="str">
            <v xml:space="preserve">MBZ - Meterbar/second               </v>
          </cell>
        </row>
        <row r="377">
          <cell r="E377" t="str">
            <v xml:space="preserve">MEJ - Megajoule                     </v>
          </cell>
        </row>
        <row r="378">
          <cell r="E378" t="str">
            <v xml:space="preserve">MG  - Milligram                     </v>
          </cell>
        </row>
        <row r="379">
          <cell r="E379" t="str">
            <v xml:space="preserve">MGF - Milligram/Square centimeter   </v>
          </cell>
        </row>
        <row r="380">
          <cell r="E380" t="str">
            <v xml:space="preserve">MGG - Milligram/gram                </v>
          </cell>
        </row>
        <row r="381">
          <cell r="E381" t="str">
            <v xml:space="preserve">MGK - Milligram/kilogram            </v>
          </cell>
        </row>
        <row r="382">
          <cell r="E382" t="str">
            <v xml:space="preserve">MGL - Milligram/liter               </v>
          </cell>
        </row>
        <row r="383">
          <cell r="E383" t="str">
            <v xml:space="preserve">MGQ - Milligram/cubic meter         </v>
          </cell>
        </row>
        <row r="384">
          <cell r="E384" t="str">
            <v xml:space="preserve">MGW - Megawatt                      </v>
          </cell>
        </row>
        <row r="385">
          <cell r="E385" t="str">
            <v xml:space="preserve">MHZ - Megahertz                     </v>
          </cell>
        </row>
        <row r="386">
          <cell r="E386" t="str">
            <v xml:space="preserve">MI  - Mile                          </v>
          </cell>
        </row>
        <row r="387">
          <cell r="E387" t="str">
            <v xml:space="preserve">MI2 - Square mile                   </v>
          </cell>
        </row>
        <row r="388">
          <cell r="E388" t="str">
            <v xml:space="preserve">MIM - Micrometer                    </v>
          </cell>
        </row>
        <row r="389">
          <cell r="E389" t="str">
            <v xml:space="preserve">MIN - Minute                        </v>
          </cell>
        </row>
        <row r="390">
          <cell r="E390" t="str">
            <v xml:space="preserve">MIS - Microsecond                   </v>
          </cell>
        </row>
        <row r="391">
          <cell r="E391" t="str">
            <v xml:space="preserve">MJ  - Millijoule                    </v>
          </cell>
        </row>
        <row r="392">
          <cell r="E392" t="str">
            <v xml:space="preserve">MJK - Megajoules/Kilogram           </v>
          </cell>
        </row>
        <row r="393">
          <cell r="E393" t="str">
            <v xml:space="preserve">ML  - Milliliter                    </v>
          </cell>
        </row>
        <row r="394">
          <cell r="E394" t="str">
            <v xml:space="preserve">MLK - Milliliter/cubic meter        </v>
          </cell>
        </row>
        <row r="395">
          <cell r="E395" t="str">
            <v xml:space="preserve">MLW - Milliliter Active Ingredient  </v>
          </cell>
        </row>
        <row r="396">
          <cell r="E396" t="str">
            <v xml:space="preserve">MM  - Millimeter                    </v>
          </cell>
        </row>
        <row r="397">
          <cell r="E397" t="str">
            <v xml:space="preserve">MM2 - Square millimeter             </v>
          </cell>
        </row>
        <row r="398">
          <cell r="E398" t="str">
            <v xml:space="preserve">MMA - Millimeter/year               </v>
          </cell>
        </row>
        <row r="399">
          <cell r="E399" t="str">
            <v xml:space="preserve">MMG - Millimole/Gram                </v>
          </cell>
        </row>
        <row r="400">
          <cell r="E400" t="str">
            <v xml:space="preserve">MMH - Millimeter/hour               </v>
          </cell>
        </row>
        <row r="401">
          <cell r="E401" t="str">
            <v xml:space="preserve">MMK - Millimole/Kilogram            </v>
          </cell>
        </row>
        <row r="402">
          <cell r="E402" t="str">
            <v xml:space="preserve">MMO - Millimole                     </v>
          </cell>
        </row>
        <row r="403">
          <cell r="E403" t="str">
            <v xml:space="preserve">MMQ - Cubic millimeter              </v>
          </cell>
        </row>
        <row r="404">
          <cell r="E404" t="str">
            <v xml:space="preserve">MMS - Millimeter/second             </v>
          </cell>
        </row>
        <row r="405">
          <cell r="E405" t="str">
            <v xml:space="preserve">MNM - Millinewton/meter             </v>
          </cell>
        </row>
        <row r="406">
          <cell r="E406" t="str">
            <v xml:space="preserve">MOK - Mole/Kilogram                 </v>
          </cell>
        </row>
        <row r="407">
          <cell r="E407" t="str">
            <v xml:space="preserve">MOL - Mole                          </v>
          </cell>
        </row>
        <row r="408">
          <cell r="E408" t="str">
            <v xml:space="preserve">MON - Months                        </v>
          </cell>
        </row>
        <row r="409">
          <cell r="E409" t="str">
            <v xml:space="preserve">MPA - Megapascal                    </v>
          </cell>
        </row>
        <row r="410">
          <cell r="E410" t="str">
            <v xml:space="preserve">MPB - Mass parts per billion        </v>
          </cell>
        </row>
        <row r="411">
          <cell r="E411" t="str">
            <v xml:space="preserve">MPG - Miles per gallon (US)         </v>
          </cell>
        </row>
        <row r="412">
          <cell r="E412" t="str">
            <v xml:space="preserve">MPM - Mass parts per million        </v>
          </cell>
        </row>
        <row r="413">
          <cell r="E413" t="str">
            <v xml:space="preserve">MPS - Millipascal seconds           </v>
          </cell>
        </row>
        <row r="414">
          <cell r="E414" t="str">
            <v xml:space="preserve">MPT - Mass parts per trillion       </v>
          </cell>
        </row>
        <row r="415">
          <cell r="E415" t="str">
            <v xml:space="preserve">MPZ - Meterpascal/second            </v>
          </cell>
        </row>
        <row r="416">
          <cell r="E416" t="str">
            <v xml:space="preserve">MQH - Cubic meter/Hour              </v>
          </cell>
        </row>
        <row r="417">
          <cell r="E417" t="str">
            <v xml:space="preserve">MS  - Millisecond                   </v>
          </cell>
        </row>
        <row r="418">
          <cell r="E418" t="str">
            <v xml:space="preserve">MS2 - Meter/Square Second           </v>
          </cell>
        </row>
        <row r="419">
          <cell r="E419" t="str">
            <v xml:space="preserve">MTE - Millitesla                    </v>
          </cell>
        </row>
        <row r="420">
          <cell r="E420" t="str">
            <v xml:space="preserve">MTS - Meter/Hour                    </v>
          </cell>
        </row>
        <row r="421">
          <cell r="E421" t="str">
            <v xml:space="preserve">MV  - Millivolt                     </v>
          </cell>
        </row>
        <row r="422">
          <cell r="E422" t="str">
            <v xml:space="preserve">MVA - Megavoltampere                </v>
          </cell>
        </row>
        <row r="423">
          <cell r="E423" t="str">
            <v xml:space="preserve">MW  - Milliwatt                     </v>
          </cell>
        </row>
        <row r="424">
          <cell r="E424" t="str">
            <v xml:space="preserve">MWH - Megawatt hour                 </v>
          </cell>
        </row>
        <row r="425">
          <cell r="E425" t="str">
            <v xml:space="preserve">N   - Newton                        </v>
          </cell>
        </row>
        <row r="426">
          <cell r="E426" t="str">
            <v xml:space="preserve">NAM - Nanometer                     </v>
          </cell>
        </row>
        <row r="427">
          <cell r="E427" t="str">
            <v xml:space="preserve">NM  - Newton/meter                  </v>
          </cell>
        </row>
        <row r="428">
          <cell r="E428" t="str">
            <v xml:space="preserve">NS  - Nanosecond                    </v>
          </cell>
        </row>
        <row r="429">
          <cell r="E429" t="str">
            <v>OCM - Specific Electrical Resistance</v>
          </cell>
        </row>
        <row r="430">
          <cell r="E430" t="str">
            <v xml:space="preserve">OHM - Ohm                           </v>
          </cell>
        </row>
        <row r="431">
          <cell r="E431" t="str">
            <v>OM  - Specific Electrical Resistance</v>
          </cell>
        </row>
        <row r="432">
          <cell r="E432" t="str">
            <v xml:space="preserve">OZ  - Oz                            </v>
          </cell>
        </row>
        <row r="433">
          <cell r="E433" t="str">
            <v xml:space="preserve">OZA - Fluid Ounce US                </v>
          </cell>
        </row>
        <row r="434">
          <cell r="E434" t="str">
            <v xml:space="preserve">P   - Points                        </v>
          </cell>
        </row>
        <row r="435">
          <cell r="E435" t="str">
            <v xml:space="preserve">PA  - Pascal                        </v>
          </cell>
        </row>
        <row r="436">
          <cell r="E436" t="str">
            <v xml:space="preserve">PAA - Pair                          </v>
          </cell>
        </row>
        <row r="437">
          <cell r="E437" t="str">
            <v xml:space="preserve">PAK - Pack                          </v>
          </cell>
        </row>
        <row r="438">
          <cell r="E438" t="str">
            <v xml:space="preserve">PAL - Pallet                        </v>
          </cell>
        </row>
        <row r="439">
          <cell r="E439" t="str">
            <v xml:space="preserve">PAS - Pascal second                 </v>
          </cell>
        </row>
        <row r="440">
          <cell r="E440" t="str">
            <v xml:space="preserve">PCT - Group proportion              </v>
          </cell>
        </row>
        <row r="441">
          <cell r="E441" t="str">
            <v xml:space="preserve">PMI - 1/minute                      </v>
          </cell>
        </row>
        <row r="442">
          <cell r="E442" t="str">
            <v xml:space="preserve">PMR - Permeation Rate SI            </v>
          </cell>
        </row>
        <row r="443">
          <cell r="E443" t="str">
            <v xml:space="preserve">PPB - Parts per billion             </v>
          </cell>
        </row>
        <row r="444">
          <cell r="E444" t="str">
            <v xml:space="preserve">PPM - Parts per million             </v>
          </cell>
        </row>
        <row r="445">
          <cell r="E445" t="str">
            <v xml:space="preserve">PPT - Parts per trillion            </v>
          </cell>
        </row>
        <row r="446">
          <cell r="E446" t="str">
            <v xml:space="preserve">PRM - Permeation Rate               </v>
          </cell>
        </row>
        <row r="447">
          <cell r="E447" t="str">
            <v xml:space="preserve">PRS - Number of Persons             </v>
          </cell>
        </row>
        <row r="448">
          <cell r="E448" t="str">
            <v xml:space="preserve">PS  - Picosecond                    </v>
          </cell>
        </row>
        <row r="449">
          <cell r="E449" t="str">
            <v xml:space="preserve">PT  - Pint, US liquid               </v>
          </cell>
        </row>
        <row r="450">
          <cell r="E450" t="str">
            <v xml:space="preserve">QT  - Quart, US liquid              </v>
          </cell>
        </row>
        <row r="451">
          <cell r="E451" t="str">
            <v xml:space="preserve">QTR - Quarter Gallon                </v>
          </cell>
        </row>
        <row r="452">
          <cell r="E452" t="str">
            <v xml:space="preserve">RHO - Gram/Cubic Centimeter         </v>
          </cell>
        </row>
        <row r="453">
          <cell r="E453" t="str">
            <v xml:space="preserve">ROL - Role                          </v>
          </cell>
        </row>
        <row r="454">
          <cell r="E454" t="str">
            <v xml:space="preserve">S   - Second                        </v>
          </cell>
        </row>
        <row r="455">
          <cell r="E455" t="str">
            <v xml:space="preserve">SER - Service                       </v>
          </cell>
        </row>
        <row r="456">
          <cell r="E456" t="str">
            <v xml:space="preserve">ST  - Piece                         </v>
          </cell>
        </row>
        <row r="457">
          <cell r="E457" t="str">
            <v xml:space="preserve">STD - Hours                         </v>
          </cell>
        </row>
        <row r="458">
          <cell r="E458" t="str">
            <v xml:space="preserve">TAG - Days                          </v>
          </cell>
        </row>
        <row r="459">
          <cell r="E459" t="str">
            <v xml:space="preserve">TAX - TAX                           </v>
          </cell>
        </row>
        <row r="460">
          <cell r="E460" t="str">
            <v xml:space="preserve">TC3 - 1/cubic centimeter            </v>
          </cell>
        </row>
        <row r="461">
          <cell r="E461" t="str">
            <v xml:space="preserve">TES - Tesla                         </v>
          </cell>
        </row>
        <row r="462">
          <cell r="E462" t="str">
            <v xml:space="preserve">TH  - Thousands                     </v>
          </cell>
        </row>
        <row r="463">
          <cell r="E463" t="str">
            <v xml:space="preserve">TJH - Tons/Year                     </v>
          </cell>
        </row>
        <row r="464">
          <cell r="E464" t="str">
            <v xml:space="preserve">TM3 - 1/cubic meter                 </v>
          </cell>
        </row>
        <row r="465">
          <cell r="E465" t="str">
            <v xml:space="preserve">TO  - Ton                           </v>
          </cell>
        </row>
        <row r="466">
          <cell r="E466" t="str">
            <v xml:space="preserve">TON - US Ton                        </v>
          </cell>
        </row>
        <row r="467">
          <cell r="E467" t="str">
            <v xml:space="preserve">Tmt - Tons/Month                    </v>
          </cell>
        </row>
        <row r="468">
          <cell r="E468" t="str">
            <v xml:space="preserve">ToS - Tons/Hour                     </v>
          </cell>
        </row>
        <row r="469">
          <cell r="E469" t="str">
            <v xml:space="preserve">Tot - Tonne/US Ton                  </v>
          </cell>
        </row>
        <row r="470">
          <cell r="E470" t="str">
            <v xml:space="preserve">UGL - Microgram/liter               </v>
          </cell>
        </row>
        <row r="471">
          <cell r="E471" t="str">
            <v xml:space="preserve">V   - Volt                          </v>
          </cell>
        </row>
        <row r="472">
          <cell r="E472" t="str">
            <v xml:space="preserve">V%  - Percent volume                </v>
          </cell>
        </row>
        <row r="473">
          <cell r="E473" t="str">
            <v xml:space="preserve">V%O - Permille volume               </v>
          </cell>
        </row>
        <row r="474">
          <cell r="E474" t="str">
            <v xml:space="preserve">V01 - Microsiemens per centimeter   </v>
          </cell>
        </row>
        <row r="475">
          <cell r="E475" t="str">
            <v xml:space="preserve">V02 - Millimole per Liter           </v>
          </cell>
        </row>
        <row r="476">
          <cell r="E476" t="str">
            <v xml:space="preserve">VAL - Value-Only Material           </v>
          </cell>
        </row>
        <row r="477">
          <cell r="E477" t="str">
            <v xml:space="preserve">VPB - Volume parts per billion      </v>
          </cell>
        </row>
        <row r="478">
          <cell r="E478" t="str">
            <v xml:space="preserve">VPM - Volume parts per million      </v>
          </cell>
        </row>
        <row r="479">
          <cell r="E479" t="str">
            <v xml:space="preserve">VPT - Volume parts per trillion     </v>
          </cell>
        </row>
        <row r="480">
          <cell r="E480" t="str">
            <v xml:space="preserve">W   - Watt                          </v>
          </cell>
        </row>
        <row r="481">
          <cell r="E481" t="str">
            <v xml:space="preserve">WCH - Weeks                         </v>
          </cell>
        </row>
        <row r="482">
          <cell r="E482" t="str">
            <v xml:space="preserve">WMK - Heat Conductivity             </v>
          </cell>
        </row>
        <row r="483">
          <cell r="E483" t="str">
            <v xml:space="preserve">WTL - Evaporation Rate              </v>
          </cell>
        </row>
        <row r="484">
          <cell r="E484" t="str">
            <v xml:space="preserve">YD  - Yards                         </v>
          </cell>
        </row>
        <row r="485">
          <cell r="E485" t="str">
            <v xml:space="preserve">YD2 - Square Yard                   </v>
          </cell>
        </row>
        <row r="486">
          <cell r="E486" t="str">
            <v xml:space="preserve">YD3 - Cubic yard                    </v>
          </cell>
        </row>
        <row r="487">
          <cell r="E487" t="str">
            <v xml:space="preserve">bJH - British Thermal Unit/Year     </v>
          </cell>
        </row>
        <row r="488">
          <cell r="E488" t="str">
            <v xml:space="preserve">bMO - British Thermal Unit/Month    </v>
          </cell>
        </row>
        <row r="489">
          <cell r="E489" t="str">
            <v>bbl - British Thermal Unit/US Barrel</v>
          </cell>
        </row>
        <row r="490">
          <cell r="E490" t="str">
            <v xml:space="preserve">bft - British Thermal Unit/Cubic Ft </v>
          </cell>
        </row>
        <row r="491">
          <cell r="E491" t="str">
            <v>bgl - British Thermal Unit/US Gallon</v>
          </cell>
        </row>
        <row r="492">
          <cell r="E492" t="str">
            <v xml:space="preserve">bsc - Btu/Standard Cubic Foot       </v>
          </cell>
        </row>
        <row r="493">
          <cell r="E493" t="str">
            <v xml:space="preserve">btl - British Thermal Unit/US Pound </v>
          </cell>
        </row>
        <row r="494">
          <cell r="E494" t="str">
            <v xml:space="preserve">gj3 - Gigajoule/1000 Cubic Meters   </v>
          </cell>
        </row>
        <row r="495">
          <cell r="E495" t="str">
            <v xml:space="preserve">gjm - Gigajoule/Cubic Meter         </v>
          </cell>
        </row>
        <row r="496">
          <cell r="E496" t="str">
            <v xml:space="preserve">gjt - Gigajoule/US Ton              </v>
          </cell>
        </row>
        <row r="497">
          <cell r="E497" t="str">
            <v xml:space="preserve">jm3 - Joule/Cubic Meter             </v>
          </cell>
        </row>
        <row r="498">
          <cell r="E498" t="str">
            <v xml:space="preserve">kgb - Kilogram/US Barrel            </v>
          </cell>
        </row>
        <row r="499">
          <cell r="E499" t="str">
            <v xml:space="preserve">kgg - Kilogram/US Gallons           </v>
          </cell>
        </row>
        <row r="500">
          <cell r="E500" t="str">
            <v xml:space="preserve">kgj - Kilogram/Joule                </v>
          </cell>
        </row>
        <row r="501">
          <cell r="E501" t="str">
            <v xml:space="preserve">kgm - Kilogram/Million BTU          </v>
          </cell>
        </row>
        <row r="502">
          <cell r="E502" t="str">
            <v xml:space="preserve">kgs - Kilogram/Standard Cubic Foot  </v>
          </cell>
        </row>
        <row r="503">
          <cell r="E503" t="str">
            <v xml:space="preserve">kgt - Kilogram/US Ton               </v>
          </cell>
        </row>
        <row r="504">
          <cell r="E504" t="str">
            <v xml:space="preserve">kml - Kilogram/Kilogram Mole        </v>
          </cell>
        </row>
        <row r="505">
          <cell r="E505" t="str">
            <v xml:space="preserve">kwk - Kilowatt Hour/Kilogram        </v>
          </cell>
        </row>
        <row r="506">
          <cell r="E506" t="str">
            <v xml:space="preserve">lbb - US Pound/British Thermal Unit </v>
          </cell>
        </row>
        <row r="507">
          <cell r="E507" t="str">
            <v xml:space="preserve">lbg - US Pound/US Gallon            </v>
          </cell>
        </row>
        <row r="508">
          <cell r="E508" t="str">
            <v xml:space="preserve">lbl - US Pound/US Pound Mole        </v>
          </cell>
        </row>
        <row r="509">
          <cell r="E509" t="str">
            <v xml:space="preserve">lbm - US Pound/Million BTU          </v>
          </cell>
        </row>
        <row r="510">
          <cell r="E510" t="str">
            <v xml:space="preserve">lbs - US Pound/Standard Cubic Foot  </v>
          </cell>
        </row>
        <row r="511">
          <cell r="E511" t="str">
            <v xml:space="preserve">lbt - US Pound/US Ton               </v>
          </cell>
        </row>
        <row r="512">
          <cell r="E512" t="str">
            <v xml:space="preserve">lhh - US Pound/Horsepower-Hour      </v>
          </cell>
        </row>
        <row r="513">
          <cell r="E513" t="str">
            <v xml:space="preserve">lht - US Pound/100,000 Hph          </v>
          </cell>
        </row>
        <row r="514">
          <cell r="E514" t="str">
            <v xml:space="preserve">lmf - US Pounds/Million Cubic Feet  </v>
          </cell>
        </row>
        <row r="515">
          <cell r="E515" t="str">
            <v xml:space="preserve">lmg - US Pounds/Million US Gallons  </v>
          </cell>
        </row>
        <row r="516">
          <cell r="E516" t="str">
            <v xml:space="preserve">ltb - US Pounds/1000 US Barrels     </v>
          </cell>
        </row>
        <row r="517">
          <cell r="E517" t="str">
            <v xml:space="preserve">ltf - US Pounds/1000 Cubic Feet     </v>
          </cell>
        </row>
        <row r="518">
          <cell r="E518" t="str">
            <v xml:space="preserve">ltg - US Pounds/Thousand US Gallons </v>
          </cell>
        </row>
        <row r="519">
          <cell r="E519" t="str">
            <v xml:space="preserve">lth - US Pounds/1000 Horsepower-Hrs </v>
          </cell>
        </row>
        <row r="520">
          <cell r="E520" t="str">
            <v xml:space="preserve">mHg - Millimeters Mercury           </v>
          </cell>
        </row>
        <row r="521">
          <cell r="E521" t="str">
            <v xml:space="preserve">mbb - Million BTU/US Barrel         </v>
          </cell>
        </row>
        <row r="522">
          <cell r="E522" t="str">
            <v xml:space="preserve">mbg - Million BTU/US Gallon         </v>
          </cell>
        </row>
        <row r="523">
          <cell r="E523" t="str">
            <v xml:space="preserve">mbk - Million BTU/Kilogram          </v>
          </cell>
        </row>
        <row r="524">
          <cell r="E524" t="str">
            <v xml:space="preserve">mbl - Million BTU/Pound             </v>
          </cell>
        </row>
        <row r="525">
          <cell r="E525" t="str">
            <v>mbm - MMBtu/Million Stnd. Cubic Feet</v>
          </cell>
        </row>
        <row r="526">
          <cell r="E526" t="str">
            <v xml:space="preserve">mbs - Million BTU/Stand. Cubic Feet </v>
          </cell>
        </row>
        <row r="527">
          <cell r="E527" t="str">
            <v xml:space="preserve">mbt - Million BTU/US Ton            </v>
          </cell>
        </row>
        <row r="528">
          <cell r="E528" t="str">
            <v xml:space="preserve">mjm - Megajoules/Cubic Meter        </v>
          </cell>
        </row>
        <row r="529">
          <cell r="E529" t="str">
            <v xml:space="preserve">mmB - Million British Thermal Units </v>
          </cell>
        </row>
        <row r="530">
          <cell r="E530" t="str">
            <v>sMb - Std Cubic Feet/Mil. US Barrels</v>
          </cell>
        </row>
        <row r="531">
          <cell r="E531" t="str">
            <v xml:space="preserve">scf - Standard Cubic Foot           </v>
          </cell>
        </row>
        <row r="532">
          <cell r="E532" t="str">
            <v xml:space="preserve">sch - Standard Cubic Feet/Hour      </v>
          </cell>
        </row>
        <row r="533">
          <cell r="E533" t="str">
            <v xml:space="preserve">scy - Standard Cubic Feet/Year      </v>
          </cell>
        </row>
        <row r="534">
          <cell r="E534" t="str">
            <v xml:space="preserve">tJH - US Tons/Year                  </v>
          </cell>
        </row>
        <row r="535">
          <cell r="E535" t="str">
            <v xml:space="preserve">tMb - Tonne/Million US Barrels      </v>
          </cell>
        </row>
        <row r="536">
          <cell r="E536" t="str">
            <v>tMs - Tonne/Mil. Standard Cubic Feet</v>
          </cell>
        </row>
        <row r="537">
          <cell r="E537" t="str">
            <v xml:space="preserve">tbl - Ton/US Barrel                 </v>
          </cell>
        </row>
        <row r="538">
          <cell r="E538" t="str">
            <v xml:space="preserve">tbt - Ton/British Thermal Unit      </v>
          </cell>
        </row>
        <row r="539">
          <cell r="E539" t="str">
            <v xml:space="preserve">tgl - US Ton/US Gallon              </v>
          </cell>
        </row>
        <row r="540">
          <cell r="E540" t="str">
            <v xml:space="preserve">thm - Therm (EC)                    </v>
          </cell>
        </row>
        <row r="541">
          <cell r="E541" t="str">
            <v xml:space="preserve">tjl - Ton/Joule                     </v>
          </cell>
        </row>
        <row r="542">
          <cell r="E542" t="str">
            <v xml:space="preserve">tm3 - Ton/1000 Cubic Meters         </v>
          </cell>
        </row>
        <row r="543">
          <cell r="E543" t="str">
            <v xml:space="preserve">tmt - US Tons/Month                 </v>
          </cell>
        </row>
        <row r="544">
          <cell r="E544" t="str">
            <v xml:space="preserve">toS - US Tons/Hour                  </v>
          </cell>
        </row>
        <row r="545">
          <cell r="E545" t="str">
            <v xml:space="preserve">tot - US Ton/US Ton                 </v>
          </cell>
        </row>
        <row r="546">
          <cell r="E546" t="str">
            <v xml:space="preserve">tt  - Ton/Ton                       </v>
          </cell>
        </row>
        <row r="547">
          <cell r="E547" t="str">
            <v xml:space="preserve">ttj - Ton/Terajoule                 </v>
          </cell>
        </row>
      </sheetData>
      <sheetData sheetId="13"/>
      <sheetData sheetId="14"/>
      <sheetData sheetId="15"/>
      <sheetData sheetId="16"/>
      <sheetData sheetId="17"/>
      <sheetData sheetId="18"/>
      <sheetData sheetId="19"/>
      <sheetData sheetId="20"/>
      <sheetData sheetId="21"/>
      <sheetData sheetId="22"/>
      <sheetData sheetId="23"/>
      <sheetData sheetId="24">
        <row r="7">
          <cell r="C7">
            <v>7300</v>
          </cell>
        </row>
        <row r="8">
          <cell r="C8">
            <v>7020</v>
          </cell>
        </row>
        <row r="9">
          <cell r="C9">
            <v>7160</v>
          </cell>
        </row>
        <row r="10">
          <cell r="C10">
            <v>7010</v>
          </cell>
        </row>
        <row r="11">
          <cell r="C11">
            <v>7000</v>
          </cell>
        </row>
      </sheetData>
      <sheetData sheetId="25"/>
      <sheetData sheetId="26"/>
      <sheetData sheetId="27"/>
      <sheetData sheetId="28"/>
      <sheetData sheetId="29">
        <row r="3">
          <cell r="B3" t="str">
            <v>ZRPI</v>
          </cell>
        </row>
      </sheetData>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ENU"/>
      <sheetName val="Plantilla MM"/>
      <sheetName val="Plantilla OC - CSI"/>
      <sheetName val="Plantilla IP"/>
      <sheetName val="Plantilla RCA"/>
      <sheetName val="Informacion"/>
      <sheetName val="GRUPO"/>
      <sheetName val="CENTRO"/>
      <sheetName val="ORGANIZACION"/>
      <sheetName val="IMPUESTOS"/>
      <sheetName val="Codigos Referenci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6243E-749D-440C-8A71-4F58A2086986}">
  <sheetPr codeName="Hoja23">
    <tabColor rgb="FF7030A0"/>
  </sheetPr>
  <dimension ref="A1:AY110"/>
  <sheetViews>
    <sheetView tabSelected="1" zoomScale="69" zoomScaleNormal="69" workbookViewId="0">
      <selection activeCell="A3" sqref="A3"/>
    </sheetView>
  </sheetViews>
  <sheetFormatPr baseColWidth="10" defaultColWidth="0" defaultRowHeight="16.5" x14ac:dyDescent="0.3"/>
  <cols>
    <col min="1" max="1" width="13.5703125" style="13" bestFit="1" customWidth="1"/>
    <col min="2" max="2" width="14.140625" style="13" bestFit="1" customWidth="1"/>
    <col min="3" max="3" width="53" style="13" bestFit="1" customWidth="1"/>
    <col min="4" max="4" width="30.42578125" style="13" bestFit="1" customWidth="1"/>
    <col min="5" max="5" width="28.28515625" style="13" bestFit="1" customWidth="1"/>
    <col min="6" max="6" width="28.28515625" style="13" customWidth="1"/>
    <col min="7" max="7" width="28.28515625" style="13" bestFit="1" customWidth="1"/>
    <col min="8" max="8" width="44.7109375" style="13" bestFit="1" customWidth="1"/>
    <col min="9" max="9" width="29" style="13" customWidth="1"/>
    <col min="10" max="10" width="27" style="13" customWidth="1"/>
    <col min="11" max="11" width="11.42578125" style="13" customWidth="1"/>
    <col min="12" max="14" width="32.5703125" style="13" customWidth="1"/>
    <col min="15" max="15" width="21.42578125" style="13" customWidth="1"/>
    <col min="16" max="17" width="11.42578125" style="13" customWidth="1"/>
    <col min="18" max="18" width="16.7109375" style="13" bestFit="1" customWidth="1"/>
    <col min="19" max="19" width="21.42578125" style="13" bestFit="1" customWidth="1"/>
    <col min="20" max="20" width="23.140625" style="13" bestFit="1" customWidth="1"/>
    <col min="21" max="21" width="19.140625" style="13" bestFit="1" customWidth="1"/>
    <col min="22" max="22" width="19.42578125" style="13" bestFit="1" customWidth="1"/>
    <col min="23" max="23" width="15.7109375" style="13" bestFit="1" customWidth="1"/>
    <col min="24" max="24" width="23.5703125" style="13" bestFit="1" customWidth="1"/>
    <col min="25" max="25" width="28.7109375" style="13" bestFit="1" customWidth="1"/>
    <col min="26" max="26" width="22.42578125" style="13" bestFit="1" customWidth="1"/>
    <col min="27" max="27" width="28.28515625" style="13" bestFit="1" customWidth="1"/>
    <col min="28" max="29" width="16.140625" style="13" bestFit="1" customWidth="1"/>
    <col min="30" max="30" width="17.5703125" style="13" bestFit="1" customWidth="1"/>
    <col min="31" max="31" width="39" style="14" bestFit="1" customWidth="1"/>
    <col min="32" max="32" width="31.140625" style="13" bestFit="1" customWidth="1"/>
    <col min="33" max="33" width="22.5703125" style="13" bestFit="1" customWidth="1"/>
    <col min="34" max="34" width="37.42578125" style="13" customWidth="1"/>
    <col min="35" max="35" width="121.7109375" style="13" bestFit="1" customWidth="1"/>
    <col min="36" max="36" width="37.42578125" style="14" customWidth="1"/>
    <col min="37" max="37" width="70.85546875" style="13" customWidth="1"/>
    <col min="38" max="43" width="0" style="5" hidden="1" customWidth="1"/>
    <col min="44" max="51" width="0" style="5" hidden="1"/>
    <col min="52" max="16384" width="11.42578125" style="5" hidden="1"/>
  </cols>
  <sheetData>
    <row r="1" spans="1:37" s="2" customFormat="1" ht="15.95" customHeight="1" x14ac:dyDescent="0.25">
      <c r="A1" s="1" t="s">
        <v>0</v>
      </c>
      <c r="B1" s="1" t="s">
        <v>0</v>
      </c>
      <c r="C1" s="1" t="s">
        <v>0</v>
      </c>
      <c r="D1" s="1" t="s">
        <v>0</v>
      </c>
      <c r="E1" s="1" t="s">
        <v>0</v>
      </c>
      <c r="F1" s="1" t="s">
        <v>0</v>
      </c>
      <c r="G1" s="1" t="s">
        <v>0</v>
      </c>
      <c r="H1" s="1" t="s">
        <v>1</v>
      </c>
      <c r="I1" s="1" t="s">
        <v>1</v>
      </c>
      <c r="J1" s="1" t="s">
        <v>1</v>
      </c>
      <c r="L1" s="1" t="s">
        <v>2</v>
      </c>
      <c r="M1" s="1" t="s">
        <v>2</v>
      </c>
      <c r="N1" s="1" t="s">
        <v>2</v>
      </c>
      <c r="O1" s="1" t="s">
        <v>2</v>
      </c>
      <c r="P1" s="1" t="s">
        <v>4624</v>
      </c>
      <c r="Q1" s="1"/>
      <c r="R1" s="1" t="s">
        <v>4623</v>
      </c>
      <c r="S1" s="1" t="s">
        <v>4623</v>
      </c>
      <c r="T1" s="1" t="s">
        <v>4623</v>
      </c>
      <c r="U1" s="1" t="s">
        <v>4623</v>
      </c>
      <c r="V1" s="1" t="s">
        <v>4623</v>
      </c>
      <c r="W1" s="1" t="s">
        <v>4623</v>
      </c>
      <c r="X1" s="1" t="s">
        <v>4623</v>
      </c>
      <c r="Y1" s="1" t="s">
        <v>4623</v>
      </c>
      <c r="Z1" s="1" t="s">
        <v>3</v>
      </c>
      <c r="AA1" s="1" t="s">
        <v>3</v>
      </c>
      <c r="AE1" s="1" t="s">
        <v>4</v>
      </c>
      <c r="AF1" s="1" t="s">
        <v>4</v>
      </c>
      <c r="AG1" s="1"/>
      <c r="AH1" s="1" t="s">
        <v>4</v>
      </c>
      <c r="AI1" s="1" t="s">
        <v>0</v>
      </c>
      <c r="AJ1" s="1" t="s">
        <v>4</v>
      </c>
    </row>
    <row r="2" spans="1:37" ht="47.25" customHeight="1" x14ac:dyDescent="0.3">
      <c r="A2" s="3" t="s">
        <v>5</v>
      </c>
      <c r="B2" s="3" t="s">
        <v>6</v>
      </c>
      <c r="C2" s="16" t="s">
        <v>7</v>
      </c>
      <c r="D2" s="16" t="s">
        <v>9</v>
      </c>
      <c r="E2" s="4" t="s">
        <v>10</v>
      </c>
      <c r="F2" s="26" t="s">
        <v>4613</v>
      </c>
      <c r="G2" s="4" t="s">
        <v>11</v>
      </c>
      <c r="H2" s="4" t="s">
        <v>12</v>
      </c>
      <c r="I2" s="15" t="s">
        <v>13</v>
      </c>
      <c r="J2" s="4" t="s">
        <v>14</v>
      </c>
      <c r="K2" s="16" t="s">
        <v>15</v>
      </c>
      <c r="L2" s="15" t="s">
        <v>16</v>
      </c>
      <c r="M2" s="16" t="s">
        <v>19</v>
      </c>
      <c r="N2" s="4" t="s">
        <v>18</v>
      </c>
      <c r="O2" s="4" t="s">
        <v>17</v>
      </c>
      <c r="P2" s="16" t="s">
        <v>20</v>
      </c>
      <c r="Q2" s="26" t="s">
        <v>4620</v>
      </c>
      <c r="R2" s="26" t="s">
        <v>4614</v>
      </c>
      <c r="S2" s="26" t="s">
        <v>4621</v>
      </c>
      <c r="T2" s="26" t="s">
        <v>4615</v>
      </c>
      <c r="U2" s="26" t="s">
        <v>4616</v>
      </c>
      <c r="V2" s="26" t="s">
        <v>4617</v>
      </c>
      <c r="W2" s="26" t="s">
        <v>4618</v>
      </c>
      <c r="X2" s="26" t="s">
        <v>4619</v>
      </c>
      <c r="Y2" s="26" t="s">
        <v>4622</v>
      </c>
      <c r="Z2" s="16" t="s">
        <v>4598</v>
      </c>
      <c r="AA2" s="4" t="s">
        <v>23</v>
      </c>
      <c r="AB2" s="16" t="s">
        <v>21</v>
      </c>
      <c r="AC2" s="16" t="s">
        <v>22</v>
      </c>
      <c r="AD2" s="16" t="s">
        <v>4598</v>
      </c>
      <c r="AE2" s="15" t="s">
        <v>26</v>
      </c>
      <c r="AF2" s="15" t="s">
        <v>24</v>
      </c>
      <c r="AG2" s="15" t="s">
        <v>4587</v>
      </c>
      <c r="AH2" s="4" t="s">
        <v>25</v>
      </c>
      <c r="AI2" s="16" t="s">
        <v>8</v>
      </c>
      <c r="AJ2" s="15" t="s">
        <v>27</v>
      </c>
      <c r="AK2" s="3" t="s">
        <v>28</v>
      </c>
    </row>
    <row r="3" spans="1:37" x14ac:dyDescent="0.3">
      <c r="A3" s="13" t="str">
        <f>+_xlfn.XLOOKUP(I3,Clases!A:A,Clases!O:O,0,0,1)</f>
        <v>E</v>
      </c>
      <c r="B3" s="13" t="str">
        <f>+_xlfn.XLOOKUP(I3,Clases!A:A,Clases!Q:Q,0,0,1)</f>
        <v>ZSUM</v>
      </c>
      <c r="C3" s="13" t="s">
        <v>4602</v>
      </c>
      <c r="D3" s="19" t="s">
        <v>4600</v>
      </c>
      <c r="E3" s="13" t="str">
        <f>+_xlfn.XLOOKUP(I3,Clases!A:A,Clases!N:N,0,0,1)</f>
        <v>SUM231200</v>
      </c>
      <c r="G3" s="13" t="str">
        <f>+_xlfn.XLOOKUP(I3,Clases!A:A,Clases!P:P,0,0,1)</f>
        <v>50</v>
      </c>
      <c r="H3" s="13" t="str">
        <f>+_xlfn.XLOOKUP(I3,Clases!A:A,Clases!R:R,0,0,1)</f>
        <v>47131800</v>
      </c>
      <c r="I3" s="18" t="s">
        <v>1583</v>
      </c>
      <c r="J3" s="13" t="str">
        <f>+_xlfn.XLOOKUP(I3,Clases!A:A,Clases!M:M,0,0,1)</f>
        <v>CMI02130200</v>
      </c>
      <c r="K3" s="13">
        <v>6000</v>
      </c>
      <c r="L3" s="13" t="s">
        <v>4610</v>
      </c>
      <c r="M3" s="13">
        <v>1</v>
      </c>
      <c r="N3" s="13" t="s">
        <v>30</v>
      </c>
      <c r="O3" s="13">
        <v>7</v>
      </c>
      <c r="P3" s="13">
        <v>1000</v>
      </c>
      <c r="Q3" s="27" t="s">
        <v>31</v>
      </c>
      <c r="R3" s="28"/>
      <c r="S3" s="28"/>
      <c r="T3" s="28"/>
      <c r="U3" s="28"/>
      <c r="V3" s="28"/>
      <c r="W3" s="28"/>
      <c r="X3" s="28"/>
      <c r="Y3" s="27" t="s">
        <v>33</v>
      </c>
      <c r="Z3" s="28"/>
      <c r="AA3" s="13" t="str">
        <f>+_xlfn.CONCAT(K3,"01")</f>
        <v>600001</v>
      </c>
      <c r="AB3" s="13">
        <v>601</v>
      </c>
      <c r="AC3" s="13" t="s">
        <v>4599</v>
      </c>
      <c r="AE3" s="14" t="str">
        <f>+IF(B3="ZHER","M",IF(B3="ZRPI","C",""))</f>
        <v/>
      </c>
      <c r="AF3" s="13">
        <v>3022</v>
      </c>
      <c r="AG3" s="13">
        <v>1</v>
      </c>
      <c r="AH3" s="13" t="s">
        <v>32</v>
      </c>
      <c r="AI3" s="13" t="s">
        <v>4604</v>
      </c>
      <c r="AJ3" s="14" t="str">
        <f>+IF(B3="ZHER","NUEVAHER",IF(B3="ZRPI","NUEVOREP",""))</f>
        <v/>
      </c>
    </row>
    <row r="4" spans="1:37" x14ac:dyDescent="0.3">
      <c r="A4" s="13" t="str">
        <f>+_xlfn.XLOOKUP(I4,Clases!A:A,Clases!O:O,0,0,1)</f>
        <v>E</v>
      </c>
      <c r="B4" s="13" t="str">
        <f>+_xlfn.XLOOKUP(I4,Clases!A:A,Clases!Q:Q,0,0,1)</f>
        <v>ZSEG</v>
      </c>
      <c r="C4" s="13" t="s">
        <v>4603</v>
      </c>
      <c r="D4" s="19" t="s">
        <v>4600</v>
      </c>
      <c r="E4" s="13" t="str">
        <f>+_xlfn.XLOOKUP(I4,Clases!A:A,Clases!N:N,0,0,1)</f>
        <v>SEG221100</v>
      </c>
      <c r="G4" s="13" t="str">
        <f>+_xlfn.XLOOKUP(I4,Clases!A:A,Clases!P:P,0,0,1)</f>
        <v>50</v>
      </c>
      <c r="H4" s="13" t="str">
        <f>+_xlfn.XLOOKUP(I4,Clases!A:A,Clases!R:R,0,0,1)</f>
        <v>53101602</v>
      </c>
      <c r="I4" s="18" t="s">
        <v>2633</v>
      </c>
      <c r="J4" s="13" t="str">
        <f>+_xlfn.XLOOKUP(I4,Clases!A:A,Clases!M:M,0,0,1)</f>
        <v>CMI02170400</v>
      </c>
      <c r="K4" s="25" t="s">
        <v>4611</v>
      </c>
      <c r="L4" s="13" t="s">
        <v>4601</v>
      </c>
      <c r="M4" s="13">
        <v>1</v>
      </c>
      <c r="N4" s="13" t="s">
        <v>30</v>
      </c>
      <c r="O4" s="13">
        <v>7</v>
      </c>
      <c r="P4" s="13">
        <v>1000</v>
      </c>
      <c r="Q4" s="27" t="s">
        <v>31</v>
      </c>
      <c r="R4" s="28"/>
      <c r="S4" s="28"/>
      <c r="T4" s="28"/>
      <c r="U4" s="28"/>
      <c r="V4" s="28"/>
      <c r="W4" s="28"/>
      <c r="X4" s="28"/>
      <c r="Y4" s="27" t="s">
        <v>33</v>
      </c>
      <c r="Z4" s="28"/>
      <c r="AA4" s="13" t="str">
        <f>+_xlfn.CONCAT(K4,"01")</f>
        <v>6E9101</v>
      </c>
      <c r="AB4" s="13" t="s">
        <v>4612</v>
      </c>
      <c r="AC4" s="13" t="s">
        <v>4599</v>
      </c>
      <c r="AE4" s="14" t="str">
        <f>+IF(B4="ZHER","M",IF(B4="ZRPI","C",""))</f>
        <v/>
      </c>
      <c r="AF4" s="13">
        <v>3141</v>
      </c>
      <c r="AG4" s="13">
        <v>1</v>
      </c>
      <c r="AH4" s="13" t="s">
        <v>32</v>
      </c>
      <c r="AI4" s="13" t="s">
        <v>4605</v>
      </c>
      <c r="AJ4" s="14" t="str">
        <f>+IF(B4="ZHER","NUEVAHER",IF(B4="ZRPI","NUEVOREP",""))</f>
        <v/>
      </c>
    </row>
    <row r="5" spans="1:37" x14ac:dyDescent="0.3">
      <c r="A5" s="13" t="str">
        <f>+_xlfn.XLOOKUP(I5,Clases!A:A,Clases!O:O,0,0,1)</f>
        <v>E</v>
      </c>
      <c r="B5" s="13" t="str">
        <f>+_xlfn.XLOOKUP(I5,Clases!A:A,Clases!Q:Q,0,0,1)</f>
        <v>ZSEG</v>
      </c>
      <c r="C5" s="13" t="s">
        <v>4606</v>
      </c>
      <c r="D5" s="19" t="s">
        <v>4600</v>
      </c>
      <c r="E5" s="13" t="str">
        <f>+_xlfn.XLOOKUP(I5,Clases!A:A,Clases!N:N,0,0,1)</f>
        <v>SEG221100</v>
      </c>
      <c r="G5" s="13" t="str">
        <f>+_xlfn.XLOOKUP(I5,Clases!A:A,Clases!P:P,0,0,1)</f>
        <v>50</v>
      </c>
      <c r="H5" s="13" t="str">
        <f>+_xlfn.XLOOKUP(I5,Clases!A:A,Clases!R:R,0,0,1)</f>
        <v>53101602</v>
      </c>
      <c r="I5" s="18" t="s">
        <v>2633</v>
      </c>
      <c r="J5" s="13" t="str">
        <f>+_xlfn.XLOOKUP(I5,Clases!A:A,Clases!M:M,0,0,1)</f>
        <v>CMI02170400</v>
      </c>
      <c r="K5" s="25" t="s">
        <v>4611</v>
      </c>
      <c r="L5" s="13" t="s">
        <v>4601</v>
      </c>
      <c r="M5" s="13">
        <v>1</v>
      </c>
      <c r="N5" s="13" t="s">
        <v>30</v>
      </c>
      <c r="O5" s="13">
        <v>7</v>
      </c>
      <c r="P5" s="13">
        <v>1000</v>
      </c>
      <c r="Q5" s="27" t="s">
        <v>31</v>
      </c>
      <c r="R5" s="28"/>
      <c r="S5" s="28"/>
      <c r="T5" s="28"/>
      <c r="U5" s="28"/>
      <c r="V5" s="28"/>
      <c r="W5" s="28"/>
      <c r="X5" s="28"/>
      <c r="Y5" s="27" t="s">
        <v>33</v>
      </c>
      <c r="Z5" s="28"/>
      <c r="AA5" s="13" t="str">
        <f>+_xlfn.CONCAT(K5,"01")</f>
        <v>6E9101</v>
      </c>
      <c r="AB5" s="13" t="s">
        <v>4612</v>
      </c>
      <c r="AC5" s="13" t="s">
        <v>4599</v>
      </c>
      <c r="AE5" s="14" t="str">
        <f>+IF(B5="ZHER","M",IF(B5="ZRPI","C",""))</f>
        <v/>
      </c>
      <c r="AF5" s="13">
        <v>3141</v>
      </c>
      <c r="AG5" s="13">
        <v>1</v>
      </c>
      <c r="AH5" s="13" t="s">
        <v>32</v>
      </c>
      <c r="AI5" s="13" t="s">
        <v>4607</v>
      </c>
      <c r="AJ5" s="14" t="str">
        <f>+IF(B5="ZHER","NUEVAHER",IF(B5="ZRPI","NUEVOREP",""))</f>
        <v/>
      </c>
    </row>
    <row r="6" spans="1:37" x14ac:dyDescent="0.3">
      <c r="A6" s="13" t="str">
        <f>+_xlfn.XLOOKUP(I6,Clases!A:A,Clases!O:O,0,0,1)</f>
        <v>E</v>
      </c>
      <c r="B6" s="13" t="str">
        <f>+_xlfn.XLOOKUP(I6,Clases!A:A,Clases!Q:Q,0,0,1)</f>
        <v>ZSEG</v>
      </c>
      <c r="C6" s="13" t="s">
        <v>4608</v>
      </c>
      <c r="D6" s="19" t="s">
        <v>4600</v>
      </c>
      <c r="E6" s="13" t="str">
        <f>+_xlfn.XLOOKUP(I6,Clases!A:A,Clases!N:N,0,0,1)</f>
        <v>SEG221100</v>
      </c>
      <c r="G6" s="13" t="str">
        <f>+_xlfn.XLOOKUP(I6,Clases!A:A,Clases!P:P,0,0,1)</f>
        <v>50</v>
      </c>
      <c r="H6" s="13" t="str">
        <f>+_xlfn.XLOOKUP(I6,Clases!A:A,Clases!R:R,0,0,1)</f>
        <v>53101602</v>
      </c>
      <c r="I6" s="18" t="s">
        <v>2633</v>
      </c>
      <c r="J6" s="13" t="str">
        <f>+_xlfn.XLOOKUP(I6,Clases!A:A,Clases!M:M,0,0,1)</f>
        <v>CMI02170400</v>
      </c>
      <c r="K6" s="25" t="s">
        <v>4611</v>
      </c>
      <c r="L6" s="13" t="s">
        <v>4601</v>
      </c>
      <c r="M6" s="13">
        <v>1</v>
      </c>
      <c r="N6" s="13" t="s">
        <v>30</v>
      </c>
      <c r="O6" s="13">
        <v>7</v>
      </c>
      <c r="P6" s="13">
        <v>1000</v>
      </c>
      <c r="Q6" s="27" t="s">
        <v>31</v>
      </c>
      <c r="R6" s="28"/>
      <c r="S6" s="28"/>
      <c r="T6" s="28"/>
      <c r="U6" s="28"/>
      <c r="V6" s="28"/>
      <c r="W6" s="28"/>
      <c r="X6" s="28"/>
      <c r="Y6" s="27" t="s">
        <v>33</v>
      </c>
      <c r="Z6" s="28"/>
      <c r="AA6" s="13" t="str">
        <f>+_xlfn.CONCAT(K6,"01")</f>
        <v>6E9101</v>
      </c>
      <c r="AB6" s="13" t="s">
        <v>4612</v>
      </c>
      <c r="AC6" s="13" t="s">
        <v>4599</v>
      </c>
      <c r="AE6" s="14" t="str">
        <f>+IF(B6="ZHER","M",IF(B6="ZRPI","C",""))</f>
        <v/>
      </c>
      <c r="AF6" s="13">
        <v>3141</v>
      </c>
      <c r="AG6" s="13">
        <v>1</v>
      </c>
      <c r="AH6" s="13" t="s">
        <v>32</v>
      </c>
      <c r="AI6" s="13" t="s">
        <v>4609</v>
      </c>
      <c r="AJ6" s="14" t="str">
        <f t="shared" ref="AJ6" si="0">+IF(B6="ZHER","NUEVAHER",IF(B6="ZRPI","NUEVOREP",""))</f>
        <v/>
      </c>
    </row>
    <row r="7" spans="1:37" x14ac:dyDescent="0.3">
      <c r="D7" s="19"/>
      <c r="I7" s="18"/>
    </row>
    <row r="8" spans="1:37" x14ac:dyDescent="0.3">
      <c r="D8" s="19"/>
      <c r="I8" s="18"/>
    </row>
    <row r="9" spans="1:37" x14ac:dyDescent="0.3">
      <c r="D9" s="19"/>
      <c r="I9" s="18"/>
    </row>
    <row r="10" spans="1:37" x14ac:dyDescent="0.3">
      <c r="D10" s="19"/>
      <c r="I10" s="18"/>
    </row>
    <row r="11" spans="1:37" x14ac:dyDescent="0.3">
      <c r="D11" s="19"/>
      <c r="I11" s="18"/>
    </row>
    <row r="12" spans="1:37" x14ac:dyDescent="0.3">
      <c r="D12" s="19"/>
      <c r="I12" s="18"/>
    </row>
    <row r="13" spans="1:37" x14ac:dyDescent="0.3">
      <c r="D13" s="19"/>
      <c r="I13" s="18"/>
    </row>
    <row r="14" spans="1:37" x14ac:dyDescent="0.3">
      <c r="D14" s="19"/>
      <c r="I14" s="18"/>
    </row>
    <row r="15" spans="1:37" x14ac:dyDescent="0.3">
      <c r="D15" s="19"/>
      <c r="I15" s="18"/>
    </row>
    <row r="16" spans="1:37" x14ac:dyDescent="0.3">
      <c r="D16" s="19"/>
      <c r="I16" s="18"/>
    </row>
    <row r="17" spans="4:9" x14ac:dyDescent="0.3">
      <c r="D17" s="19"/>
      <c r="I17" s="18"/>
    </row>
    <row r="18" spans="4:9" x14ac:dyDescent="0.3">
      <c r="D18" s="19"/>
      <c r="I18" s="18"/>
    </row>
    <row r="19" spans="4:9" x14ac:dyDescent="0.3">
      <c r="D19" s="19"/>
      <c r="I19" s="18"/>
    </row>
    <row r="20" spans="4:9" x14ac:dyDescent="0.3">
      <c r="D20" s="19"/>
      <c r="I20" s="18"/>
    </row>
    <row r="21" spans="4:9" x14ac:dyDescent="0.3">
      <c r="D21" s="19"/>
      <c r="I21" s="18"/>
    </row>
    <row r="22" spans="4:9" x14ac:dyDescent="0.3">
      <c r="D22" s="19"/>
      <c r="I22" s="18"/>
    </row>
    <row r="23" spans="4:9" x14ac:dyDescent="0.3">
      <c r="D23" s="19"/>
      <c r="I23" s="18"/>
    </row>
    <row r="24" spans="4:9" x14ac:dyDescent="0.3">
      <c r="D24" s="19"/>
      <c r="I24" s="18"/>
    </row>
    <row r="25" spans="4:9" x14ac:dyDescent="0.3">
      <c r="D25" s="19"/>
      <c r="I25" s="18"/>
    </row>
    <row r="26" spans="4:9" x14ac:dyDescent="0.3">
      <c r="D26" s="19"/>
      <c r="I26" s="18"/>
    </row>
    <row r="27" spans="4:9" x14ac:dyDescent="0.3">
      <c r="D27" s="19"/>
      <c r="I27" s="18"/>
    </row>
    <row r="28" spans="4:9" x14ac:dyDescent="0.3">
      <c r="D28" s="19"/>
      <c r="I28" s="18"/>
    </row>
    <row r="29" spans="4:9" x14ac:dyDescent="0.3">
      <c r="D29" s="19"/>
      <c r="I29" s="18"/>
    </row>
    <row r="30" spans="4:9" x14ac:dyDescent="0.3">
      <c r="D30" s="19"/>
      <c r="I30" s="18"/>
    </row>
    <row r="31" spans="4:9" x14ac:dyDescent="0.3">
      <c r="D31" s="19"/>
      <c r="I31" s="18"/>
    </row>
    <row r="32" spans="4:9" x14ac:dyDescent="0.3">
      <c r="D32" s="19"/>
      <c r="I32" s="18"/>
    </row>
    <row r="33" spans="4:9" x14ac:dyDescent="0.3">
      <c r="D33" s="19"/>
      <c r="I33" s="18"/>
    </row>
    <row r="34" spans="4:9" x14ac:dyDescent="0.3">
      <c r="D34" s="19"/>
      <c r="I34" s="18"/>
    </row>
    <row r="35" spans="4:9" x14ac:dyDescent="0.3">
      <c r="D35" s="19"/>
      <c r="I35" s="18"/>
    </row>
    <row r="36" spans="4:9" x14ac:dyDescent="0.3">
      <c r="D36" s="19"/>
      <c r="I36" s="18"/>
    </row>
    <row r="37" spans="4:9" x14ac:dyDescent="0.3">
      <c r="D37" s="19"/>
      <c r="I37" s="18"/>
    </row>
    <row r="38" spans="4:9" x14ac:dyDescent="0.3">
      <c r="D38" s="19"/>
      <c r="I38" s="18"/>
    </row>
    <row r="39" spans="4:9" x14ac:dyDescent="0.3">
      <c r="D39" s="19"/>
      <c r="I39" s="18"/>
    </row>
    <row r="40" spans="4:9" x14ac:dyDescent="0.3">
      <c r="D40" s="19"/>
      <c r="I40" s="18"/>
    </row>
    <row r="41" spans="4:9" x14ac:dyDescent="0.3">
      <c r="D41" s="19"/>
      <c r="I41" s="18"/>
    </row>
    <row r="42" spans="4:9" x14ac:dyDescent="0.3">
      <c r="D42" s="19"/>
      <c r="I42" s="18"/>
    </row>
    <row r="43" spans="4:9" x14ac:dyDescent="0.3">
      <c r="D43" s="19"/>
      <c r="I43" s="18"/>
    </row>
    <row r="44" spans="4:9" x14ac:dyDescent="0.3">
      <c r="D44" s="19"/>
      <c r="I44" s="18"/>
    </row>
    <row r="45" spans="4:9" x14ac:dyDescent="0.3">
      <c r="D45" s="19"/>
      <c r="I45" s="18"/>
    </row>
    <row r="46" spans="4:9" x14ac:dyDescent="0.3">
      <c r="D46" s="19"/>
      <c r="I46" s="18"/>
    </row>
    <row r="47" spans="4:9" x14ac:dyDescent="0.3">
      <c r="D47" s="19"/>
      <c r="I47" s="18"/>
    </row>
    <row r="48" spans="4:9" x14ac:dyDescent="0.3">
      <c r="D48" s="19"/>
      <c r="I48" s="18"/>
    </row>
    <row r="49" spans="4:9" x14ac:dyDescent="0.3">
      <c r="D49" s="19"/>
      <c r="I49" s="18"/>
    </row>
    <row r="50" spans="4:9" x14ac:dyDescent="0.3">
      <c r="D50" s="19"/>
      <c r="I50" s="18"/>
    </row>
    <row r="51" spans="4:9" x14ac:dyDescent="0.3">
      <c r="D51" s="19"/>
      <c r="I51" s="18"/>
    </row>
    <row r="52" spans="4:9" x14ac:dyDescent="0.3">
      <c r="D52" s="19"/>
      <c r="I52" s="18"/>
    </row>
    <row r="53" spans="4:9" x14ac:dyDescent="0.3">
      <c r="D53" s="19"/>
      <c r="I53" s="18"/>
    </row>
    <row r="54" spans="4:9" x14ac:dyDescent="0.3">
      <c r="D54" s="19"/>
      <c r="I54" s="18"/>
    </row>
    <row r="55" spans="4:9" x14ac:dyDescent="0.3">
      <c r="D55" s="19"/>
      <c r="I55" s="18"/>
    </row>
    <row r="56" spans="4:9" x14ac:dyDescent="0.3">
      <c r="D56" s="19"/>
      <c r="I56" s="18"/>
    </row>
    <row r="57" spans="4:9" x14ac:dyDescent="0.3">
      <c r="D57" s="19"/>
      <c r="I57" s="18"/>
    </row>
    <row r="58" spans="4:9" x14ac:dyDescent="0.3">
      <c r="D58" s="19"/>
      <c r="I58" s="18"/>
    </row>
    <row r="59" spans="4:9" x14ac:dyDescent="0.3">
      <c r="D59" s="19"/>
      <c r="I59" s="18"/>
    </row>
    <row r="60" spans="4:9" x14ac:dyDescent="0.3">
      <c r="D60" s="19"/>
      <c r="I60" s="18"/>
    </row>
    <row r="61" spans="4:9" x14ac:dyDescent="0.3">
      <c r="D61" s="19"/>
      <c r="I61" s="18"/>
    </row>
    <row r="62" spans="4:9" x14ac:dyDescent="0.3">
      <c r="D62" s="19"/>
      <c r="I62" s="18"/>
    </row>
    <row r="63" spans="4:9" x14ac:dyDescent="0.3">
      <c r="D63" s="19"/>
      <c r="I63" s="18"/>
    </row>
    <row r="64" spans="4:9" x14ac:dyDescent="0.3">
      <c r="D64" s="19"/>
      <c r="I64" s="18"/>
    </row>
    <row r="65" spans="4:9" x14ac:dyDescent="0.3">
      <c r="D65" s="19"/>
      <c r="I65" s="18"/>
    </row>
    <row r="66" spans="4:9" x14ac:dyDescent="0.3">
      <c r="D66" s="19"/>
      <c r="I66" s="18"/>
    </row>
    <row r="67" spans="4:9" x14ac:dyDescent="0.3">
      <c r="D67" s="19"/>
      <c r="I67" s="18"/>
    </row>
    <row r="68" spans="4:9" x14ac:dyDescent="0.3">
      <c r="D68" s="19"/>
      <c r="I68" s="18"/>
    </row>
    <row r="69" spans="4:9" x14ac:dyDescent="0.3">
      <c r="D69" s="19"/>
      <c r="I69" s="18"/>
    </row>
    <row r="70" spans="4:9" x14ac:dyDescent="0.3">
      <c r="D70" s="19"/>
      <c r="I70" s="18"/>
    </row>
    <row r="71" spans="4:9" x14ac:dyDescent="0.3">
      <c r="D71" s="19"/>
      <c r="I71" s="18"/>
    </row>
    <row r="72" spans="4:9" x14ac:dyDescent="0.3">
      <c r="D72" s="19"/>
      <c r="I72" s="18"/>
    </row>
    <row r="73" spans="4:9" x14ac:dyDescent="0.3">
      <c r="D73" s="19"/>
      <c r="I73" s="18"/>
    </row>
    <row r="74" spans="4:9" x14ac:dyDescent="0.3">
      <c r="D74" s="19"/>
      <c r="I74" s="18"/>
    </row>
    <row r="75" spans="4:9" x14ac:dyDescent="0.3">
      <c r="D75" s="19"/>
      <c r="I75" s="18"/>
    </row>
    <row r="76" spans="4:9" x14ac:dyDescent="0.3">
      <c r="D76" s="19"/>
      <c r="I76" s="18"/>
    </row>
    <row r="77" spans="4:9" x14ac:dyDescent="0.3">
      <c r="D77" s="19"/>
      <c r="I77" s="18"/>
    </row>
    <row r="78" spans="4:9" x14ac:dyDescent="0.3">
      <c r="D78" s="19"/>
      <c r="I78" s="18"/>
    </row>
    <row r="79" spans="4:9" x14ac:dyDescent="0.3">
      <c r="D79" s="19"/>
      <c r="I79" s="18"/>
    </row>
    <row r="80" spans="4:9" x14ac:dyDescent="0.3">
      <c r="D80" s="19"/>
      <c r="I80" s="18"/>
    </row>
    <row r="81" spans="4:9" x14ac:dyDescent="0.3">
      <c r="D81" s="19"/>
      <c r="I81" s="18"/>
    </row>
    <row r="82" spans="4:9" x14ac:dyDescent="0.3">
      <c r="D82" s="19"/>
      <c r="I82" s="18"/>
    </row>
    <row r="83" spans="4:9" x14ac:dyDescent="0.3">
      <c r="D83" s="19"/>
      <c r="I83" s="18"/>
    </row>
    <row r="84" spans="4:9" x14ac:dyDescent="0.3">
      <c r="D84" s="19"/>
      <c r="I84" s="18"/>
    </row>
    <row r="85" spans="4:9" x14ac:dyDescent="0.3">
      <c r="D85" s="19"/>
      <c r="I85" s="18"/>
    </row>
    <row r="86" spans="4:9" x14ac:dyDescent="0.3">
      <c r="D86" s="19"/>
      <c r="I86" s="18"/>
    </row>
    <row r="87" spans="4:9" x14ac:dyDescent="0.3">
      <c r="D87" s="19"/>
      <c r="I87" s="18"/>
    </row>
    <row r="88" spans="4:9" x14ac:dyDescent="0.3">
      <c r="D88" s="19"/>
      <c r="I88" s="18"/>
    </row>
    <row r="89" spans="4:9" x14ac:dyDescent="0.3">
      <c r="D89" s="19"/>
      <c r="I89" s="18"/>
    </row>
    <row r="90" spans="4:9" x14ac:dyDescent="0.3">
      <c r="D90" s="19"/>
      <c r="I90" s="18"/>
    </row>
    <row r="91" spans="4:9" x14ac:dyDescent="0.3">
      <c r="D91" s="19"/>
      <c r="I91" s="18"/>
    </row>
    <row r="92" spans="4:9" x14ac:dyDescent="0.3">
      <c r="D92" s="19"/>
      <c r="I92" s="18"/>
    </row>
    <row r="93" spans="4:9" x14ac:dyDescent="0.3">
      <c r="D93" s="19"/>
      <c r="I93" s="18"/>
    </row>
    <row r="94" spans="4:9" x14ac:dyDescent="0.3">
      <c r="D94" s="19"/>
      <c r="I94" s="18"/>
    </row>
    <row r="95" spans="4:9" x14ac:dyDescent="0.3">
      <c r="D95" s="19"/>
      <c r="I95" s="18"/>
    </row>
    <row r="96" spans="4:9" x14ac:dyDescent="0.3">
      <c r="D96" s="19"/>
      <c r="I96" s="18"/>
    </row>
    <row r="97" spans="4:9" x14ac:dyDescent="0.3">
      <c r="D97" s="19"/>
      <c r="I97" s="18"/>
    </row>
    <row r="98" spans="4:9" x14ac:dyDescent="0.3">
      <c r="D98" s="19"/>
      <c r="I98" s="18"/>
    </row>
    <row r="99" spans="4:9" x14ac:dyDescent="0.3">
      <c r="D99" s="19"/>
      <c r="I99" s="18"/>
    </row>
    <row r="100" spans="4:9" x14ac:dyDescent="0.3">
      <c r="D100" s="19"/>
      <c r="I100" s="18"/>
    </row>
    <row r="101" spans="4:9" x14ac:dyDescent="0.3">
      <c r="D101" s="19"/>
      <c r="I101" s="18"/>
    </row>
    <row r="102" spans="4:9" x14ac:dyDescent="0.3">
      <c r="D102" s="19"/>
      <c r="I102" s="18"/>
    </row>
    <row r="103" spans="4:9" x14ac:dyDescent="0.3">
      <c r="D103" s="19"/>
      <c r="I103" s="18"/>
    </row>
    <row r="104" spans="4:9" x14ac:dyDescent="0.3">
      <c r="D104" s="19"/>
      <c r="I104" s="18"/>
    </row>
    <row r="105" spans="4:9" x14ac:dyDescent="0.3">
      <c r="D105" s="19"/>
      <c r="I105" s="18"/>
    </row>
    <row r="106" spans="4:9" x14ac:dyDescent="0.3">
      <c r="D106" s="19"/>
      <c r="I106" s="18"/>
    </row>
    <row r="107" spans="4:9" x14ac:dyDescent="0.3">
      <c r="D107" s="19"/>
      <c r="I107" s="18"/>
    </row>
    <row r="108" spans="4:9" x14ac:dyDescent="0.3">
      <c r="D108" s="19"/>
      <c r="I108" s="18"/>
    </row>
    <row r="109" spans="4:9" x14ac:dyDescent="0.3">
      <c r="D109" s="19"/>
      <c r="I109" s="18"/>
    </row>
    <row r="110" spans="4:9" x14ac:dyDescent="0.3">
      <c r="D110" s="19"/>
      <c r="I110" s="18"/>
    </row>
  </sheetData>
  <autoFilter ref="A2:AK50" xr:uid="{09D6243E-749D-440C-8A71-4F58A2086986}">
    <sortState xmlns:xlrd2="http://schemas.microsoft.com/office/spreadsheetml/2017/richdata2" ref="A3:AK50">
      <sortCondition ref="C2:C50"/>
    </sortState>
  </autoFilter>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4CE75-6863-4A37-A706-0E31DFA184AF}">
  <sheetPr filterMode="1">
    <pageSetUpPr fitToPage="1"/>
  </sheetPr>
  <dimension ref="A1:R1539"/>
  <sheetViews>
    <sheetView workbookViewId="0">
      <selection activeCell="B493" sqref="B493"/>
    </sheetView>
  </sheetViews>
  <sheetFormatPr baseColWidth="10" defaultColWidth="9.140625" defaultRowHeight="12.75" x14ac:dyDescent="0.2"/>
  <cols>
    <col min="1" max="1" width="20.5703125" style="21" customWidth="1"/>
    <col min="2" max="12" width="20.5703125" style="6" customWidth="1"/>
    <col min="13" max="13" width="13.42578125" style="10" bestFit="1" customWidth="1"/>
    <col min="14" max="15" width="9.140625" style="10"/>
    <col min="16" max="17" width="12.28515625" style="10" bestFit="1" customWidth="1"/>
    <col min="18" max="18" width="9.140625" style="10"/>
    <col min="19" max="16384" width="9.140625" style="6"/>
  </cols>
  <sheetData>
    <row r="1" spans="1:18" x14ac:dyDescent="0.2">
      <c r="A1" s="20" t="s">
        <v>4586</v>
      </c>
      <c r="B1" s="11" t="s">
        <v>4585</v>
      </c>
      <c r="C1" s="11" t="s">
        <v>4584</v>
      </c>
      <c r="D1" s="11" t="s">
        <v>4583</v>
      </c>
      <c r="E1" s="11" t="s">
        <v>4582</v>
      </c>
      <c r="F1" s="11" t="s">
        <v>4581</v>
      </c>
      <c r="G1" s="11" t="s">
        <v>4580</v>
      </c>
      <c r="H1" s="11" t="s">
        <v>5</v>
      </c>
      <c r="I1" s="11" t="s">
        <v>4579</v>
      </c>
      <c r="J1" s="11" t="s">
        <v>4578</v>
      </c>
      <c r="K1" s="11" t="s">
        <v>4577</v>
      </c>
      <c r="L1" s="11" t="s">
        <v>4576</v>
      </c>
      <c r="M1" s="12" t="s">
        <v>4583</v>
      </c>
      <c r="N1" s="12" t="s">
        <v>4580</v>
      </c>
      <c r="O1" s="12" t="s">
        <v>5</v>
      </c>
      <c r="P1" s="12" t="s">
        <v>4579</v>
      </c>
      <c r="Q1" s="12" t="s">
        <v>4578</v>
      </c>
      <c r="R1" s="12" t="s">
        <v>4577</v>
      </c>
    </row>
    <row r="2" spans="1:18" ht="25.5" hidden="1" x14ac:dyDescent="0.2">
      <c r="A2" s="21" t="s">
        <v>4575</v>
      </c>
      <c r="B2" s="8" t="s">
        <v>4574</v>
      </c>
      <c r="C2" s="8" t="s">
        <v>40</v>
      </c>
      <c r="D2" s="8" t="s">
        <v>70</v>
      </c>
      <c r="E2" s="8" t="s">
        <v>40</v>
      </c>
      <c r="F2" s="8" t="s">
        <v>39</v>
      </c>
      <c r="G2" s="8" t="s">
        <v>4573</v>
      </c>
      <c r="H2" s="8" t="s">
        <v>37</v>
      </c>
      <c r="I2" s="8" t="s">
        <v>53</v>
      </c>
      <c r="J2" s="8" t="s">
        <v>4572</v>
      </c>
      <c r="K2" s="8" t="s">
        <v>4571</v>
      </c>
      <c r="L2" s="7">
        <v>6740</v>
      </c>
      <c r="M2" s="10" t="str">
        <f>+LEFT(D2,11)</f>
        <v>CMI01030400</v>
      </c>
      <c r="N2" s="10" t="str">
        <f>+LEFT(G2,9)</f>
        <v>ART371000</v>
      </c>
      <c r="O2" s="10" t="str">
        <f>+LEFT(H2,1)</f>
        <v>E</v>
      </c>
      <c r="P2" s="10" t="str">
        <f>+LEFT(I2,2)</f>
        <v>50</v>
      </c>
      <c r="Q2" s="10" t="str">
        <f>+LEFT(J2,4)</f>
        <v>ZART</v>
      </c>
      <c r="R2" s="10" t="str">
        <f>+LEFT(K2,8)</f>
        <v>60121001</v>
      </c>
    </row>
    <row r="3" spans="1:18" ht="25.5" hidden="1" x14ac:dyDescent="0.2">
      <c r="A3" s="21" t="s">
        <v>4570</v>
      </c>
      <c r="B3" s="8" t="s">
        <v>4569</v>
      </c>
      <c r="C3" s="8" t="s">
        <v>40</v>
      </c>
      <c r="D3" s="8" t="s">
        <v>2147</v>
      </c>
      <c r="E3" s="8" t="s">
        <v>40</v>
      </c>
      <c r="F3" s="8" t="s">
        <v>39</v>
      </c>
      <c r="G3" s="8" t="s">
        <v>4282</v>
      </c>
      <c r="H3" s="8" t="s">
        <v>37</v>
      </c>
      <c r="I3" s="8" t="s">
        <v>53</v>
      </c>
      <c r="J3" s="8" t="s">
        <v>104</v>
      </c>
      <c r="K3" s="8" t="s">
        <v>4568</v>
      </c>
      <c r="L3" s="7">
        <v>6741</v>
      </c>
      <c r="M3" s="10" t="str">
        <f t="shared" ref="M3:M66" si="0">+LEFT(D3,11)</f>
        <v>CMI02050200</v>
      </c>
      <c r="N3" s="10" t="str">
        <f t="shared" ref="N3:N66" si="1">+LEFT(G3,9)</f>
        <v>CON251100</v>
      </c>
      <c r="O3" s="10" t="str">
        <f t="shared" ref="O3:O66" si="2">+LEFT(H3,1)</f>
        <v>E</v>
      </c>
      <c r="P3" s="10" t="str">
        <f t="shared" ref="P3:P66" si="3">+LEFT(I3,2)</f>
        <v>50</v>
      </c>
      <c r="Q3" s="10" t="str">
        <f t="shared" ref="Q3:Q66" si="4">+LEFT(J3,4)</f>
        <v>ZCON</v>
      </c>
      <c r="R3" s="10" t="str">
        <f t="shared" ref="R3:R66" si="5">+LEFT(K3,8)</f>
        <v>30181700</v>
      </c>
    </row>
    <row r="4" spans="1:18" ht="25.5" hidden="1" x14ac:dyDescent="0.2">
      <c r="A4" s="21" t="s">
        <v>4567</v>
      </c>
      <c r="B4" s="8" t="s">
        <v>4566</v>
      </c>
      <c r="C4" s="8" t="s">
        <v>40</v>
      </c>
      <c r="D4" s="8" t="s">
        <v>321</v>
      </c>
      <c r="E4" s="8" t="s">
        <v>40</v>
      </c>
      <c r="F4" s="8" t="s">
        <v>39</v>
      </c>
      <c r="G4" s="8" t="s">
        <v>4282</v>
      </c>
      <c r="H4" s="8" t="s">
        <v>37</v>
      </c>
      <c r="I4" s="8" t="s">
        <v>53</v>
      </c>
      <c r="J4" s="8" t="s">
        <v>104</v>
      </c>
      <c r="K4" s="8" t="s">
        <v>4507</v>
      </c>
      <c r="L4" s="7">
        <v>6742</v>
      </c>
      <c r="M4" s="10" t="str">
        <f t="shared" si="0"/>
        <v>CMI02050100</v>
      </c>
      <c r="N4" s="10" t="str">
        <f t="shared" si="1"/>
        <v>CON251100</v>
      </c>
      <c r="O4" s="10" t="str">
        <f t="shared" si="2"/>
        <v>E</v>
      </c>
      <c r="P4" s="10" t="str">
        <f t="shared" si="3"/>
        <v>50</v>
      </c>
      <c r="Q4" s="10" t="str">
        <f t="shared" si="4"/>
        <v>ZCON</v>
      </c>
      <c r="R4" s="10" t="str">
        <f t="shared" si="5"/>
        <v>30181801</v>
      </c>
    </row>
    <row r="5" spans="1:18" ht="38.25" hidden="1" x14ac:dyDescent="0.2">
      <c r="A5" s="21" t="s">
        <v>4565</v>
      </c>
      <c r="B5" s="8" t="s">
        <v>4564</v>
      </c>
      <c r="C5" s="8" t="s">
        <v>40</v>
      </c>
      <c r="D5" s="8" t="s">
        <v>1059</v>
      </c>
      <c r="E5" s="8" t="s">
        <v>40</v>
      </c>
      <c r="F5" s="8" t="s">
        <v>39</v>
      </c>
      <c r="G5" s="8" t="s">
        <v>4273</v>
      </c>
      <c r="H5" s="8" t="s">
        <v>37</v>
      </c>
      <c r="I5" s="8" t="s">
        <v>53</v>
      </c>
      <c r="J5" s="8" t="s">
        <v>104</v>
      </c>
      <c r="K5" s="8" t="s">
        <v>4563</v>
      </c>
      <c r="L5" s="7">
        <v>6743</v>
      </c>
      <c r="M5" s="10" t="str">
        <f t="shared" si="0"/>
        <v>CMI02090600</v>
      </c>
      <c r="N5" s="10" t="str">
        <f t="shared" si="1"/>
        <v>CON251000</v>
      </c>
      <c r="O5" s="10" t="str">
        <f t="shared" si="2"/>
        <v>E</v>
      </c>
      <c r="P5" s="10" t="str">
        <f t="shared" si="3"/>
        <v>50</v>
      </c>
      <c r="Q5" s="10" t="str">
        <f t="shared" si="4"/>
        <v>ZCON</v>
      </c>
      <c r="R5" s="10" t="str">
        <f t="shared" si="5"/>
        <v>24111810</v>
      </c>
    </row>
    <row r="6" spans="1:18" ht="25.5" hidden="1" x14ac:dyDescent="0.2">
      <c r="A6" s="21" t="s">
        <v>4562</v>
      </c>
      <c r="B6" s="8" t="s">
        <v>4561</v>
      </c>
      <c r="C6" s="8" t="s">
        <v>40</v>
      </c>
      <c r="D6" s="8" t="s">
        <v>3860</v>
      </c>
      <c r="E6" s="8" t="s">
        <v>40</v>
      </c>
      <c r="F6" s="8" t="s">
        <v>39</v>
      </c>
      <c r="G6" s="8" t="s">
        <v>60</v>
      </c>
      <c r="H6" s="8" t="s">
        <v>37</v>
      </c>
      <c r="I6" s="8" t="s">
        <v>53</v>
      </c>
      <c r="J6" s="8" t="s">
        <v>104</v>
      </c>
      <c r="K6" s="8" t="s">
        <v>4560</v>
      </c>
      <c r="L6" s="7">
        <v>6744</v>
      </c>
      <c r="M6" s="10" t="str">
        <f t="shared" si="0"/>
        <v>CMI02051500</v>
      </c>
      <c r="N6" s="10" t="str">
        <f t="shared" si="1"/>
        <v>SUM231200</v>
      </c>
      <c r="O6" s="10" t="str">
        <f t="shared" si="2"/>
        <v>E</v>
      </c>
      <c r="P6" s="10" t="str">
        <f t="shared" si="3"/>
        <v>50</v>
      </c>
      <c r="Q6" s="10" t="str">
        <f t="shared" si="4"/>
        <v>ZCON</v>
      </c>
      <c r="R6" s="10" t="str">
        <f t="shared" si="5"/>
        <v>11111701</v>
      </c>
    </row>
    <row r="7" spans="1:18" ht="25.5" hidden="1" x14ac:dyDescent="0.2">
      <c r="A7" s="21" t="s">
        <v>4559</v>
      </c>
      <c r="B7" s="8" t="s">
        <v>4558</v>
      </c>
      <c r="C7" s="8" t="s">
        <v>40</v>
      </c>
      <c r="D7" s="8" t="s">
        <v>4557</v>
      </c>
      <c r="E7" s="7">
        <v>6</v>
      </c>
      <c r="F7" s="8" t="s">
        <v>39</v>
      </c>
      <c r="G7" s="8" t="s">
        <v>60</v>
      </c>
      <c r="H7" s="8" t="s">
        <v>37</v>
      </c>
      <c r="I7" s="8" t="s">
        <v>53</v>
      </c>
      <c r="J7" s="8" t="s">
        <v>104</v>
      </c>
      <c r="K7" s="8" t="s">
        <v>4556</v>
      </c>
      <c r="L7" s="7">
        <v>6745</v>
      </c>
      <c r="M7" s="10" t="str">
        <f t="shared" si="0"/>
        <v>CMI02051700</v>
      </c>
      <c r="N7" s="10" t="str">
        <f t="shared" si="1"/>
        <v>SUM231200</v>
      </c>
      <c r="O7" s="10" t="str">
        <f t="shared" si="2"/>
        <v>E</v>
      </c>
      <c r="P7" s="10" t="str">
        <f t="shared" si="3"/>
        <v>50</v>
      </c>
      <c r="Q7" s="10" t="str">
        <f t="shared" si="4"/>
        <v>ZCON</v>
      </c>
      <c r="R7" s="10" t="str">
        <f t="shared" si="5"/>
        <v>30131704</v>
      </c>
    </row>
    <row r="8" spans="1:18" ht="25.5" hidden="1" x14ac:dyDescent="0.2">
      <c r="A8" s="21" t="s">
        <v>4555</v>
      </c>
      <c r="B8" s="8" t="s">
        <v>4554</v>
      </c>
      <c r="C8" s="8" t="s">
        <v>40</v>
      </c>
      <c r="D8" s="8" t="s">
        <v>520</v>
      </c>
      <c r="E8" s="8" t="s">
        <v>40</v>
      </c>
      <c r="F8" s="8" t="s">
        <v>39</v>
      </c>
      <c r="G8" s="8" t="s">
        <v>4320</v>
      </c>
      <c r="H8" s="8" t="s">
        <v>37</v>
      </c>
      <c r="I8" s="8" t="s">
        <v>53</v>
      </c>
      <c r="J8" s="8" t="s">
        <v>104</v>
      </c>
      <c r="K8" s="8" t="s">
        <v>4553</v>
      </c>
      <c r="L8" s="7">
        <v>6746</v>
      </c>
      <c r="M8" s="10" t="str">
        <f t="shared" si="0"/>
        <v>CMI02180300</v>
      </c>
      <c r="N8" s="10" t="str">
        <f t="shared" si="1"/>
        <v>CON251300</v>
      </c>
      <c r="O8" s="10" t="str">
        <f t="shared" si="2"/>
        <v>E</v>
      </c>
      <c r="P8" s="10" t="str">
        <f t="shared" si="3"/>
        <v>50</v>
      </c>
      <c r="Q8" s="10" t="str">
        <f t="shared" si="4"/>
        <v>ZCON</v>
      </c>
      <c r="R8" s="10" t="str">
        <f t="shared" si="5"/>
        <v>12162301</v>
      </c>
    </row>
    <row r="9" spans="1:18" ht="25.5" hidden="1" x14ac:dyDescent="0.2">
      <c r="A9" s="21" t="s">
        <v>4552</v>
      </c>
      <c r="B9" s="8" t="s">
        <v>4551</v>
      </c>
      <c r="C9" s="8" t="s">
        <v>40</v>
      </c>
      <c r="D9" s="8" t="s">
        <v>1181</v>
      </c>
      <c r="E9" s="8" t="s">
        <v>40</v>
      </c>
      <c r="F9" s="8" t="s">
        <v>39</v>
      </c>
      <c r="G9" s="8" t="s">
        <v>60</v>
      </c>
      <c r="H9" s="8" t="s">
        <v>37</v>
      </c>
      <c r="I9" s="8" t="s">
        <v>53</v>
      </c>
      <c r="J9" s="8" t="s">
        <v>104</v>
      </c>
      <c r="K9" s="8" t="s">
        <v>4550</v>
      </c>
      <c r="L9" s="7">
        <v>6747</v>
      </c>
      <c r="M9" s="10" t="str">
        <f t="shared" si="0"/>
        <v>CMI02051600</v>
      </c>
      <c r="N9" s="10" t="str">
        <f t="shared" si="1"/>
        <v>SUM231200</v>
      </c>
      <c r="O9" s="10" t="str">
        <f t="shared" si="2"/>
        <v>E</v>
      </c>
      <c r="P9" s="10" t="str">
        <f t="shared" si="3"/>
        <v>50</v>
      </c>
      <c r="Q9" s="10" t="str">
        <f t="shared" si="4"/>
        <v>ZCON</v>
      </c>
      <c r="R9" s="10" t="str">
        <f t="shared" si="5"/>
        <v>31211508</v>
      </c>
    </row>
    <row r="10" spans="1:18" ht="25.5" hidden="1" x14ac:dyDescent="0.2">
      <c r="A10" s="21" t="s">
        <v>4549</v>
      </c>
      <c r="B10" s="8" t="s">
        <v>4548</v>
      </c>
      <c r="C10" s="8" t="s">
        <v>40</v>
      </c>
      <c r="D10" s="8" t="s">
        <v>1181</v>
      </c>
      <c r="E10" s="8" t="s">
        <v>40</v>
      </c>
      <c r="F10" s="8" t="s">
        <v>39</v>
      </c>
      <c r="G10" s="8" t="s">
        <v>60</v>
      </c>
      <c r="H10" s="8" t="s">
        <v>37</v>
      </c>
      <c r="I10" s="8" t="s">
        <v>53</v>
      </c>
      <c r="J10" s="8" t="s">
        <v>104</v>
      </c>
      <c r="K10" s="8" t="s">
        <v>1455</v>
      </c>
      <c r="L10" s="7">
        <v>6748</v>
      </c>
      <c r="M10" s="10" t="str">
        <f t="shared" si="0"/>
        <v>CMI02051600</v>
      </c>
      <c r="N10" s="10" t="str">
        <f t="shared" si="1"/>
        <v>SUM231200</v>
      </c>
      <c r="O10" s="10" t="str">
        <f t="shared" si="2"/>
        <v>E</v>
      </c>
      <c r="P10" s="10" t="str">
        <f t="shared" si="3"/>
        <v>50</v>
      </c>
      <c r="Q10" s="10" t="str">
        <f t="shared" si="4"/>
        <v>ZCON</v>
      </c>
      <c r="R10" s="10" t="str">
        <f t="shared" si="5"/>
        <v>31201600</v>
      </c>
    </row>
    <row r="11" spans="1:18" ht="38.25" hidden="1" x14ac:dyDescent="0.2">
      <c r="A11" s="21" t="s">
        <v>4547</v>
      </c>
      <c r="B11" s="8" t="s">
        <v>4546</v>
      </c>
      <c r="C11" s="8" t="s">
        <v>40</v>
      </c>
      <c r="D11" s="8" t="s">
        <v>1396</v>
      </c>
      <c r="E11" s="8" t="s">
        <v>40</v>
      </c>
      <c r="F11" s="8" t="s">
        <v>39</v>
      </c>
      <c r="G11" s="8" t="s">
        <v>60</v>
      </c>
      <c r="H11" s="8" t="s">
        <v>37</v>
      </c>
      <c r="I11" s="8" t="s">
        <v>53</v>
      </c>
      <c r="J11" s="8" t="s">
        <v>104</v>
      </c>
      <c r="K11" s="8" t="s">
        <v>4545</v>
      </c>
      <c r="L11" s="7">
        <v>6749</v>
      </c>
      <c r="M11" s="10" t="str">
        <f t="shared" si="0"/>
        <v>CMI03080500</v>
      </c>
      <c r="N11" s="10" t="str">
        <f t="shared" si="1"/>
        <v>SUM231200</v>
      </c>
      <c r="O11" s="10" t="str">
        <f t="shared" si="2"/>
        <v>E</v>
      </c>
      <c r="P11" s="10" t="str">
        <f t="shared" si="3"/>
        <v>50</v>
      </c>
      <c r="Q11" s="10" t="str">
        <f t="shared" si="4"/>
        <v>ZCON</v>
      </c>
      <c r="R11" s="10" t="str">
        <f t="shared" si="5"/>
        <v>30102015</v>
      </c>
    </row>
    <row r="12" spans="1:18" ht="25.5" hidden="1" x14ac:dyDescent="0.2">
      <c r="A12" s="21" t="s">
        <v>4544</v>
      </c>
      <c r="B12" s="8" t="s">
        <v>4543</v>
      </c>
      <c r="C12" s="8" t="s">
        <v>40</v>
      </c>
      <c r="D12" s="8" t="s">
        <v>1177</v>
      </c>
      <c r="E12" s="8" t="s">
        <v>40</v>
      </c>
      <c r="F12" s="8" t="s">
        <v>39</v>
      </c>
      <c r="G12" s="8" t="s">
        <v>60</v>
      </c>
      <c r="H12" s="8" t="s">
        <v>37</v>
      </c>
      <c r="I12" s="8" t="s">
        <v>53</v>
      </c>
      <c r="J12" s="8" t="s">
        <v>104</v>
      </c>
      <c r="K12" s="8" t="s">
        <v>4542</v>
      </c>
      <c r="L12" s="7">
        <v>6750</v>
      </c>
      <c r="M12" s="10" t="str">
        <f t="shared" si="0"/>
        <v>CMI02051400</v>
      </c>
      <c r="N12" s="10" t="str">
        <f t="shared" si="1"/>
        <v>SUM231200</v>
      </c>
      <c r="O12" s="10" t="str">
        <f t="shared" si="2"/>
        <v>E</v>
      </c>
      <c r="P12" s="10" t="str">
        <f t="shared" si="3"/>
        <v>50</v>
      </c>
      <c r="Q12" s="10" t="str">
        <f t="shared" si="4"/>
        <v>ZCON</v>
      </c>
      <c r="R12" s="10" t="str">
        <f t="shared" si="5"/>
        <v>30101506</v>
      </c>
    </row>
    <row r="13" spans="1:18" ht="25.5" hidden="1" x14ac:dyDescent="0.2">
      <c r="A13" s="21" t="s">
        <v>4541</v>
      </c>
      <c r="B13" s="8" t="s">
        <v>4540</v>
      </c>
      <c r="C13" s="8" t="s">
        <v>40</v>
      </c>
      <c r="D13" s="8" t="s">
        <v>1177</v>
      </c>
      <c r="E13" s="8" t="s">
        <v>40</v>
      </c>
      <c r="F13" s="8" t="s">
        <v>39</v>
      </c>
      <c r="G13" s="8" t="s">
        <v>60</v>
      </c>
      <c r="H13" s="8" t="s">
        <v>37</v>
      </c>
      <c r="I13" s="8" t="s">
        <v>53</v>
      </c>
      <c r="J13" s="8" t="s">
        <v>104</v>
      </c>
      <c r="K13" s="8" t="s">
        <v>4539</v>
      </c>
      <c r="L13" s="7">
        <v>6751</v>
      </c>
      <c r="M13" s="10" t="str">
        <f t="shared" si="0"/>
        <v>CMI02051400</v>
      </c>
      <c r="N13" s="10" t="str">
        <f t="shared" si="1"/>
        <v>SUM231200</v>
      </c>
      <c r="O13" s="10" t="str">
        <f t="shared" si="2"/>
        <v>E</v>
      </c>
      <c r="P13" s="10" t="str">
        <f t="shared" si="3"/>
        <v>50</v>
      </c>
      <c r="Q13" s="10" t="str">
        <f t="shared" si="4"/>
        <v>ZCON</v>
      </c>
      <c r="R13" s="10" t="str">
        <f t="shared" si="5"/>
        <v>30101700</v>
      </c>
    </row>
    <row r="14" spans="1:18" ht="25.5" hidden="1" x14ac:dyDescent="0.2">
      <c r="A14" s="21" t="s">
        <v>4538</v>
      </c>
      <c r="B14" s="8" t="s">
        <v>4537</v>
      </c>
      <c r="C14" s="8" t="s">
        <v>40</v>
      </c>
      <c r="D14" s="8" t="s">
        <v>4340</v>
      </c>
      <c r="E14" s="8" t="s">
        <v>40</v>
      </c>
      <c r="F14" s="8" t="s">
        <v>39</v>
      </c>
      <c r="G14" s="8" t="s">
        <v>60</v>
      </c>
      <c r="H14" s="8" t="s">
        <v>37</v>
      </c>
      <c r="I14" s="8" t="s">
        <v>53</v>
      </c>
      <c r="J14" s="8" t="s">
        <v>104</v>
      </c>
      <c r="K14" s="8" t="s">
        <v>4536</v>
      </c>
      <c r="L14" s="7">
        <v>6752</v>
      </c>
      <c r="M14" s="10" t="str">
        <f t="shared" si="0"/>
        <v>CMI02051100</v>
      </c>
      <c r="N14" s="10" t="str">
        <f t="shared" si="1"/>
        <v>SUM231200</v>
      </c>
      <c r="O14" s="10" t="str">
        <f t="shared" si="2"/>
        <v>E</v>
      </c>
      <c r="P14" s="10" t="str">
        <f t="shared" si="3"/>
        <v>50</v>
      </c>
      <c r="Q14" s="10" t="str">
        <f t="shared" si="4"/>
        <v>ZCON</v>
      </c>
      <c r="R14" s="10" t="str">
        <f t="shared" si="5"/>
        <v>30103605</v>
      </c>
    </row>
    <row r="15" spans="1:18" ht="25.5" hidden="1" x14ac:dyDescent="0.2">
      <c r="A15" s="21" t="s">
        <v>4535</v>
      </c>
      <c r="B15" s="8" t="s">
        <v>4534</v>
      </c>
      <c r="C15" s="8" t="s">
        <v>40</v>
      </c>
      <c r="D15" s="8" t="s">
        <v>1181</v>
      </c>
      <c r="E15" s="8" t="s">
        <v>40</v>
      </c>
      <c r="F15" s="8" t="s">
        <v>39</v>
      </c>
      <c r="G15" s="8" t="s">
        <v>2775</v>
      </c>
      <c r="H15" s="8" t="s">
        <v>37</v>
      </c>
      <c r="I15" s="8" t="s">
        <v>53</v>
      </c>
      <c r="J15" s="8" t="s">
        <v>104</v>
      </c>
      <c r="K15" s="8" t="s">
        <v>4415</v>
      </c>
      <c r="L15" s="7">
        <v>6753</v>
      </c>
      <c r="M15" s="10" t="str">
        <f t="shared" si="0"/>
        <v>CMI02051600</v>
      </c>
      <c r="N15" s="10" t="str">
        <f t="shared" si="1"/>
        <v>REP211100</v>
      </c>
      <c r="O15" s="10" t="str">
        <f t="shared" si="2"/>
        <v>E</v>
      </c>
      <c r="P15" s="10" t="str">
        <f t="shared" si="3"/>
        <v>50</v>
      </c>
      <c r="Q15" s="10" t="str">
        <f t="shared" si="4"/>
        <v>ZCON</v>
      </c>
      <c r="R15" s="10" t="str">
        <f t="shared" si="5"/>
        <v>31211504</v>
      </c>
    </row>
    <row r="16" spans="1:18" ht="38.25" hidden="1" x14ac:dyDescent="0.2">
      <c r="A16" s="21" t="s">
        <v>4533</v>
      </c>
      <c r="B16" s="8" t="s">
        <v>4532</v>
      </c>
      <c r="C16" s="8" t="s">
        <v>40</v>
      </c>
      <c r="D16" s="8" t="s">
        <v>326</v>
      </c>
      <c r="E16" s="8" t="s">
        <v>40</v>
      </c>
      <c r="F16" s="8" t="s">
        <v>39</v>
      </c>
      <c r="G16" s="8" t="s">
        <v>60</v>
      </c>
      <c r="H16" s="8" t="s">
        <v>37</v>
      </c>
      <c r="I16" s="8" t="s">
        <v>53</v>
      </c>
      <c r="J16" s="8" t="s">
        <v>104</v>
      </c>
      <c r="K16" s="8" t="s">
        <v>4531</v>
      </c>
      <c r="L16" s="7">
        <v>6754</v>
      </c>
      <c r="M16" s="10" t="str">
        <f t="shared" si="0"/>
        <v>CMI02050400</v>
      </c>
      <c r="N16" s="10" t="str">
        <f t="shared" si="1"/>
        <v>SUM231200</v>
      </c>
      <c r="O16" s="10" t="str">
        <f t="shared" si="2"/>
        <v>E</v>
      </c>
      <c r="P16" s="10" t="str">
        <f t="shared" si="3"/>
        <v>50</v>
      </c>
      <c r="Q16" s="10" t="str">
        <f t="shared" si="4"/>
        <v>ZCON</v>
      </c>
      <c r="R16" s="10" t="str">
        <f t="shared" si="5"/>
        <v>12162305</v>
      </c>
    </row>
    <row r="17" spans="1:18" ht="25.5" hidden="1" x14ac:dyDescent="0.2">
      <c r="A17" s="21" t="s">
        <v>4530</v>
      </c>
      <c r="B17" s="8" t="s">
        <v>4529</v>
      </c>
      <c r="C17" s="8" t="s">
        <v>40</v>
      </c>
      <c r="D17" s="8" t="s">
        <v>1177</v>
      </c>
      <c r="E17" s="8" t="s">
        <v>40</v>
      </c>
      <c r="F17" s="8" t="s">
        <v>39</v>
      </c>
      <c r="G17" s="8" t="s">
        <v>60</v>
      </c>
      <c r="H17" s="8" t="s">
        <v>37</v>
      </c>
      <c r="I17" s="8" t="s">
        <v>53</v>
      </c>
      <c r="J17" s="8" t="s">
        <v>104</v>
      </c>
      <c r="K17" s="8" t="s">
        <v>1176</v>
      </c>
      <c r="L17" s="7">
        <v>6755</v>
      </c>
      <c r="M17" s="10" t="str">
        <f t="shared" si="0"/>
        <v>CMI02051400</v>
      </c>
      <c r="N17" s="10" t="str">
        <f t="shared" si="1"/>
        <v>SUM231200</v>
      </c>
      <c r="O17" s="10" t="str">
        <f t="shared" si="2"/>
        <v>E</v>
      </c>
      <c r="P17" s="10" t="str">
        <f t="shared" si="3"/>
        <v>50</v>
      </c>
      <c r="Q17" s="10" t="str">
        <f t="shared" si="4"/>
        <v>ZCON</v>
      </c>
      <c r="R17" s="10" t="str">
        <f t="shared" si="5"/>
        <v>30101800</v>
      </c>
    </row>
    <row r="18" spans="1:18" ht="25.5" hidden="1" x14ac:dyDescent="0.2">
      <c r="A18" s="21" t="s">
        <v>4528</v>
      </c>
      <c r="B18" s="8" t="s">
        <v>4527</v>
      </c>
      <c r="C18" s="8" t="s">
        <v>40</v>
      </c>
      <c r="D18" s="8" t="s">
        <v>363</v>
      </c>
      <c r="E18" s="8" t="s">
        <v>40</v>
      </c>
      <c r="F18" s="8" t="s">
        <v>39</v>
      </c>
      <c r="G18" s="8" t="s">
        <v>220</v>
      </c>
      <c r="H18" s="8" t="s">
        <v>37</v>
      </c>
      <c r="I18" s="8" t="s">
        <v>53</v>
      </c>
      <c r="J18" s="8" t="s">
        <v>104</v>
      </c>
      <c r="K18" s="8" t="s">
        <v>4526</v>
      </c>
      <c r="L18" s="7">
        <v>6756</v>
      </c>
      <c r="M18" s="10" t="str">
        <f t="shared" si="0"/>
        <v>CMI02051300</v>
      </c>
      <c r="N18" s="10" t="str">
        <f t="shared" si="1"/>
        <v>SEG221000</v>
      </c>
      <c r="O18" s="10" t="str">
        <f t="shared" si="2"/>
        <v>E</v>
      </c>
      <c r="P18" s="10" t="str">
        <f t="shared" si="3"/>
        <v>50</v>
      </c>
      <c r="Q18" s="10" t="str">
        <f t="shared" si="4"/>
        <v>ZCON</v>
      </c>
      <c r="R18" s="10" t="str">
        <f t="shared" si="5"/>
        <v>30102900</v>
      </c>
    </row>
    <row r="19" spans="1:18" ht="25.5" hidden="1" x14ac:dyDescent="0.2">
      <c r="A19" s="21" t="s">
        <v>4525</v>
      </c>
      <c r="B19" s="8" t="s">
        <v>4524</v>
      </c>
      <c r="C19" s="8" t="s">
        <v>40</v>
      </c>
      <c r="D19" s="8" t="s">
        <v>1109</v>
      </c>
      <c r="E19" s="8" t="s">
        <v>40</v>
      </c>
      <c r="F19" s="8" t="s">
        <v>39</v>
      </c>
      <c r="G19" s="8" t="s">
        <v>975</v>
      </c>
      <c r="H19" s="8" t="s">
        <v>37</v>
      </c>
      <c r="I19" s="8" t="s">
        <v>53</v>
      </c>
      <c r="J19" s="8" t="s">
        <v>104</v>
      </c>
      <c r="K19" s="8" t="s">
        <v>4523</v>
      </c>
      <c r="L19" s="7">
        <v>6757</v>
      </c>
      <c r="M19" s="10" t="str">
        <f t="shared" si="0"/>
        <v>CMI02050700</v>
      </c>
      <c r="N19" s="10" t="str">
        <f t="shared" si="1"/>
        <v>SUM231100</v>
      </c>
      <c r="O19" s="10" t="str">
        <f t="shared" si="2"/>
        <v>E</v>
      </c>
      <c r="P19" s="10" t="str">
        <f t="shared" si="3"/>
        <v>50</v>
      </c>
      <c r="Q19" s="10" t="str">
        <f t="shared" si="4"/>
        <v>ZCON</v>
      </c>
      <c r="R19" s="10" t="str">
        <f t="shared" si="5"/>
        <v>30102400</v>
      </c>
    </row>
    <row r="20" spans="1:18" ht="25.5" hidden="1" x14ac:dyDescent="0.2">
      <c r="A20" s="21" t="s">
        <v>4522</v>
      </c>
      <c r="B20" s="8" t="s">
        <v>4521</v>
      </c>
      <c r="C20" s="8" t="s">
        <v>40</v>
      </c>
      <c r="D20" s="8" t="s">
        <v>2147</v>
      </c>
      <c r="E20" s="8" t="s">
        <v>40</v>
      </c>
      <c r="F20" s="8" t="s">
        <v>39</v>
      </c>
      <c r="G20" s="8" t="s">
        <v>4282</v>
      </c>
      <c r="H20" s="8" t="s">
        <v>37</v>
      </c>
      <c r="I20" s="8" t="s">
        <v>53</v>
      </c>
      <c r="J20" s="8" t="s">
        <v>104</v>
      </c>
      <c r="K20" s="8" t="s">
        <v>4520</v>
      </c>
      <c r="L20" s="7">
        <v>6758</v>
      </c>
      <c r="M20" s="10" t="str">
        <f t="shared" si="0"/>
        <v>CMI02050200</v>
      </c>
      <c r="N20" s="10" t="str">
        <f t="shared" si="1"/>
        <v>CON251100</v>
      </c>
      <c r="O20" s="10" t="str">
        <f t="shared" si="2"/>
        <v>E</v>
      </c>
      <c r="P20" s="10" t="str">
        <f t="shared" si="3"/>
        <v>50</v>
      </c>
      <c r="Q20" s="10" t="str">
        <f t="shared" si="4"/>
        <v>ZCON</v>
      </c>
      <c r="R20" s="10" t="str">
        <f t="shared" si="5"/>
        <v>23241615</v>
      </c>
    </row>
    <row r="21" spans="1:18" ht="25.5" hidden="1" x14ac:dyDescent="0.2">
      <c r="A21" s="21" t="s">
        <v>4519</v>
      </c>
      <c r="B21" s="8" t="s">
        <v>4518</v>
      </c>
      <c r="C21" s="8" t="s">
        <v>40</v>
      </c>
      <c r="D21" s="8" t="s">
        <v>2147</v>
      </c>
      <c r="E21" s="8" t="s">
        <v>40</v>
      </c>
      <c r="F21" s="8" t="s">
        <v>39</v>
      </c>
      <c r="G21" s="8" t="s">
        <v>4282</v>
      </c>
      <c r="H21" s="8" t="s">
        <v>37</v>
      </c>
      <c r="I21" s="8" t="s">
        <v>53</v>
      </c>
      <c r="J21" s="8" t="s">
        <v>104</v>
      </c>
      <c r="K21" s="8" t="s">
        <v>2305</v>
      </c>
      <c r="L21" s="7">
        <v>6759</v>
      </c>
      <c r="M21" s="10" t="str">
        <f t="shared" si="0"/>
        <v>CMI02050200</v>
      </c>
      <c r="N21" s="10" t="str">
        <f t="shared" si="1"/>
        <v>CON251100</v>
      </c>
      <c r="O21" s="10" t="str">
        <f t="shared" si="2"/>
        <v>E</v>
      </c>
      <c r="P21" s="10" t="str">
        <f t="shared" si="3"/>
        <v>50</v>
      </c>
      <c r="Q21" s="10" t="str">
        <f t="shared" si="4"/>
        <v>ZCON</v>
      </c>
      <c r="R21" s="10" t="str">
        <f t="shared" si="5"/>
        <v>40141700</v>
      </c>
    </row>
    <row r="22" spans="1:18" ht="25.5" hidden="1" x14ac:dyDescent="0.2">
      <c r="A22" s="21" t="s">
        <v>4517</v>
      </c>
      <c r="B22" s="8" t="s">
        <v>4516</v>
      </c>
      <c r="C22" s="8" t="s">
        <v>40</v>
      </c>
      <c r="D22" s="8" t="s">
        <v>321</v>
      </c>
      <c r="E22" s="8" t="s">
        <v>40</v>
      </c>
      <c r="F22" s="8" t="s">
        <v>39</v>
      </c>
      <c r="G22" s="8" t="s">
        <v>4282</v>
      </c>
      <c r="H22" s="8" t="s">
        <v>37</v>
      </c>
      <c r="I22" s="8" t="s">
        <v>53</v>
      </c>
      <c r="J22" s="8" t="s">
        <v>104</v>
      </c>
      <c r="K22" s="8" t="s">
        <v>4515</v>
      </c>
      <c r="L22" s="7">
        <v>6760</v>
      </c>
      <c r="M22" s="10" t="str">
        <f t="shared" si="0"/>
        <v>CMI02050100</v>
      </c>
      <c r="N22" s="10" t="str">
        <f t="shared" si="1"/>
        <v>CON251100</v>
      </c>
      <c r="O22" s="10" t="str">
        <f t="shared" si="2"/>
        <v>E</v>
      </c>
      <c r="P22" s="10" t="str">
        <f t="shared" si="3"/>
        <v>50</v>
      </c>
      <c r="Q22" s="10" t="str">
        <f t="shared" si="4"/>
        <v>ZCON</v>
      </c>
      <c r="R22" s="10" t="str">
        <f t="shared" si="5"/>
        <v>30181601</v>
      </c>
    </row>
    <row r="23" spans="1:18" ht="38.25" hidden="1" x14ac:dyDescent="0.2">
      <c r="A23" s="21" t="s">
        <v>4514</v>
      </c>
      <c r="B23" s="8" t="s">
        <v>4513</v>
      </c>
      <c r="C23" s="8" t="s">
        <v>40</v>
      </c>
      <c r="D23" s="8" t="s">
        <v>2147</v>
      </c>
      <c r="E23" s="8" t="s">
        <v>40</v>
      </c>
      <c r="F23" s="8" t="s">
        <v>39</v>
      </c>
      <c r="G23" s="8" t="s">
        <v>4273</v>
      </c>
      <c r="H23" s="8" t="s">
        <v>37</v>
      </c>
      <c r="I23" s="8" t="s">
        <v>53</v>
      </c>
      <c r="J23" s="8" t="s">
        <v>104</v>
      </c>
      <c r="K23" s="8" t="s">
        <v>4510</v>
      </c>
      <c r="L23" s="7">
        <v>6761</v>
      </c>
      <c r="M23" s="10" t="str">
        <f t="shared" si="0"/>
        <v>CMI02050200</v>
      </c>
      <c r="N23" s="10" t="str">
        <f t="shared" si="1"/>
        <v>CON251000</v>
      </c>
      <c r="O23" s="10" t="str">
        <f t="shared" si="2"/>
        <v>E</v>
      </c>
      <c r="P23" s="10" t="str">
        <f t="shared" si="3"/>
        <v>50</v>
      </c>
      <c r="Q23" s="10" t="str">
        <f t="shared" si="4"/>
        <v>ZCON</v>
      </c>
      <c r="R23" s="10" t="str">
        <f t="shared" si="5"/>
        <v>30180000</v>
      </c>
    </row>
    <row r="24" spans="1:18" ht="38.25" hidden="1" x14ac:dyDescent="0.2">
      <c r="A24" s="21" t="s">
        <v>4512</v>
      </c>
      <c r="B24" s="8" t="s">
        <v>4511</v>
      </c>
      <c r="C24" s="8" t="s">
        <v>40</v>
      </c>
      <c r="D24" s="8" t="s">
        <v>2147</v>
      </c>
      <c r="E24" s="8" t="s">
        <v>40</v>
      </c>
      <c r="F24" s="8" t="s">
        <v>39</v>
      </c>
      <c r="G24" s="8" t="s">
        <v>4282</v>
      </c>
      <c r="H24" s="8" t="s">
        <v>37</v>
      </c>
      <c r="I24" s="8" t="s">
        <v>53</v>
      </c>
      <c r="J24" s="8" t="s">
        <v>104</v>
      </c>
      <c r="K24" s="8" t="s">
        <v>4510</v>
      </c>
      <c r="L24" s="7">
        <v>6762</v>
      </c>
      <c r="M24" s="10" t="str">
        <f t="shared" si="0"/>
        <v>CMI02050200</v>
      </c>
      <c r="N24" s="10" t="str">
        <f t="shared" si="1"/>
        <v>CON251100</v>
      </c>
      <c r="O24" s="10" t="str">
        <f t="shared" si="2"/>
        <v>E</v>
      </c>
      <c r="P24" s="10" t="str">
        <f t="shared" si="3"/>
        <v>50</v>
      </c>
      <c r="Q24" s="10" t="str">
        <f t="shared" si="4"/>
        <v>ZCON</v>
      </c>
      <c r="R24" s="10" t="str">
        <f t="shared" si="5"/>
        <v>30180000</v>
      </c>
    </row>
    <row r="25" spans="1:18" ht="25.5" hidden="1" x14ac:dyDescent="0.2">
      <c r="A25" s="21" t="s">
        <v>4509</v>
      </c>
      <c r="B25" s="8" t="s">
        <v>4508</v>
      </c>
      <c r="C25" s="8" t="s">
        <v>40</v>
      </c>
      <c r="D25" s="8" t="s">
        <v>321</v>
      </c>
      <c r="E25" s="8" t="s">
        <v>40</v>
      </c>
      <c r="F25" s="8" t="s">
        <v>39</v>
      </c>
      <c r="G25" s="8" t="s">
        <v>4282</v>
      </c>
      <c r="H25" s="8" t="s">
        <v>37</v>
      </c>
      <c r="I25" s="8" t="s">
        <v>53</v>
      </c>
      <c r="J25" s="8" t="s">
        <v>104</v>
      </c>
      <c r="K25" s="8" t="s">
        <v>4507</v>
      </c>
      <c r="L25" s="7">
        <v>6763</v>
      </c>
      <c r="M25" s="10" t="str">
        <f t="shared" si="0"/>
        <v>CMI02050100</v>
      </c>
      <c r="N25" s="10" t="str">
        <f t="shared" si="1"/>
        <v>CON251100</v>
      </c>
      <c r="O25" s="10" t="str">
        <f t="shared" si="2"/>
        <v>E</v>
      </c>
      <c r="P25" s="10" t="str">
        <f t="shared" si="3"/>
        <v>50</v>
      </c>
      <c r="Q25" s="10" t="str">
        <f t="shared" si="4"/>
        <v>ZCON</v>
      </c>
      <c r="R25" s="10" t="str">
        <f t="shared" si="5"/>
        <v>30181801</v>
      </c>
    </row>
    <row r="26" spans="1:18" ht="25.5" hidden="1" x14ac:dyDescent="0.2">
      <c r="A26" s="21" t="s">
        <v>4506</v>
      </c>
      <c r="B26" s="8" t="s">
        <v>4505</v>
      </c>
      <c r="C26" s="8" t="s">
        <v>40</v>
      </c>
      <c r="D26" s="8" t="s">
        <v>2147</v>
      </c>
      <c r="E26" s="8" t="s">
        <v>40</v>
      </c>
      <c r="F26" s="8" t="s">
        <v>39</v>
      </c>
      <c r="G26" s="8" t="s">
        <v>4282</v>
      </c>
      <c r="H26" s="8" t="s">
        <v>37</v>
      </c>
      <c r="I26" s="8" t="s">
        <v>53</v>
      </c>
      <c r="J26" s="8" t="s">
        <v>104</v>
      </c>
      <c r="K26" s="8" t="s">
        <v>4504</v>
      </c>
      <c r="L26" s="7">
        <v>6764</v>
      </c>
      <c r="M26" s="10" t="str">
        <f t="shared" si="0"/>
        <v>CMI02050200</v>
      </c>
      <c r="N26" s="10" t="str">
        <f t="shared" si="1"/>
        <v>CON251100</v>
      </c>
      <c r="O26" s="10" t="str">
        <f t="shared" si="2"/>
        <v>E</v>
      </c>
      <c r="P26" s="10" t="str">
        <f t="shared" si="3"/>
        <v>50</v>
      </c>
      <c r="Q26" s="10" t="str">
        <f t="shared" si="4"/>
        <v>ZCON</v>
      </c>
      <c r="R26" s="10" t="str">
        <f t="shared" si="5"/>
        <v>30181504</v>
      </c>
    </row>
    <row r="27" spans="1:18" ht="25.5" hidden="1" x14ac:dyDescent="0.2">
      <c r="A27" s="21" t="s">
        <v>4503</v>
      </c>
      <c r="B27" s="8" t="s">
        <v>4502</v>
      </c>
      <c r="C27" s="8" t="s">
        <v>40</v>
      </c>
      <c r="D27" s="8" t="s">
        <v>2147</v>
      </c>
      <c r="E27" s="8" t="s">
        <v>40</v>
      </c>
      <c r="F27" s="8" t="s">
        <v>39</v>
      </c>
      <c r="G27" s="8" t="s">
        <v>4282</v>
      </c>
      <c r="H27" s="8" t="s">
        <v>37</v>
      </c>
      <c r="I27" s="8" t="s">
        <v>53</v>
      </c>
      <c r="J27" s="8" t="s">
        <v>104</v>
      </c>
      <c r="K27" s="8" t="s">
        <v>4501</v>
      </c>
      <c r="L27" s="7">
        <v>6765</v>
      </c>
      <c r="M27" s="10" t="str">
        <f t="shared" si="0"/>
        <v>CMI02050200</v>
      </c>
      <c r="N27" s="10" t="str">
        <f t="shared" si="1"/>
        <v>CON251100</v>
      </c>
      <c r="O27" s="10" t="str">
        <f t="shared" si="2"/>
        <v>E</v>
      </c>
      <c r="P27" s="10" t="str">
        <f t="shared" si="3"/>
        <v>50</v>
      </c>
      <c r="Q27" s="10" t="str">
        <f t="shared" si="4"/>
        <v>ZCON</v>
      </c>
      <c r="R27" s="10" t="str">
        <f t="shared" si="5"/>
        <v>30181514</v>
      </c>
    </row>
    <row r="28" spans="1:18" ht="25.5" hidden="1" x14ac:dyDescent="0.2">
      <c r="A28" s="21" t="s">
        <v>4500</v>
      </c>
      <c r="B28" s="8" t="s">
        <v>4499</v>
      </c>
      <c r="C28" s="8" t="s">
        <v>40</v>
      </c>
      <c r="D28" s="8" t="s">
        <v>2147</v>
      </c>
      <c r="E28" s="8" t="s">
        <v>40</v>
      </c>
      <c r="F28" s="8" t="s">
        <v>39</v>
      </c>
      <c r="G28" s="8" t="s">
        <v>4273</v>
      </c>
      <c r="H28" s="8" t="s">
        <v>37</v>
      </c>
      <c r="I28" s="8" t="s">
        <v>53</v>
      </c>
      <c r="J28" s="8" t="s">
        <v>104</v>
      </c>
      <c r="K28" s="8" t="s">
        <v>4498</v>
      </c>
      <c r="L28" s="7">
        <v>6766</v>
      </c>
      <c r="M28" s="10" t="str">
        <f t="shared" si="0"/>
        <v>CMI02050200</v>
      </c>
      <c r="N28" s="10" t="str">
        <f t="shared" si="1"/>
        <v>CON251000</v>
      </c>
      <c r="O28" s="10" t="str">
        <f t="shared" si="2"/>
        <v>E</v>
      </c>
      <c r="P28" s="10" t="str">
        <f t="shared" si="3"/>
        <v>50</v>
      </c>
      <c r="Q28" s="10" t="str">
        <f t="shared" si="4"/>
        <v>ZCON</v>
      </c>
      <c r="R28" s="10" t="str">
        <f t="shared" si="5"/>
        <v>47101531</v>
      </c>
    </row>
    <row r="29" spans="1:18" ht="38.25" hidden="1" x14ac:dyDescent="0.2">
      <c r="A29" s="21" t="s">
        <v>4497</v>
      </c>
      <c r="B29" s="8" t="s">
        <v>4496</v>
      </c>
      <c r="C29" s="8" t="s">
        <v>40</v>
      </c>
      <c r="D29" s="8" t="s">
        <v>310</v>
      </c>
      <c r="E29" s="8" t="s">
        <v>40</v>
      </c>
      <c r="F29" s="8" t="s">
        <v>39</v>
      </c>
      <c r="G29" s="8" t="s">
        <v>4282</v>
      </c>
      <c r="H29" s="8" t="s">
        <v>37</v>
      </c>
      <c r="I29" s="8" t="s">
        <v>53</v>
      </c>
      <c r="J29" s="8" t="s">
        <v>104</v>
      </c>
      <c r="K29" s="8" t="s">
        <v>4495</v>
      </c>
      <c r="L29" s="7">
        <v>6767</v>
      </c>
      <c r="M29" s="10" t="str">
        <f t="shared" si="0"/>
        <v>CMI02200100</v>
      </c>
      <c r="N29" s="10" t="str">
        <f t="shared" si="1"/>
        <v>CON251100</v>
      </c>
      <c r="O29" s="10" t="str">
        <f t="shared" si="2"/>
        <v>E</v>
      </c>
      <c r="P29" s="10" t="str">
        <f t="shared" si="3"/>
        <v>50</v>
      </c>
      <c r="Q29" s="10" t="str">
        <f t="shared" si="4"/>
        <v>ZCON</v>
      </c>
      <c r="R29" s="10" t="str">
        <f t="shared" si="5"/>
        <v>40142513</v>
      </c>
    </row>
    <row r="30" spans="1:18" ht="25.5" hidden="1" x14ac:dyDescent="0.2">
      <c r="A30" s="21" t="s">
        <v>4494</v>
      </c>
      <c r="B30" s="8" t="s">
        <v>4493</v>
      </c>
      <c r="C30" s="8" t="s">
        <v>40</v>
      </c>
      <c r="D30" s="8" t="s">
        <v>216</v>
      </c>
      <c r="E30" s="8" t="s">
        <v>40</v>
      </c>
      <c r="F30" s="8" t="s">
        <v>39</v>
      </c>
      <c r="G30" s="8" t="s">
        <v>4273</v>
      </c>
      <c r="H30" s="8" t="s">
        <v>37</v>
      </c>
      <c r="I30" s="8" t="s">
        <v>53</v>
      </c>
      <c r="J30" s="8" t="s">
        <v>104</v>
      </c>
      <c r="K30" s="8" t="s">
        <v>1946</v>
      </c>
      <c r="L30" s="7">
        <v>6768</v>
      </c>
      <c r="M30" s="10" t="str">
        <f t="shared" si="0"/>
        <v>CMI02140500</v>
      </c>
      <c r="N30" s="10" t="str">
        <f t="shared" si="1"/>
        <v>CON251000</v>
      </c>
      <c r="O30" s="10" t="str">
        <f t="shared" si="2"/>
        <v>E</v>
      </c>
      <c r="P30" s="10" t="str">
        <f t="shared" si="3"/>
        <v>50</v>
      </c>
      <c r="Q30" s="10" t="str">
        <f t="shared" si="4"/>
        <v>ZCON</v>
      </c>
      <c r="R30" s="10" t="str">
        <f t="shared" si="5"/>
        <v>27111804</v>
      </c>
    </row>
    <row r="31" spans="1:18" ht="25.5" hidden="1" x14ac:dyDescent="0.2">
      <c r="A31" s="21" t="s">
        <v>4492</v>
      </c>
      <c r="B31" s="8" t="s">
        <v>4491</v>
      </c>
      <c r="C31" s="8" t="s">
        <v>40</v>
      </c>
      <c r="D31" s="8" t="s">
        <v>256</v>
      </c>
      <c r="E31" s="8" t="s">
        <v>40</v>
      </c>
      <c r="F31" s="8" t="s">
        <v>39</v>
      </c>
      <c r="G31" s="8" t="s">
        <v>4278</v>
      </c>
      <c r="H31" s="8" t="s">
        <v>37</v>
      </c>
      <c r="I31" s="8" t="s">
        <v>53</v>
      </c>
      <c r="J31" s="8" t="s">
        <v>104</v>
      </c>
      <c r="K31" s="8" t="s">
        <v>4490</v>
      </c>
      <c r="L31" s="7">
        <v>6769</v>
      </c>
      <c r="M31" s="10" t="str">
        <f t="shared" si="0"/>
        <v>CMI02090900</v>
      </c>
      <c r="N31" s="10" t="str">
        <f t="shared" si="1"/>
        <v>CON251400</v>
      </c>
      <c r="O31" s="10" t="str">
        <f t="shared" si="2"/>
        <v>E</v>
      </c>
      <c r="P31" s="10" t="str">
        <f t="shared" si="3"/>
        <v>50</v>
      </c>
      <c r="Q31" s="10" t="str">
        <f t="shared" si="4"/>
        <v>ZCON</v>
      </c>
      <c r="R31" s="10" t="str">
        <f t="shared" si="5"/>
        <v>31161607</v>
      </c>
    </row>
    <row r="32" spans="1:18" ht="25.5" hidden="1" x14ac:dyDescent="0.2">
      <c r="A32" s="21" t="s">
        <v>4489</v>
      </c>
      <c r="B32" s="8" t="s">
        <v>4488</v>
      </c>
      <c r="C32" s="8" t="s">
        <v>40</v>
      </c>
      <c r="D32" s="8" t="s">
        <v>4340</v>
      </c>
      <c r="E32" s="8" t="s">
        <v>40</v>
      </c>
      <c r="F32" s="8" t="s">
        <v>39</v>
      </c>
      <c r="G32" s="8" t="s">
        <v>4339</v>
      </c>
      <c r="H32" s="8" t="s">
        <v>37</v>
      </c>
      <c r="I32" s="8" t="s">
        <v>53</v>
      </c>
      <c r="J32" s="8" t="s">
        <v>104</v>
      </c>
      <c r="K32" s="8" t="s">
        <v>4487</v>
      </c>
      <c r="L32" s="7">
        <v>6770</v>
      </c>
      <c r="M32" s="10" t="str">
        <f t="shared" si="0"/>
        <v>CMI02051100</v>
      </c>
      <c r="N32" s="10" t="str">
        <f t="shared" si="1"/>
        <v>CON251900</v>
      </c>
      <c r="O32" s="10" t="str">
        <f t="shared" si="2"/>
        <v>E</v>
      </c>
      <c r="P32" s="10" t="str">
        <f t="shared" si="3"/>
        <v>50</v>
      </c>
      <c r="Q32" s="10" t="str">
        <f t="shared" si="4"/>
        <v>ZCON</v>
      </c>
      <c r="R32" s="10" t="str">
        <f t="shared" si="5"/>
        <v>11122001</v>
      </c>
    </row>
    <row r="33" spans="1:18" ht="25.5" hidden="1" x14ac:dyDescent="0.2">
      <c r="A33" s="21" t="s">
        <v>4486</v>
      </c>
      <c r="B33" s="8" t="s">
        <v>4485</v>
      </c>
      <c r="C33" s="8" t="s">
        <v>40</v>
      </c>
      <c r="D33" s="8" t="s">
        <v>4327</v>
      </c>
      <c r="E33" s="8" t="s">
        <v>40</v>
      </c>
      <c r="F33" s="8" t="s">
        <v>39</v>
      </c>
      <c r="G33" s="8" t="s">
        <v>4298</v>
      </c>
      <c r="H33" s="8" t="s">
        <v>37</v>
      </c>
      <c r="I33" s="8" t="s">
        <v>53</v>
      </c>
      <c r="J33" s="8" t="s">
        <v>104</v>
      </c>
      <c r="K33" s="8" t="s">
        <v>4484</v>
      </c>
      <c r="L33" s="7">
        <v>6771</v>
      </c>
      <c r="M33" s="10" t="str">
        <f t="shared" si="0"/>
        <v>CMI02050300</v>
      </c>
      <c r="N33" s="10" t="str">
        <f t="shared" si="1"/>
        <v>CON251200</v>
      </c>
      <c r="O33" s="10" t="str">
        <f t="shared" si="2"/>
        <v>E</v>
      </c>
      <c r="P33" s="10" t="str">
        <f t="shared" si="3"/>
        <v>50</v>
      </c>
      <c r="Q33" s="10" t="str">
        <f t="shared" si="4"/>
        <v>ZCON</v>
      </c>
      <c r="R33" s="10" t="str">
        <f t="shared" si="5"/>
        <v>30131503</v>
      </c>
    </row>
    <row r="34" spans="1:18" ht="25.5" hidden="1" x14ac:dyDescent="0.2">
      <c r="A34" s="21" t="s">
        <v>4483</v>
      </c>
      <c r="B34" s="8" t="s">
        <v>4482</v>
      </c>
      <c r="C34" s="8" t="s">
        <v>40</v>
      </c>
      <c r="D34" s="8" t="s">
        <v>363</v>
      </c>
      <c r="E34" s="8" t="s">
        <v>40</v>
      </c>
      <c r="F34" s="8" t="s">
        <v>39</v>
      </c>
      <c r="G34" s="8" t="s">
        <v>4273</v>
      </c>
      <c r="H34" s="8" t="s">
        <v>37</v>
      </c>
      <c r="I34" s="8" t="s">
        <v>53</v>
      </c>
      <c r="J34" s="8" t="s">
        <v>104</v>
      </c>
      <c r="K34" s="8" t="s">
        <v>4481</v>
      </c>
      <c r="L34" s="7">
        <v>6772</v>
      </c>
      <c r="M34" s="10" t="str">
        <f t="shared" si="0"/>
        <v>CMI02051300</v>
      </c>
      <c r="N34" s="10" t="str">
        <f t="shared" si="1"/>
        <v>CON251000</v>
      </c>
      <c r="O34" s="10" t="str">
        <f t="shared" si="2"/>
        <v>E</v>
      </c>
      <c r="P34" s="10" t="str">
        <f t="shared" si="3"/>
        <v>50</v>
      </c>
      <c r="Q34" s="10" t="str">
        <f t="shared" si="4"/>
        <v>ZCON</v>
      </c>
      <c r="R34" s="10" t="str">
        <f t="shared" si="5"/>
        <v>30161509</v>
      </c>
    </row>
    <row r="35" spans="1:18" ht="38.25" hidden="1" x14ac:dyDescent="0.2">
      <c r="A35" s="21" t="s">
        <v>4480</v>
      </c>
      <c r="B35" s="8" t="s">
        <v>4479</v>
      </c>
      <c r="C35" s="8" t="s">
        <v>40</v>
      </c>
      <c r="D35" s="8" t="s">
        <v>326</v>
      </c>
      <c r="E35" s="8" t="s">
        <v>40</v>
      </c>
      <c r="F35" s="8" t="s">
        <v>39</v>
      </c>
      <c r="G35" s="8" t="s">
        <v>4320</v>
      </c>
      <c r="H35" s="8" t="s">
        <v>37</v>
      </c>
      <c r="I35" s="8" t="s">
        <v>53</v>
      </c>
      <c r="J35" s="8" t="s">
        <v>104</v>
      </c>
      <c r="K35" s="8" t="s">
        <v>4478</v>
      </c>
      <c r="L35" s="7">
        <v>6773</v>
      </c>
      <c r="M35" s="10" t="str">
        <f t="shared" si="0"/>
        <v>CMI02050400</v>
      </c>
      <c r="N35" s="10" t="str">
        <f t="shared" si="1"/>
        <v>CON251300</v>
      </c>
      <c r="O35" s="10" t="str">
        <f t="shared" si="2"/>
        <v>E</v>
      </c>
      <c r="P35" s="10" t="str">
        <f t="shared" si="3"/>
        <v>50</v>
      </c>
      <c r="Q35" s="10" t="str">
        <f t="shared" si="4"/>
        <v>ZCON</v>
      </c>
      <c r="R35" s="10" t="str">
        <f t="shared" si="5"/>
        <v>30131603</v>
      </c>
    </row>
    <row r="36" spans="1:18" ht="38.25" hidden="1" x14ac:dyDescent="0.2">
      <c r="A36" s="21" t="s">
        <v>4477</v>
      </c>
      <c r="B36" s="8" t="s">
        <v>4476</v>
      </c>
      <c r="C36" s="8" t="s">
        <v>40</v>
      </c>
      <c r="D36" s="8" t="s">
        <v>326</v>
      </c>
      <c r="E36" s="8" t="s">
        <v>40</v>
      </c>
      <c r="F36" s="8" t="s">
        <v>39</v>
      </c>
      <c r="G36" s="8" t="s">
        <v>4320</v>
      </c>
      <c r="H36" s="8" t="s">
        <v>37</v>
      </c>
      <c r="I36" s="8" t="s">
        <v>53</v>
      </c>
      <c r="J36" s="8" t="s">
        <v>104</v>
      </c>
      <c r="K36" s="8" t="s">
        <v>4394</v>
      </c>
      <c r="L36" s="7">
        <v>6774</v>
      </c>
      <c r="M36" s="10" t="str">
        <f t="shared" si="0"/>
        <v>CMI02050400</v>
      </c>
      <c r="N36" s="10" t="str">
        <f t="shared" si="1"/>
        <v>CON251300</v>
      </c>
      <c r="O36" s="10" t="str">
        <f t="shared" si="2"/>
        <v>E</v>
      </c>
      <c r="P36" s="10" t="str">
        <f t="shared" si="3"/>
        <v>50</v>
      </c>
      <c r="Q36" s="10" t="str">
        <f t="shared" si="4"/>
        <v>ZCON</v>
      </c>
      <c r="R36" s="10" t="str">
        <f t="shared" si="5"/>
        <v>30111601</v>
      </c>
    </row>
    <row r="37" spans="1:18" ht="25.5" hidden="1" x14ac:dyDescent="0.2">
      <c r="A37" s="21" t="s">
        <v>4475</v>
      </c>
      <c r="B37" s="8" t="s">
        <v>4474</v>
      </c>
      <c r="C37" s="8" t="s">
        <v>40</v>
      </c>
      <c r="D37" s="8" t="s">
        <v>363</v>
      </c>
      <c r="E37" s="8" t="s">
        <v>40</v>
      </c>
      <c r="F37" s="8" t="s">
        <v>39</v>
      </c>
      <c r="G37" s="8" t="s">
        <v>4373</v>
      </c>
      <c r="H37" s="8" t="s">
        <v>37</v>
      </c>
      <c r="I37" s="8" t="s">
        <v>53</v>
      </c>
      <c r="J37" s="8" t="s">
        <v>104</v>
      </c>
      <c r="K37" s="8" t="s">
        <v>4473</v>
      </c>
      <c r="L37" s="7">
        <v>6775</v>
      </c>
      <c r="M37" s="10" t="str">
        <f t="shared" si="0"/>
        <v>CMI02051300</v>
      </c>
      <c r="N37" s="10" t="str">
        <f t="shared" si="1"/>
        <v>CON251800</v>
      </c>
      <c r="O37" s="10" t="str">
        <f t="shared" si="2"/>
        <v>E</v>
      </c>
      <c r="P37" s="10" t="str">
        <f t="shared" si="3"/>
        <v>50</v>
      </c>
      <c r="Q37" s="10" t="str">
        <f t="shared" si="4"/>
        <v>ZCON</v>
      </c>
      <c r="R37" s="10" t="str">
        <f t="shared" si="5"/>
        <v>30103200</v>
      </c>
    </row>
    <row r="38" spans="1:18" ht="25.5" hidden="1" x14ac:dyDescent="0.2">
      <c r="A38" s="21" t="s">
        <v>4472</v>
      </c>
      <c r="B38" s="8" t="s">
        <v>4471</v>
      </c>
      <c r="C38" s="8" t="s">
        <v>40</v>
      </c>
      <c r="D38" s="8" t="s">
        <v>3860</v>
      </c>
      <c r="E38" s="8" t="s">
        <v>40</v>
      </c>
      <c r="F38" s="8" t="s">
        <v>39</v>
      </c>
      <c r="G38" s="8" t="s">
        <v>105</v>
      </c>
      <c r="H38" s="8" t="s">
        <v>37</v>
      </c>
      <c r="I38" s="8" t="s">
        <v>53</v>
      </c>
      <c r="J38" s="8" t="s">
        <v>104</v>
      </c>
      <c r="K38" s="8" t="s">
        <v>4470</v>
      </c>
      <c r="L38" s="7">
        <v>6776</v>
      </c>
      <c r="M38" s="10" t="str">
        <f t="shared" si="0"/>
        <v>CMI02051500</v>
      </c>
      <c r="N38" s="10" t="str">
        <f t="shared" si="1"/>
        <v>CON252100</v>
      </c>
      <c r="O38" s="10" t="str">
        <f t="shared" si="2"/>
        <v>E</v>
      </c>
      <c r="P38" s="10" t="str">
        <f t="shared" si="3"/>
        <v>50</v>
      </c>
      <c r="Q38" s="10" t="str">
        <f t="shared" si="4"/>
        <v>ZCON</v>
      </c>
      <c r="R38" s="10" t="str">
        <f t="shared" si="5"/>
        <v>11111611</v>
      </c>
    </row>
    <row r="39" spans="1:18" ht="25.5" hidden="1" x14ac:dyDescent="0.2">
      <c r="A39" s="21" t="s">
        <v>4469</v>
      </c>
      <c r="B39" s="8" t="s">
        <v>4468</v>
      </c>
      <c r="C39" s="8" t="s">
        <v>40</v>
      </c>
      <c r="D39" s="8" t="s">
        <v>241</v>
      </c>
      <c r="E39" s="8" t="s">
        <v>40</v>
      </c>
      <c r="F39" s="8" t="s">
        <v>39</v>
      </c>
      <c r="G39" s="8" t="s">
        <v>4278</v>
      </c>
      <c r="H39" s="8" t="s">
        <v>37</v>
      </c>
      <c r="I39" s="8" t="s">
        <v>53</v>
      </c>
      <c r="J39" s="8" t="s">
        <v>104</v>
      </c>
      <c r="K39" s="8" t="s">
        <v>2888</v>
      </c>
      <c r="L39" s="7">
        <v>6777</v>
      </c>
      <c r="M39" s="10" t="str">
        <f t="shared" si="0"/>
        <v>CMI02090300</v>
      </c>
      <c r="N39" s="10" t="str">
        <f t="shared" si="1"/>
        <v>CON251400</v>
      </c>
      <c r="O39" s="10" t="str">
        <f t="shared" si="2"/>
        <v>E</v>
      </c>
      <c r="P39" s="10" t="str">
        <f t="shared" si="3"/>
        <v>50</v>
      </c>
      <c r="Q39" s="10" t="str">
        <f t="shared" si="4"/>
        <v>ZCON</v>
      </c>
      <c r="R39" s="10" t="str">
        <f t="shared" si="5"/>
        <v>31161600</v>
      </c>
    </row>
    <row r="40" spans="1:18" ht="25.5" hidden="1" x14ac:dyDescent="0.2">
      <c r="A40" s="21" t="s">
        <v>4467</v>
      </c>
      <c r="B40" s="8" t="s">
        <v>4466</v>
      </c>
      <c r="C40" s="8" t="s">
        <v>40</v>
      </c>
      <c r="D40" s="8" t="s">
        <v>363</v>
      </c>
      <c r="E40" s="8" t="s">
        <v>40</v>
      </c>
      <c r="F40" s="8" t="s">
        <v>39</v>
      </c>
      <c r="G40" s="8" t="s">
        <v>4465</v>
      </c>
      <c r="H40" s="8" t="s">
        <v>37</v>
      </c>
      <c r="I40" s="8" t="s">
        <v>53</v>
      </c>
      <c r="J40" s="8" t="s">
        <v>104</v>
      </c>
      <c r="K40" s="8" t="s">
        <v>4464</v>
      </c>
      <c r="L40" s="7">
        <v>6778</v>
      </c>
      <c r="M40" s="10" t="str">
        <f t="shared" si="0"/>
        <v>CMI02051300</v>
      </c>
      <c r="N40" s="10" t="str">
        <f t="shared" si="1"/>
        <v>CON251600</v>
      </c>
      <c r="O40" s="10" t="str">
        <f t="shared" si="2"/>
        <v>E</v>
      </c>
      <c r="P40" s="10" t="str">
        <f t="shared" si="3"/>
        <v>50</v>
      </c>
      <c r="Q40" s="10" t="str">
        <f t="shared" si="4"/>
        <v>ZCON</v>
      </c>
      <c r="R40" s="10" t="str">
        <f t="shared" si="5"/>
        <v>11162108</v>
      </c>
    </row>
    <row r="41" spans="1:18" ht="25.5" hidden="1" x14ac:dyDescent="0.2">
      <c r="A41" s="21" t="s">
        <v>4463</v>
      </c>
      <c r="B41" s="8" t="s">
        <v>4462</v>
      </c>
      <c r="C41" s="8" t="s">
        <v>40</v>
      </c>
      <c r="D41" s="8" t="s">
        <v>224</v>
      </c>
      <c r="E41" s="8" t="s">
        <v>40</v>
      </c>
      <c r="F41" s="8" t="s">
        <v>39</v>
      </c>
      <c r="G41" s="8" t="s">
        <v>4316</v>
      </c>
      <c r="H41" s="8" t="s">
        <v>37</v>
      </c>
      <c r="I41" s="8" t="s">
        <v>53</v>
      </c>
      <c r="J41" s="8" t="s">
        <v>104</v>
      </c>
      <c r="K41" s="8" t="s">
        <v>4461</v>
      </c>
      <c r="L41" s="7">
        <v>6779</v>
      </c>
      <c r="M41" s="10" t="str">
        <f t="shared" si="0"/>
        <v>CMI02170100</v>
      </c>
      <c r="N41" s="10" t="str">
        <f t="shared" si="1"/>
        <v>CON251500</v>
      </c>
      <c r="O41" s="10" t="str">
        <f t="shared" si="2"/>
        <v>E</v>
      </c>
      <c r="P41" s="10" t="str">
        <f t="shared" si="3"/>
        <v>50</v>
      </c>
      <c r="Q41" s="10" t="str">
        <f t="shared" si="4"/>
        <v>ZCON</v>
      </c>
      <c r="R41" s="10" t="str">
        <f t="shared" si="5"/>
        <v>12141904</v>
      </c>
    </row>
    <row r="42" spans="1:18" ht="25.5" hidden="1" x14ac:dyDescent="0.2">
      <c r="A42" s="21" t="s">
        <v>4460</v>
      </c>
      <c r="B42" s="8" t="s">
        <v>4459</v>
      </c>
      <c r="C42" s="8" t="s">
        <v>40</v>
      </c>
      <c r="D42" s="8" t="s">
        <v>249</v>
      </c>
      <c r="E42" s="8" t="s">
        <v>40</v>
      </c>
      <c r="F42" s="8" t="s">
        <v>39</v>
      </c>
      <c r="G42" s="8" t="s">
        <v>4316</v>
      </c>
      <c r="H42" s="8" t="s">
        <v>37</v>
      </c>
      <c r="I42" s="8" t="s">
        <v>53</v>
      </c>
      <c r="J42" s="8" t="s">
        <v>104</v>
      </c>
      <c r="K42" s="8" t="s">
        <v>4458</v>
      </c>
      <c r="L42" s="7">
        <v>6780</v>
      </c>
      <c r="M42" s="10" t="str">
        <f t="shared" si="0"/>
        <v>CMI02090700</v>
      </c>
      <c r="N42" s="10" t="str">
        <f t="shared" si="1"/>
        <v>CON251500</v>
      </c>
      <c r="O42" s="10" t="str">
        <f t="shared" si="2"/>
        <v>E</v>
      </c>
      <c r="P42" s="10" t="str">
        <f t="shared" si="3"/>
        <v>50</v>
      </c>
      <c r="Q42" s="10" t="str">
        <f t="shared" si="4"/>
        <v>ZCON</v>
      </c>
      <c r="R42" s="10" t="str">
        <f t="shared" si="5"/>
        <v>15111506</v>
      </c>
    </row>
    <row r="43" spans="1:18" ht="25.5" hidden="1" x14ac:dyDescent="0.2">
      <c r="A43" s="21" t="s">
        <v>4457</v>
      </c>
      <c r="B43" s="8" t="s">
        <v>4456</v>
      </c>
      <c r="C43" s="8" t="s">
        <v>40</v>
      </c>
      <c r="D43" s="8" t="s">
        <v>249</v>
      </c>
      <c r="E43" s="8" t="s">
        <v>40</v>
      </c>
      <c r="F43" s="8" t="s">
        <v>39</v>
      </c>
      <c r="G43" s="8" t="s">
        <v>4282</v>
      </c>
      <c r="H43" s="8" t="s">
        <v>37</v>
      </c>
      <c r="I43" s="8" t="s">
        <v>53</v>
      </c>
      <c r="J43" s="8" t="s">
        <v>104</v>
      </c>
      <c r="K43" s="8" t="s">
        <v>4455</v>
      </c>
      <c r="L43" s="7">
        <v>6781</v>
      </c>
      <c r="M43" s="10" t="str">
        <f t="shared" si="0"/>
        <v>CMI02090700</v>
      </c>
      <c r="N43" s="10" t="str">
        <f t="shared" si="1"/>
        <v>CON251100</v>
      </c>
      <c r="O43" s="10" t="str">
        <f t="shared" si="2"/>
        <v>E</v>
      </c>
      <c r="P43" s="10" t="str">
        <f t="shared" si="3"/>
        <v>50</v>
      </c>
      <c r="Q43" s="10" t="str">
        <f t="shared" si="4"/>
        <v>ZCON</v>
      </c>
      <c r="R43" s="10" t="str">
        <f t="shared" si="5"/>
        <v>47101602</v>
      </c>
    </row>
    <row r="44" spans="1:18" ht="25.5" hidden="1" x14ac:dyDescent="0.2">
      <c r="A44" s="21" t="s">
        <v>4454</v>
      </c>
      <c r="B44" s="8" t="s">
        <v>4453</v>
      </c>
      <c r="C44" s="8" t="s">
        <v>40</v>
      </c>
      <c r="D44" s="8" t="s">
        <v>249</v>
      </c>
      <c r="E44" s="8" t="s">
        <v>40</v>
      </c>
      <c r="F44" s="8" t="s">
        <v>39</v>
      </c>
      <c r="G44" s="8" t="s">
        <v>4316</v>
      </c>
      <c r="H44" s="8" t="s">
        <v>37</v>
      </c>
      <c r="I44" s="8" t="s">
        <v>53</v>
      </c>
      <c r="J44" s="8" t="s">
        <v>104</v>
      </c>
      <c r="K44" s="8" t="s">
        <v>4452</v>
      </c>
      <c r="L44" s="7">
        <v>6782</v>
      </c>
      <c r="M44" s="10" t="str">
        <f t="shared" si="0"/>
        <v>CMI02090700</v>
      </c>
      <c r="N44" s="10" t="str">
        <f t="shared" si="1"/>
        <v>CON251500</v>
      </c>
      <c r="O44" s="10" t="str">
        <f t="shared" si="2"/>
        <v>E</v>
      </c>
      <c r="P44" s="10" t="str">
        <f t="shared" si="3"/>
        <v>50</v>
      </c>
      <c r="Q44" s="10" t="str">
        <f t="shared" si="4"/>
        <v>ZCON</v>
      </c>
      <c r="R44" s="10" t="str">
        <f t="shared" si="5"/>
        <v>12142004</v>
      </c>
    </row>
    <row r="45" spans="1:18" ht="38.25" hidden="1" x14ac:dyDescent="0.2">
      <c r="A45" s="21" t="s">
        <v>4451</v>
      </c>
      <c r="B45" s="8" t="s">
        <v>4450</v>
      </c>
      <c r="C45" s="8" t="s">
        <v>40</v>
      </c>
      <c r="D45" s="8" t="s">
        <v>520</v>
      </c>
      <c r="E45" s="8" t="s">
        <v>40</v>
      </c>
      <c r="F45" s="8" t="s">
        <v>39</v>
      </c>
      <c r="G45" s="8" t="s">
        <v>4320</v>
      </c>
      <c r="H45" s="8" t="s">
        <v>37</v>
      </c>
      <c r="I45" s="8" t="s">
        <v>53</v>
      </c>
      <c r="J45" s="8" t="s">
        <v>104</v>
      </c>
      <c r="K45" s="8" t="s">
        <v>4449</v>
      </c>
      <c r="L45" s="7">
        <v>6783</v>
      </c>
      <c r="M45" s="10" t="str">
        <f t="shared" si="0"/>
        <v>CMI02180300</v>
      </c>
      <c r="N45" s="10" t="str">
        <f t="shared" si="1"/>
        <v>CON251300</v>
      </c>
      <c r="O45" s="10" t="str">
        <f t="shared" si="2"/>
        <v>E</v>
      </c>
      <c r="P45" s="10" t="str">
        <f t="shared" si="3"/>
        <v>50</v>
      </c>
      <c r="Q45" s="10" t="str">
        <f t="shared" si="4"/>
        <v>ZCON</v>
      </c>
      <c r="R45" s="10" t="str">
        <f t="shared" si="5"/>
        <v>12162502</v>
      </c>
    </row>
    <row r="46" spans="1:18" ht="38.25" hidden="1" x14ac:dyDescent="0.2">
      <c r="A46" s="21" t="s">
        <v>4448</v>
      </c>
      <c r="B46" s="8" t="s">
        <v>4447</v>
      </c>
      <c r="C46" s="8" t="s">
        <v>40</v>
      </c>
      <c r="D46" s="8" t="s">
        <v>275</v>
      </c>
      <c r="E46" s="8" t="s">
        <v>40</v>
      </c>
      <c r="F46" s="8" t="s">
        <v>39</v>
      </c>
      <c r="G46" s="8" t="s">
        <v>4446</v>
      </c>
      <c r="H46" s="8" t="s">
        <v>37</v>
      </c>
      <c r="I46" s="8" t="s">
        <v>53</v>
      </c>
      <c r="J46" s="8" t="s">
        <v>104</v>
      </c>
      <c r="K46" s="8" t="s">
        <v>4445</v>
      </c>
      <c r="L46" s="7">
        <v>6784</v>
      </c>
      <c r="M46" s="10" t="str">
        <f t="shared" si="0"/>
        <v>CMI01030300</v>
      </c>
      <c r="N46" s="10" t="str">
        <f t="shared" si="1"/>
        <v>CON252300</v>
      </c>
      <c r="O46" s="10" t="str">
        <f t="shared" si="2"/>
        <v>E</v>
      </c>
      <c r="P46" s="10" t="str">
        <f t="shared" si="3"/>
        <v>50</v>
      </c>
      <c r="Q46" s="10" t="str">
        <f t="shared" si="4"/>
        <v>ZCON</v>
      </c>
      <c r="R46" s="10" t="str">
        <f t="shared" si="5"/>
        <v>30161707</v>
      </c>
    </row>
    <row r="47" spans="1:18" ht="38.25" hidden="1" x14ac:dyDescent="0.2">
      <c r="A47" s="21" t="s">
        <v>4444</v>
      </c>
      <c r="B47" s="8" t="s">
        <v>4443</v>
      </c>
      <c r="C47" s="8" t="s">
        <v>40</v>
      </c>
      <c r="D47" s="8" t="s">
        <v>112</v>
      </c>
      <c r="E47" s="8" t="s">
        <v>40</v>
      </c>
      <c r="F47" s="8" t="s">
        <v>39</v>
      </c>
      <c r="G47" s="8" t="s">
        <v>4282</v>
      </c>
      <c r="H47" s="8" t="s">
        <v>37</v>
      </c>
      <c r="I47" s="8" t="s">
        <v>53</v>
      </c>
      <c r="J47" s="8" t="s">
        <v>104</v>
      </c>
      <c r="K47" s="8" t="s">
        <v>4442</v>
      </c>
      <c r="L47" s="7">
        <v>6785</v>
      </c>
      <c r="M47" s="10" t="str">
        <f t="shared" si="0"/>
        <v>CMI02130100</v>
      </c>
      <c r="N47" s="10" t="str">
        <f t="shared" si="1"/>
        <v>CON251100</v>
      </c>
      <c r="O47" s="10" t="str">
        <f t="shared" si="2"/>
        <v>E</v>
      </c>
      <c r="P47" s="10" t="str">
        <f t="shared" si="3"/>
        <v>50</v>
      </c>
      <c r="Q47" s="10" t="str">
        <f t="shared" si="4"/>
        <v>ZCON</v>
      </c>
      <c r="R47" s="10" t="str">
        <f t="shared" si="5"/>
        <v>47121702</v>
      </c>
    </row>
    <row r="48" spans="1:18" ht="38.25" hidden="1" x14ac:dyDescent="0.2">
      <c r="A48" s="21" t="s">
        <v>4441</v>
      </c>
      <c r="B48" s="8" t="s">
        <v>4440</v>
      </c>
      <c r="C48" s="8" t="s">
        <v>40</v>
      </c>
      <c r="D48" s="8" t="s">
        <v>326</v>
      </c>
      <c r="E48" s="8" t="s">
        <v>40</v>
      </c>
      <c r="F48" s="8" t="s">
        <v>39</v>
      </c>
      <c r="G48" s="8" t="s">
        <v>4320</v>
      </c>
      <c r="H48" s="8" t="s">
        <v>37</v>
      </c>
      <c r="I48" s="8" t="s">
        <v>53</v>
      </c>
      <c r="J48" s="8" t="s">
        <v>104</v>
      </c>
      <c r="K48" s="8" t="s">
        <v>4439</v>
      </c>
      <c r="L48" s="7">
        <v>6786</v>
      </c>
      <c r="M48" s="10" t="str">
        <f t="shared" si="0"/>
        <v>CMI02050400</v>
      </c>
      <c r="N48" s="10" t="str">
        <f t="shared" si="1"/>
        <v>CON251300</v>
      </c>
      <c r="O48" s="10" t="str">
        <f t="shared" si="2"/>
        <v>E</v>
      </c>
      <c r="P48" s="10" t="str">
        <f t="shared" si="3"/>
        <v>50</v>
      </c>
      <c r="Q48" s="10" t="str">
        <f t="shared" si="4"/>
        <v>ZCON</v>
      </c>
      <c r="R48" s="10" t="str">
        <f t="shared" si="5"/>
        <v>31211708</v>
      </c>
    </row>
    <row r="49" spans="1:18" ht="25.5" hidden="1" x14ac:dyDescent="0.2">
      <c r="A49" s="21" t="s">
        <v>4438</v>
      </c>
      <c r="B49" s="8" t="s">
        <v>4437</v>
      </c>
      <c r="C49" s="8" t="s">
        <v>40</v>
      </c>
      <c r="D49" s="8" t="s">
        <v>1181</v>
      </c>
      <c r="E49" s="8" t="s">
        <v>40</v>
      </c>
      <c r="F49" s="8" t="s">
        <v>39</v>
      </c>
      <c r="G49" s="8" t="s">
        <v>4291</v>
      </c>
      <c r="H49" s="8" t="s">
        <v>37</v>
      </c>
      <c r="I49" s="8" t="s">
        <v>53</v>
      </c>
      <c r="J49" s="8" t="s">
        <v>104</v>
      </c>
      <c r="K49" s="8" t="s">
        <v>4436</v>
      </c>
      <c r="L49" s="7">
        <v>6787</v>
      </c>
      <c r="M49" s="10" t="str">
        <f t="shared" si="0"/>
        <v>CMI02051600</v>
      </c>
      <c r="N49" s="10" t="str">
        <f t="shared" si="1"/>
        <v>CON252200</v>
      </c>
      <c r="O49" s="10" t="str">
        <f t="shared" si="2"/>
        <v>E</v>
      </c>
      <c r="P49" s="10" t="str">
        <f t="shared" si="3"/>
        <v>50</v>
      </c>
      <c r="Q49" s="10" t="str">
        <f t="shared" si="4"/>
        <v>ZCON</v>
      </c>
      <c r="R49" s="10" t="str">
        <f t="shared" si="5"/>
        <v>31211501</v>
      </c>
    </row>
    <row r="50" spans="1:18" ht="25.5" hidden="1" x14ac:dyDescent="0.2">
      <c r="A50" s="21" t="s">
        <v>4435</v>
      </c>
      <c r="B50" s="8" t="s">
        <v>4434</v>
      </c>
      <c r="C50" s="8" t="s">
        <v>40</v>
      </c>
      <c r="D50" s="8" t="s">
        <v>1456</v>
      </c>
      <c r="E50" s="8" t="s">
        <v>40</v>
      </c>
      <c r="F50" s="8" t="s">
        <v>39</v>
      </c>
      <c r="G50" s="8" t="s">
        <v>4291</v>
      </c>
      <c r="H50" s="8" t="s">
        <v>37</v>
      </c>
      <c r="I50" s="8" t="s">
        <v>53</v>
      </c>
      <c r="J50" s="8" t="s">
        <v>104</v>
      </c>
      <c r="K50" s="8" t="s">
        <v>4433</v>
      </c>
      <c r="L50" s="7">
        <v>6788</v>
      </c>
      <c r="M50" s="10" t="str">
        <f t="shared" si="0"/>
        <v>CMI03010100</v>
      </c>
      <c r="N50" s="10" t="str">
        <f t="shared" si="1"/>
        <v>CON252200</v>
      </c>
      <c r="O50" s="10" t="str">
        <f t="shared" si="2"/>
        <v>E</v>
      </c>
      <c r="P50" s="10" t="str">
        <f t="shared" si="3"/>
        <v>50</v>
      </c>
      <c r="Q50" s="10" t="str">
        <f t="shared" si="4"/>
        <v>ZCON</v>
      </c>
      <c r="R50" s="10" t="str">
        <f t="shared" si="5"/>
        <v>31201607</v>
      </c>
    </row>
    <row r="51" spans="1:18" ht="25.5" hidden="1" x14ac:dyDescent="0.2">
      <c r="A51" s="21" t="s">
        <v>4432</v>
      </c>
      <c r="B51" s="8" t="s">
        <v>4431</v>
      </c>
      <c r="C51" s="8" t="s">
        <v>40</v>
      </c>
      <c r="D51" s="8" t="s">
        <v>1456</v>
      </c>
      <c r="E51" s="8" t="s">
        <v>40</v>
      </c>
      <c r="F51" s="8" t="s">
        <v>39</v>
      </c>
      <c r="G51" s="8" t="s">
        <v>4291</v>
      </c>
      <c r="H51" s="8" t="s">
        <v>37</v>
      </c>
      <c r="I51" s="8" t="s">
        <v>53</v>
      </c>
      <c r="J51" s="8" t="s">
        <v>104</v>
      </c>
      <c r="K51" s="8" t="s">
        <v>1365</v>
      </c>
      <c r="L51" s="7">
        <v>6789</v>
      </c>
      <c r="M51" s="10" t="str">
        <f t="shared" si="0"/>
        <v>CMI03010100</v>
      </c>
      <c r="N51" s="10" t="str">
        <f t="shared" si="1"/>
        <v>CON252200</v>
      </c>
      <c r="O51" s="10" t="str">
        <f t="shared" si="2"/>
        <v>E</v>
      </c>
      <c r="P51" s="10" t="str">
        <f t="shared" si="3"/>
        <v>50</v>
      </c>
      <c r="Q51" s="10" t="str">
        <f t="shared" si="4"/>
        <v>ZCON</v>
      </c>
      <c r="R51" s="10" t="str">
        <f t="shared" si="5"/>
        <v>31211500</v>
      </c>
    </row>
    <row r="52" spans="1:18" ht="38.25" hidden="1" x14ac:dyDescent="0.2">
      <c r="A52" s="21" t="s">
        <v>4430</v>
      </c>
      <c r="B52" s="8" t="s">
        <v>4429</v>
      </c>
      <c r="C52" s="8" t="s">
        <v>40</v>
      </c>
      <c r="D52" s="8" t="s">
        <v>1456</v>
      </c>
      <c r="E52" s="8" t="s">
        <v>40</v>
      </c>
      <c r="F52" s="8" t="s">
        <v>39</v>
      </c>
      <c r="G52" s="8" t="s">
        <v>4320</v>
      </c>
      <c r="H52" s="8" t="s">
        <v>37</v>
      </c>
      <c r="I52" s="8" t="s">
        <v>53</v>
      </c>
      <c r="J52" s="8" t="s">
        <v>104</v>
      </c>
      <c r="K52" s="8" t="s">
        <v>1474</v>
      </c>
      <c r="L52" s="7">
        <v>6790</v>
      </c>
      <c r="M52" s="10" t="str">
        <f t="shared" si="0"/>
        <v>CMI03010100</v>
      </c>
      <c r="N52" s="10" t="str">
        <f t="shared" si="1"/>
        <v>CON251300</v>
      </c>
      <c r="O52" s="10" t="str">
        <f t="shared" si="2"/>
        <v>E</v>
      </c>
      <c r="P52" s="10" t="str">
        <f t="shared" si="3"/>
        <v>50</v>
      </c>
      <c r="Q52" s="10" t="str">
        <f t="shared" si="4"/>
        <v>ZCON</v>
      </c>
      <c r="R52" s="10" t="str">
        <f t="shared" si="5"/>
        <v>12164903</v>
      </c>
    </row>
    <row r="53" spans="1:18" ht="25.5" hidden="1" x14ac:dyDescent="0.2">
      <c r="A53" s="21" t="s">
        <v>4428</v>
      </c>
      <c r="B53" s="8" t="s">
        <v>4427</v>
      </c>
      <c r="C53" s="8" t="s">
        <v>40</v>
      </c>
      <c r="D53" s="8" t="s">
        <v>1456</v>
      </c>
      <c r="E53" s="8" t="s">
        <v>40</v>
      </c>
      <c r="F53" s="8" t="s">
        <v>39</v>
      </c>
      <c r="G53" s="8" t="s">
        <v>4291</v>
      </c>
      <c r="H53" s="8" t="s">
        <v>37</v>
      </c>
      <c r="I53" s="8" t="s">
        <v>53</v>
      </c>
      <c r="J53" s="8" t="s">
        <v>104</v>
      </c>
      <c r="K53" s="8" t="s">
        <v>4426</v>
      </c>
      <c r="L53" s="7">
        <v>6791</v>
      </c>
      <c r="M53" s="10" t="str">
        <f t="shared" si="0"/>
        <v>CMI03010100</v>
      </c>
      <c r="N53" s="10" t="str">
        <f t="shared" si="1"/>
        <v>CON252200</v>
      </c>
      <c r="O53" s="10" t="str">
        <f t="shared" si="2"/>
        <v>E</v>
      </c>
      <c r="P53" s="10" t="str">
        <f t="shared" si="3"/>
        <v>50</v>
      </c>
      <c r="Q53" s="10" t="str">
        <f t="shared" si="4"/>
        <v>ZCON</v>
      </c>
      <c r="R53" s="10" t="str">
        <f t="shared" si="5"/>
        <v>31201615</v>
      </c>
    </row>
    <row r="54" spans="1:18" ht="25.5" hidden="1" x14ac:dyDescent="0.2">
      <c r="A54" s="21" t="s">
        <v>4425</v>
      </c>
      <c r="B54" s="8" t="s">
        <v>4424</v>
      </c>
      <c r="C54" s="8" t="s">
        <v>40</v>
      </c>
      <c r="D54" s="8" t="s">
        <v>1181</v>
      </c>
      <c r="E54" s="8" t="s">
        <v>40</v>
      </c>
      <c r="F54" s="8" t="s">
        <v>39</v>
      </c>
      <c r="G54" s="8" t="s">
        <v>4291</v>
      </c>
      <c r="H54" s="8" t="s">
        <v>37</v>
      </c>
      <c r="I54" s="8" t="s">
        <v>53</v>
      </c>
      <c r="J54" s="8" t="s">
        <v>104</v>
      </c>
      <c r="K54" s="8" t="s">
        <v>4423</v>
      </c>
      <c r="L54" s="7">
        <v>6792</v>
      </c>
      <c r="M54" s="10" t="str">
        <f t="shared" si="0"/>
        <v>CMI02051600</v>
      </c>
      <c r="N54" s="10" t="str">
        <f t="shared" si="1"/>
        <v>CON252200</v>
      </c>
      <c r="O54" s="10" t="str">
        <f t="shared" si="2"/>
        <v>E</v>
      </c>
      <c r="P54" s="10" t="str">
        <f t="shared" si="3"/>
        <v>50</v>
      </c>
      <c r="Q54" s="10" t="str">
        <f t="shared" si="4"/>
        <v>ZCON</v>
      </c>
      <c r="R54" s="10" t="str">
        <f t="shared" si="5"/>
        <v>31211506</v>
      </c>
    </row>
    <row r="55" spans="1:18" ht="25.5" hidden="1" x14ac:dyDescent="0.2">
      <c r="A55" s="21" t="s">
        <v>4422</v>
      </c>
      <c r="B55" s="8" t="s">
        <v>4421</v>
      </c>
      <c r="C55" s="8" t="s">
        <v>40</v>
      </c>
      <c r="D55" s="8" t="s">
        <v>1181</v>
      </c>
      <c r="E55" s="8" t="s">
        <v>40</v>
      </c>
      <c r="F55" s="8" t="s">
        <v>39</v>
      </c>
      <c r="G55" s="8" t="s">
        <v>4291</v>
      </c>
      <c r="H55" s="8" t="s">
        <v>37</v>
      </c>
      <c r="I55" s="8" t="s">
        <v>53</v>
      </c>
      <c r="J55" s="8" t="s">
        <v>104</v>
      </c>
      <c r="K55" s="8" t="s">
        <v>4412</v>
      </c>
      <c r="L55" s="7">
        <v>6793</v>
      </c>
      <c r="M55" s="10" t="str">
        <f t="shared" si="0"/>
        <v>CMI02051600</v>
      </c>
      <c r="N55" s="10" t="str">
        <f t="shared" si="1"/>
        <v>CON252200</v>
      </c>
      <c r="O55" s="10" t="str">
        <f t="shared" si="2"/>
        <v>E</v>
      </c>
      <c r="P55" s="10" t="str">
        <f t="shared" si="3"/>
        <v>50</v>
      </c>
      <c r="Q55" s="10" t="str">
        <f t="shared" si="4"/>
        <v>ZCON</v>
      </c>
      <c r="R55" s="10" t="str">
        <f t="shared" si="5"/>
        <v>31211502</v>
      </c>
    </row>
    <row r="56" spans="1:18" ht="25.5" hidden="1" x14ac:dyDescent="0.2">
      <c r="A56" s="21" t="s">
        <v>4420</v>
      </c>
      <c r="B56" s="8" t="s">
        <v>4419</v>
      </c>
      <c r="C56" s="8" t="s">
        <v>40</v>
      </c>
      <c r="D56" s="8" t="s">
        <v>1181</v>
      </c>
      <c r="E56" s="8" t="s">
        <v>40</v>
      </c>
      <c r="F56" s="8" t="s">
        <v>39</v>
      </c>
      <c r="G56" s="8" t="s">
        <v>4291</v>
      </c>
      <c r="H56" s="8" t="s">
        <v>37</v>
      </c>
      <c r="I56" s="8" t="s">
        <v>53</v>
      </c>
      <c r="J56" s="8" t="s">
        <v>104</v>
      </c>
      <c r="K56" s="8" t="s">
        <v>4418</v>
      </c>
      <c r="L56" s="7">
        <v>6794</v>
      </c>
      <c r="M56" s="10" t="str">
        <f t="shared" si="0"/>
        <v>CMI02051600</v>
      </c>
      <c r="N56" s="10" t="str">
        <f t="shared" si="1"/>
        <v>CON252200</v>
      </c>
      <c r="O56" s="10" t="str">
        <f t="shared" si="2"/>
        <v>E</v>
      </c>
      <c r="P56" s="10" t="str">
        <f t="shared" si="3"/>
        <v>50</v>
      </c>
      <c r="Q56" s="10" t="str">
        <f t="shared" si="4"/>
        <v>ZCON</v>
      </c>
      <c r="R56" s="10" t="str">
        <f t="shared" si="5"/>
        <v>31211505</v>
      </c>
    </row>
    <row r="57" spans="1:18" ht="25.5" hidden="1" x14ac:dyDescent="0.2">
      <c r="A57" s="21" t="s">
        <v>4417</v>
      </c>
      <c r="B57" s="8" t="s">
        <v>4416</v>
      </c>
      <c r="C57" s="8" t="s">
        <v>40</v>
      </c>
      <c r="D57" s="8" t="s">
        <v>1181</v>
      </c>
      <c r="E57" s="8" t="s">
        <v>40</v>
      </c>
      <c r="F57" s="8" t="s">
        <v>39</v>
      </c>
      <c r="G57" s="8" t="s">
        <v>4291</v>
      </c>
      <c r="H57" s="8" t="s">
        <v>37</v>
      </c>
      <c r="I57" s="8" t="s">
        <v>53</v>
      </c>
      <c r="J57" s="8" t="s">
        <v>104</v>
      </c>
      <c r="K57" s="8" t="s">
        <v>4415</v>
      </c>
      <c r="L57" s="7">
        <v>6795</v>
      </c>
      <c r="M57" s="10" t="str">
        <f t="shared" si="0"/>
        <v>CMI02051600</v>
      </c>
      <c r="N57" s="10" t="str">
        <f t="shared" si="1"/>
        <v>CON252200</v>
      </c>
      <c r="O57" s="10" t="str">
        <f t="shared" si="2"/>
        <v>E</v>
      </c>
      <c r="P57" s="10" t="str">
        <f t="shared" si="3"/>
        <v>50</v>
      </c>
      <c r="Q57" s="10" t="str">
        <f t="shared" si="4"/>
        <v>ZCON</v>
      </c>
      <c r="R57" s="10" t="str">
        <f t="shared" si="5"/>
        <v>31211504</v>
      </c>
    </row>
    <row r="58" spans="1:18" ht="25.5" hidden="1" x14ac:dyDescent="0.2">
      <c r="A58" s="21" t="s">
        <v>4414</v>
      </c>
      <c r="B58" s="8" t="s">
        <v>4413</v>
      </c>
      <c r="C58" s="8" t="s">
        <v>40</v>
      </c>
      <c r="D58" s="8" t="s">
        <v>1181</v>
      </c>
      <c r="E58" s="8" t="s">
        <v>40</v>
      </c>
      <c r="F58" s="8" t="s">
        <v>39</v>
      </c>
      <c r="G58" s="8" t="s">
        <v>4291</v>
      </c>
      <c r="H58" s="8" t="s">
        <v>37</v>
      </c>
      <c r="I58" s="8" t="s">
        <v>53</v>
      </c>
      <c r="J58" s="8" t="s">
        <v>104</v>
      </c>
      <c r="K58" s="8" t="s">
        <v>4412</v>
      </c>
      <c r="L58" s="7">
        <v>6796</v>
      </c>
      <c r="M58" s="10" t="str">
        <f t="shared" si="0"/>
        <v>CMI02051600</v>
      </c>
      <c r="N58" s="10" t="str">
        <f t="shared" si="1"/>
        <v>CON252200</v>
      </c>
      <c r="O58" s="10" t="str">
        <f t="shared" si="2"/>
        <v>E</v>
      </c>
      <c r="P58" s="10" t="str">
        <f t="shared" si="3"/>
        <v>50</v>
      </c>
      <c r="Q58" s="10" t="str">
        <f t="shared" si="4"/>
        <v>ZCON</v>
      </c>
      <c r="R58" s="10" t="str">
        <f t="shared" si="5"/>
        <v>31211502</v>
      </c>
    </row>
    <row r="59" spans="1:18" ht="25.5" hidden="1" x14ac:dyDescent="0.2">
      <c r="A59" s="21" t="s">
        <v>4411</v>
      </c>
      <c r="B59" s="8" t="s">
        <v>4410</v>
      </c>
      <c r="C59" s="8" t="s">
        <v>40</v>
      </c>
      <c r="D59" s="8" t="s">
        <v>1181</v>
      </c>
      <c r="E59" s="8" t="s">
        <v>40</v>
      </c>
      <c r="F59" s="8" t="s">
        <v>39</v>
      </c>
      <c r="G59" s="8" t="s">
        <v>4273</v>
      </c>
      <c r="H59" s="8" t="s">
        <v>37</v>
      </c>
      <c r="I59" s="8" t="s">
        <v>53</v>
      </c>
      <c r="J59" s="8" t="s">
        <v>104</v>
      </c>
      <c r="K59" s="8" t="s">
        <v>4409</v>
      </c>
      <c r="L59" s="7">
        <v>6797</v>
      </c>
      <c r="M59" s="10" t="str">
        <f t="shared" si="0"/>
        <v>CMI02051600</v>
      </c>
      <c r="N59" s="10" t="str">
        <f t="shared" si="1"/>
        <v>CON251000</v>
      </c>
      <c r="O59" s="10" t="str">
        <f t="shared" si="2"/>
        <v>E</v>
      </c>
      <c r="P59" s="10" t="str">
        <f t="shared" si="3"/>
        <v>50</v>
      </c>
      <c r="Q59" s="10" t="str">
        <f t="shared" si="4"/>
        <v>ZCON</v>
      </c>
      <c r="R59" s="10" t="str">
        <f t="shared" si="5"/>
        <v>12164905</v>
      </c>
    </row>
    <row r="60" spans="1:18" ht="25.5" hidden="1" x14ac:dyDescent="0.2">
      <c r="A60" s="21" t="s">
        <v>4408</v>
      </c>
      <c r="B60" s="8" t="s">
        <v>4407</v>
      </c>
      <c r="C60" s="8" t="s">
        <v>40</v>
      </c>
      <c r="D60" s="8" t="s">
        <v>1456</v>
      </c>
      <c r="E60" s="8" t="s">
        <v>40</v>
      </c>
      <c r="F60" s="8" t="s">
        <v>39</v>
      </c>
      <c r="G60" s="8" t="s">
        <v>54</v>
      </c>
      <c r="H60" s="8" t="s">
        <v>37</v>
      </c>
      <c r="I60" s="8" t="s">
        <v>53</v>
      </c>
      <c r="J60" s="8" t="s">
        <v>104</v>
      </c>
      <c r="K60" s="8" t="s">
        <v>4406</v>
      </c>
      <c r="L60" s="7">
        <v>6798</v>
      </c>
      <c r="M60" s="10" t="str">
        <f t="shared" si="0"/>
        <v>CMI03010100</v>
      </c>
      <c r="N60" s="10" t="str">
        <f t="shared" si="1"/>
        <v>REP201100</v>
      </c>
      <c r="O60" s="10" t="str">
        <f t="shared" si="2"/>
        <v>E</v>
      </c>
      <c r="P60" s="10" t="str">
        <f t="shared" si="3"/>
        <v>50</v>
      </c>
      <c r="Q60" s="10" t="str">
        <f t="shared" si="4"/>
        <v>ZCON</v>
      </c>
      <c r="R60" s="10" t="str">
        <f t="shared" si="5"/>
        <v>31211704</v>
      </c>
    </row>
    <row r="61" spans="1:18" ht="25.5" hidden="1" x14ac:dyDescent="0.2">
      <c r="A61" s="21" t="s">
        <v>4405</v>
      </c>
      <c r="B61" s="8" t="s">
        <v>4404</v>
      </c>
      <c r="C61" s="8" t="s">
        <v>40</v>
      </c>
      <c r="D61" s="8" t="s">
        <v>1181</v>
      </c>
      <c r="E61" s="8" t="s">
        <v>40</v>
      </c>
      <c r="F61" s="8" t="s">
        <v>39</v>
      </c>
      <c r="G61" s="8" t="s">
        <v>4291</v>
      </c>
      <c r="H61" s="8" t="s">
        <v>37</v>
      </c>
      <c r="I61" s="8" t="s">
        <v>53</v>
      </c>
      <c r="J61" s="8" t="s">
        <v>104</v>
      </c>
      <c r="K61" s="8" t="s">
        <v>4403</v>
      </c>
      <c r="L61" s="7">
        <v>6799</v>
      </c>
      <c r="M61" s="10" t="str">
        <f t="shared" si="0"/>
        <v>CMI02051600</v>
      </c>
      <c r="N61" s="10" t="str">
        <f t="shared" si="1"/>
        <v>CON252200</v>
      </c>
      <c r="O61" s="10" t="str">
        <f t="shared" si="2"/>
        <v>E</v>
      </c>
      <c r="P61" s="10" t="str">
        <f t="shared" si="3"/>
        <v>50</v>
      </c>
      <c r="Q61" s="10" t="str">
        <f t="shared" si="4"/>
        <v>ZCON</v>
      </c>
      <c r="R61" s="10" t="str">
        <f t="shared" si="5"/>
        <v>31211803</v>
      </c>
    </row>
    <row r="62" spans="1:18" ht="25.5" hidden="1" x14ac:dyDescent="0.2">
      <c r="A62" s="21" t="s">
        <v>4402</v>
      </c>
      <c r="B62" s="8" t="s">
        <v>4401</v>
      </c>
      <c r="C62" s="8" t="s">
        <v>40</v>
      </c>
      <c r="D62" s="8" t="s">
        <v>363</v>
      </c>
      <c r="E62" s="8" t="s">
        <v>40</v>
      </c>
      <c r="F62" s="8" t="s">
        <v>39</v>
      </c>
      <c r="G62" s="8" t="s">
        <v>4273</v>
      </c>
      <c r="H62" s="8" t="s">
        <v>37</v>
      </c>
      <c r="I62" s="8" t="s">
        <v>53</v>
      </c>
      <c r="J62" s="8" t="s">
        <v>104</v>
      </c>
      <c r="K62" s="8" t="s">
        <v>4400</v>
      </c>
      <c r="L62" s="7">
        <v>6800</v>
      </c>
      <c r="M62" s="10" t="str">
        <f t="shared" si="0"/>
        <v>CMI02051300</v>
      </c>
      <c r="N62" s="10" t="str">
        <f t="shared" si="1"/>
        <v>CON251000</v>
      </c>
      <c r="O62" s="10" t="str">
        <f t="shared" si="2"/>
        <v>E</v>
      </c>
      <c r="P62" s="10" t="str">
        <f t="shared" si="3"/>
        <v>50</v>
      </c>
      <c r="Q62" s="10" t="str">
        <f t="shared" si="4"/>
        <v>ZCON</v>
      </c>
      <c r="R62" s="10" t="str">
        <f t="shared" si="5"/>
        <v>11151709</v>
      </c>
    </row>
    <row r="63" spans="1:18" ht="25.5" hidden="1" x14ac:dyDescent="0.2">
      <c r="A63" s="21" t="s">
        <v>4399</v>
      </c>
      <c r="B63" s="8" t="s">
        <v>4398</v>
      </c>
      <c r="C63" s="8" t="s">
        <v>40</v>
      </c>
      <c r="D63" s="8" t="s">
        <v>363</v>
      </c>
      <c r="E63" s="8" t="s">
        <v>40</v>
      </c>
      <c r="F63" s="8" t="s">
        <v>39</v>
      </c>
      <c r="G63" s="8" t="s">
        <v>105</v>
      </c>
      <c r="H63" s="8" t="s">
        <v>37</v>
      </c>
      <c r="I63" s="8" t="s">
        <v>53</v>
      </c>
      <c r="J63" s="8" t="s">
        <v>104</v>
      </c>
      <c r="K63" s="8" t="s">
        <v>4397</v>
      </c>
      <c r="L63" s="7">
        <v>6801</v>
      </c>
      <c r="M63" s="10" t="str">
        <f t="shared" si="0"/>
        <v>CMI02051300</v>
      </c>
      <c r="N63" s="10" t="str">
        <f t="shared" si="1"/>
        <v>CON252100</v>
      </c>
      <c r="O63" s="10" t="str">
        <f t="shared" si="2"/>
        <v>E</v>
      </c>
      <c r="P63" s="10" t="str">
        <f t="shared" si="3"/>
        <v>50</v>
      </c>
      <c r="Q63" s="10" t="str">
        <f t="shared" si="4"/>
        <v>ZCON</v>
      </c>
      <c r="R63" s="10" t="str">
        <f t="shared" si="5"/>
        <v>11111804</v>
      </c>
    </row>
    <row r="64" spans="1:18" ht="38.25" hidden="1" x14ac:dyDescent="0.2">
      <c r="A64" s="21" t="s">
        <v>4396</v>
      </c>
      <c r="B64" s="8" t="s">
        <v>4395</v>
      </c>
      <c r="C64" s="8" t="s">
        <v>40</v>
      </c>
      <c r="D64" s="8" t="s">
        <v>326</v>
      </c>
      <c r="E64" s="8" t="s">
        <v>40</v>
      </c>
      <c r="F64" s="8" t="s">
        <v>39</v>
      </c>
      <c r="G64" s="8" t="s">
        <v>60</v>
      </c>
      <c r="H64" s="8" t="s">
        <v>37</v>
      </c>
      <c r="I64" s="8" t="s">
        <v>53</v>
      </c>
      <c r="J64" s="8" t="s">
        <v>104</v>
      </c>
      <c r="K64" s="8" t="s">
        <v>4394</v>
      </c>
      <c r="L64" s="7">
        <v>6802</v>
      </c>
      <c r="M64" s="10" t="str">
        <f t="shared" si="0"/>
        <v>CMI02050400</v>
      </c>
      <c r="N64" s="10" t="str">
        <f t="shared" si="1"/>
        <v>SUM231200</v>
      </c>
      <c r="O64" s="10" t="str">
        <f t="shared" si="2"/>
        <v>E</v>
      </c>
      <c r="P64" s="10" t="str">
        <f t="shared" si="3"/>
        <v>50</v>
      </c>
      <c r="Q64" s="10" t="str">
        <f t="shared" si="4"/>
        <v>ZCON</v>
      </c>
      <c r="R64" s="10" t="str">
        <f t="shared" si="5"/>
        <v>30111601</v>
      </c>
    </row>
    <row r="65" spans="1:18" ht="25.5" hidden="1" x14ac:dyDescent="0.2">
      <c r="A65" s="21" t="s">
        <v>4393</v>
      </c>
      <c r="B65" s="8" t="s">
        <v>4392</v>
      </c>
      <c r="C65" s="8" t="s">
        <v>40</v>
      </c>
      <c r="D65" s="8" t="s">
        <v>1177</v>
      </c>
      <c r="E65" s="8" t="s">
        <v>40</v>
      </c>
      <c r="F65" s="8" t="s">
        <v>39</v>
      </c>
      <c r="G65" s="8" t="s">
        <v>4305</v>
      </c>
      <c r="H65" s="8" t="s">
        <v>37</v>
      </c>
      <c r="I65" s="8" t="s">
        <v>53</v>
      </c>
      <c r="J65" s="8" t="s">
        <v>104</v>
      </c>
      <c r="K65" s="8" t="s">
        <v>4391</v>
      </c>
      <c r="L65" s="7">
        <v>6803</v>
      </c>
      <c r="M65" s="10" t="str">
        <f t="shared" si="0"/>
        <v>CMI02051400</v>
      </c>
      <c r="N65" s="10" t="str">
        <f t="shared" si="1"/>
        <v>CON252000</v>
      </c>
      <c r="O65" s="10" t="str">
        <f t="shared" si="2"/>
        <v>E</v>
      </c>
      <c r="P65" s="10" t="str">
        <f t="shared" si="3"/>
        <v>50</v>
      </c>
      <c r="Q65" s="10" t="str">
        <f t="shared" si="4"/>
        <v>ZCON</v>
      </c>
      <c r="R65" s="10" t="str">
        <f t="shared" si="5"/>
        <v>30101503</v>
      </c>
    </row>
    <row r="66" spans="1:18" ht="25.5" hidden="1" x14ac:dyDescent="0.2">
      <c r="A66" s="21" t="s">
        <v>4390</v>
      </c>
      <c r="B66" s="8" t="s">
        <v>4389</v>
      </c>
      <c r="C66" s="8" t="s">
        <v>40</v>
      </c>
      <c r="D66" s="8" t="s">
        <v>1177</v>
      </c>
      <c r="E66" s="8" t="s">
        <v>40</v>
      </c>
      <c r="F66" s="8" t="s">
        <v>39</v>
      </c>
      <c r="G66" s="8" t="s">
        <v>4305</v>
      </c>
      <c r="H66" s="8" t="s">
        <v>37</v>
      </c>
      <c r="I66" s="8" t="s">
        <v>53</v>
      </c>
      <c r="J66" s="8" t="s">
        <v>104</v>
      </c>
      <c r="K66" s="8" t="s">
        <v>4388</v>
      </c>
      <c r="L66" s="7">
        <v>6804</v>
      </c>
      <c r="M66" s="10" t="str">
        <f t="shared" si="0"/>
        <v>CMI02051400</v>
      </c>
      <c r="N66" s="10" t="str">
        <f t="shared" si="1"/>
        <v>CON252000</v>
      </c>
      <c r="O66" s="10" t="str">
        <f t="shared" si="2"/>
        <v>E</v>
      </c>
      <c r="P66" s="10" t="str">
        <f t="shared" si="3"/>
        <v>50</v>
      </c>
      <c r="Q66" s="10" t="str">
        <f t="shared" si="4"/>
        <v>ZCON</v>
      </c>
      <c r="R66" s="10" t="str">
        <f t="shared" si="5"/>
        <v>30101703</v>
      </c>
    </row>
    <row r="67" spans="1:18" ht="25.5" hidden="1" x14ac:dyDescent="0.2">
      <c r="A67" s="21" t="s">
        <v>4387</v>
      </c>
      <c r="B67" s="8" t="s">
        <v>4386</v>
      </c>
      <c r="C67" s="8" t="s">
        <v>40</v>
      </c>
      <c r="D67" s="8" t="s">
        <v>1824</v>
      </c>
      <c r="E67" s="8" t="s">
        <v>40</v>
      </c>
      <c r="F67" s="8" t="s">
        <v>39</v>
      </c>
      <c r="G67" s="8" t="s">
        <v>4373</v>
      </c>
      <c r="H67" s="8" t="s">
        <v>37</v>
      </c>
      <c r="I67" s="8" t="s">
        <v>53</v>
      </c>
      <c r="J67" s="8" t="s">
        <v>104</v>
      </c>
      <c r="K67" s="8" t="s">
        <v>4385</v>
      </c>
      <c r="L67" s="7">
        <v>6805</v>
      </c>
      <c r="M67" s="10" t="str">
        <f t="shared" ref="M67:M130" si="6">+LEFT(D67,11)</f>
        <v>CMI02051000</v>
      </c>
      <c r="N67" s="10" t="str">
        <f t="shared" ref="N67:N130" si="7">+LEFT(G67,9)</f>
        <v>CON251800</v>
      </c>
      <c r="O67" s="10" t="str">
        <f t="shared" ref="O67:O130" si="8">+LEFT(H67,1)</f>
        <v>E</v>
      </c>
      <c r="P67" s="10" t="str">
        <f t="shared" ref="P67:P130" si="9">+LEFT(I67,2)</f>
        <v>50</v>
      </c>
      <c r="Q67" s="10" t="str">
        <f t="shared" ref="Q67:Q130" si="10">+LEFT(J67,4)</f>
        <v>ZCON</v>
      </c>
      <c r="R67" s="10" t="str">
        <f t="shared" ref="R67:R130" si="11">+LEFT(K67,8)</f>
        <v>30102203</v>
      </c>
    </row>
    <row r="68" spans="1:18" ht="25.5" hidden="1" x14ac:dyDescent="0.2">
      <c r="A68" s="21" t="s">
        <v>4384</v>
      </c>
      <c r="B68" s="8" t="s">
        <v>4383</v>
      </c>
      <c r="C68" s="8" t="s">
        <v>40</v>
      </c>
      <c r="D68" s="8" t="s">
        <v>1824</v>
      </c>
      <c r="E68" s="7">
        <v>6</v>
      </c>
      <c r="F68" s="8" t="s">
        <v>39</v>
      </c>
      <c r="G68" s="8" t="s">
        <v>4373</v>
      </c>
      <c r="H68" s="8" t="s">
        <v>37</v>
      </c>
      <c r="I68" s="8" t="s">
        <v>53</v>
      </c>
      <c r="J68" s="8" t="s">
        <v>104</v>
      </c>
      <c r="K68" s="8" t="s">
        <v>4382</v>
      </c>
      <c r="L68" s="7">
        <v>6806</v>
      </c>
      <c r="M68" s="10" t="str">
        <f t="shared" si="6"/>
        <v>CMI02051000</v>
      </c>
      <c r="N68" s="10" t="str">
        <f t="shared" si="7"/>
        <v>CON251800</v>
      </c>
      <c r="O68" s="10" t="str">
        <f t="shared" si="8"/>
        <v>E</v>
      </c>
      <c r="P68" s="10" t="str">
        <f t="shared" si="9"/>
        <v>50</v>
      </c>
      <c r="Q68" s="10" t="str">
        <f t="shared" si="10"/>
        <v>ZCON</v>
      </c>
      <c r="R68" s="10" t="str">
        <f t="shared" si="11"/>
        <v>30102004</v>
      </c>
    </row>
    <row r="69" spans="1:18" ht="25.5" hidden="1" x14ac:dyDescent="0.2">
      <c r="A69" s="21" t="s">
        <v>4381</v>
      </c>
      <c r="B69" s="8" t="s">
        <v>4380</v>
      </c>
      <c r="C69" s="8" t="s">
        <v>40</v>
      </c>
      <c r="D69" s="8" t="s">
        <v>1177</v>
      </c>
      <c r="E69" s="8" t="s">
        <v>40</v>
      </c>
      <c r="F69" s="8" t="s">
        <v>39</v>
      </c>
      <c r="G69" s="8" t="s">
        <v>4305</v>
      </c>
      <c r="H69" s="8" t="s">
        <v>37</v>
      </c>
      <c r="I69" s="8" t="s">
        <v>53</v>
      </c>
      <c r="J69" s="8" t="s">
        <v>104</v>
      </c>
      <c r="K69" s="8" t="s">
        <v>4379</v>
      </c>
      <c r="L69" s="7">
        <v>6807</v>
      </c>
      <c r="M69" s="10" t="str">
        <f t="shared" si="6"/>
        <v>CMI02051400</v>
      </c>
      <c r="N69" s="10" t="str">
        <f t="shared" si="7"/>
        <v>CON252000</v>
      </c>
      <c r="O69" s="10" t="str">
        <f t="shared" si="8"/>
        <v>E</v>
      </c>
      <c r="P69" s="10" t="str">
        <f t="shared" si="9"/>
        <v>50</v>
      </c>
      <c r="Q69" s="10" t="str">
        <f t="shared" si="10"/>
        <v>ZCON</v>
      </c>
      <c r="R69" s="10" t="str">
        <f t="shared" si="11"/>
        <v>30102303</v>
      </c>
    </row>
    <row r="70" spans="1:18" ht="25.5" hidden="1" x14ac:dyDescent="0.2">
      <c r="A70" s="21" t="s">
        <v>4378</v>
      </c>
      <c r="B70" s="8" t="s">
        <v>4377</v>
      </c>
      <c r="C70" s="8" t="s">
        <v>40</v>
      </c>
      <c r="D70" s="8" t="s">
        <v>1824</v>
      </c>
      <c r="E70" s="8" t="s">
        <v>40</v>
      </c>
      <c r="F70" s="8" t="s">
        <v>39</v>
      </c>
      <c r="G70" s="8" t="s">
        <v>4373</v>
      </c>
      <c r="H70" s="8" t="s">
        <v>37</v>
      </c>
      <c r="I70" s="8" t="s">
        <v>53</v>
      </c>
      <c r="J70" s="8" t="s">
        <v>104</v>
      </c>
      <c r="K70" s="8" t="s">
        <v>4376</v>
      </c>
      <c r="L70" s="7">
        <v>6808</v>
      </c>
      <c r="M70" s="10" t="str">
        <f t="shared" si="6"/>
        <v>CMI02051000</v>
      </c>
      <c r="N70" s="10" t="str">
        <f t="shared" si="7"/>
        <v>CON251800</v>
      </c>
      <c r="O70" s="10" t="str">
        <f t="shared" si="8"/>
        <v>E</v>
      </c>
      <c r="P70" s="10" t="str">
        <f t="shared" si="9"/>
        <v>50</v>
      </c>
      <c r="Q70" s="10" t="str">
        <f t="shared" si="10"/>
        <v>ZCON</v>
      </c>
      <c r="R70" s="10" t="str">
        <f t="shared" si="11"/>
        <v>30102000</v>
      </c>
    </row>
    <row r="71" spans="1:18" ht="25.5" hidden="1" x14ac:dyDescent="0.2">
      <c r="A71" s="21" t="s">
        <v>4375</v>
      </c>
      <c r="B71" s="8" t="s">
        <v>4374</v>
      </c>
      <c r="C71" s="8" t="s">
        <v>40</v>
      </c>
      <c r="D71" s="8" t="s">
        <v>1824</v>
      </c>
      <c r="E71" s="8" t="s">
        <v>40</v>
      </c>
      <c r="F71" s="8" t="s">
        <v>39</v>
      </c>
      <c r="G71" s="8" t="s">
        <v>4373</v>
      </c>
      <c r="H71" s="8" t="s">
        <v>37</v>
      </c>
      <c r="I71" s="8" t="s">
        <v>53</v>
      </c>
      <c r="J71" s="8" t="s">
        <v>104</v>
      </c>
      <c r="K71" s="8" t="s">
        <v>4372</v>
      </c>
      <c r="L71" s="7">
        <v>6809</v>
      </c>
      <c r="M71" s="10" t="str">
        <f t="shared" si="6"/>
        <v>CMI02051000</v>
      </c>
      <c r="N71" s="10" t="str">
        <f t="shared" si="7"/>
        <v>CON251800</v>
      </c>
      <c r="O71" s="10" t="str">
        <f t="shared" si="8"/>
        <v>E</v>
      </c>
      <c r="P71" s="10" t="str">
        <f t="shared" si="9"/>
        <v>50</v>
      </c>
      <c r="Q71" s="10" t="str">
        <f t="shared" si="10"/>
        <v>ZCON</v>
      </c>
      <c r="R71" s="10" t="str">
        <f t="shared" si="11"/>
        <v>30102005</v>
      </c>
    </row>
    <row r="72" spans="1:18" ht="38.25" hidden="1" x14ac:dyDescent="0.2">
      <c r="A72" s="21" t="s">
        <v>4371</v>
      </c>
      <c r="B72" s="8" t="s">
        <v>4370</v>
      </c>
      <c r="C72" s="8" t="s">
        <v>40</v>
      </c>
      <c r="D72" s="8" t="s">
        <v>1824</v>
      </c>
      <c r="E72" s="8" t="s">
        <v>40</v>
      </c>
      <c r="F72" s="8" t="s">
        <v>39</v>
      </c>
      <c r="G72" s="8" t="s">
        <v>4339</v>
      </c>
      <c r="H72" s="8" t="s">
        <v>37</v>
      </c>
      <c r="I72" s="8" t="s">
        <v>53</v>
      </c>
      <c r="J72" s="8" t="s">
        <v>104</v>
      </c>
      <c r="K72" s="8" t="s">
        <v>4369</v>
      </c>
      <c r="L72" s="7">
        <v>6810</v>
      </c>
      <c r="M72" s="10" t="str">
        <f t="shared" si="6"/>
        <v>CMI02051000</v>
      </c>
      <c r="N72" s="10" t="str">
        <f t="shared" si="7"/>
        <v>CON251900</v>
      </c>
      <c r="O72" s="10" t="str">
        <f t="shared" si="8"/>
        <v>E</v>
      </c>
      <c r="P72" s="10" t="str">
        <f t="shared" si="9"/>
        <v>50</v>
      </c>
      <c r="Q72" s="10" t="str">
        <f t="shared" si="10"/>
        <v>ZCON</v>
      </c>
      <c r="R72" s="10" t="str">
        <f t="shared" si="11"/>
        <v>30103604</v>
      </c>
    </row>
    <row r="73" spans="1:18" ht="38.25" hidden="1" x14ac:dyDescent="0.2">
      <c r="A73" s="21" t="s">
        <v>4368</v>
      </c>
      <c r="B73" s="8" t="s">
        <v>4367</v>
      </c>
      <c r="C73" s="8" t="s">
        <v>40</v>
      </c>
      <c r="D73" s="8" t="s">
        <v>326</v>
      </c>
      <c r="E73" s="8" t="s">
        <v>40</v>
      </c>
      <c r="F73" s="8" t="s">
        <v>39</v>
      </c>
      <c r="G73" s="8" t="s">
        <v>4320</v>
      </c>
      <c r="H73" s="8" t="s">
        <v>37</v>
      </c>
      <c r="I73" s="8" t="s">
        <v>53</v>
      </c>
      <c r="J73" s="8" t="s">
        <v>104</v>
      </c>
      <c r="K73" s="8" t="s">
        <v>4366</v>
      </c>
      <c r="L73" s="7">
        <v>6811</v>
      </c>
      <c r="M73" s="10" t="str">
        <f t="shared" si="6"/>
        <v>CMI02050400</v>
      </c>
      <c r="N73" s="10" t="str">
        <f t="shared" si="7"/>
        <v>CON251300</v>
      </c>
      <c r="O73" s="10" t="str">
        <f t="shared" si="8"/>
        <v>E</v>
      </c>
      <c r="P73" s="10" t="str">
        <f t="shared" si="9"/>
        <v>50</v>
      </c>
      <c r="Q73" s="10" t="str">
        <f t="shared" si="10"/>
        <v>ZCON</v>
      </c>
      <c r="R73" s="10" t="str">
        <f t="shared" si="11"/>
        <v>30101717</v>
      </c>
    </row>
    <row r="74" spans="1:18" ht="38.25" hidden="1" x14ac:dyDescent="0.2">
      <c r="A74" s="21" t="s">
        <v>4365</v>
      </c>
      <c r="B74" s="8" t="s">
        <v>4364</v>
      </c>
      <c r="C74" s="8" t="s">
        <v>40</v>
      </c>
      <c r="D74" s="8" t="s">
        <v>326</v>
      </c>
      <c r="E74" s="8" t="s">
        <v>40</v>
      </c>
      <c r="F74" s="8" t="s">
        <v>39</v>
      </c>
      <c r="G74" s="8" t="s">
        <v>4320</v>
      </c>
      <c r="H74" s="8" t="s">
        <v>37</v>
      </c>
      <c r="I74" s="8" t="s">
        <v>53</v>
      </c>
      <c r="J74" s="8" t="s">
        <v>104</v>
      </c>
      <c r="K74" s="8" t="s">
        <v>4363</v>
      </c>
      <c r="L74" s="7">
        <v>6812</v>
      </c>
      <c r="M74" s="10" t="str">
        <f t="shared" si="6"/>
        <v>CMI02050400</v>
      </c>
      <c r="N74" s="10" t="str">
        <f t="shared" si="7"/>
        <v>CON251300</v>
      </c>
      <c r="O74" s="10" t="str">
        <f t="shared" si="8"/>
        <v>E</v>
      </c>
      <c r="P74" s="10" t="str">
        <f t="shared" si="9"/>
        <v>50</v>
      </c>
      <c r="Q74" s="10" t="str">
        <f t="shared" si="10"/>
        <v>ZCON</v>
      </c>
      <c r="R74" s="10" t="str">
        <f t="shared" si="11"/>
        <v>30111607</v>
      </c>
    </row>
    <row r="75" spans="1:18" ht="25.5" hidden="1" x14ac:dyDescent="0.2">
      <c r="A75" s="21" t="s">
        <v>4362</v>
      </c>
      <c r="B75" s="8" t="s">
        <v>4361</v>
      </c>
      <c r="C75" s="8" t="s">
        <v>40</v>
      </c>
      <c r="D75" s="8" t="s">
        <v>3860</v>
      </c>
      <c r="E75" s="8" t="s">
        <v>40</v>
      </c>
      <c r="F75" s="8" t="s">
        <v>39</v>
      </c>
      <c r="G75" s="8" t="s">
        <v>105</v>
      </c>
      <c r="H75" s="8" t="s">
        <v>37</v>
      </c>
      <c r="I75" s="8" t="s">
        <v>53</v>
      </c>
      <c r="J75" s="8" t="s">
        <v>104</v>
      </c>
      <c r="K75" s="8" t="s">
        <v>3859</v>
      </c>
      <c r="L75" s="7">
        <v>6813</v>
      </c>
      <c r="M75" s="10" t="str">
        <f t="shared" si="6"/>
        <v>CMI02051500</v>
      </c>
      <c r="N75" s="10" t="str">
        <f t="shared" si="7"/>
        <v>CON252100</v>
      </c>
      <c r="O75" s="10" t="str">
        <f t="shared" si="8"/>
        <v>E</v>
      </c>
      <c r="P75" s="10" t="str">
        <f t="shared" si="9"/>
        <v>50</v>
      </c>
      <c r="Q75" s="10" t="str">
        <f t="shared" si="10"/>
        <v>ZCON</v>
      </c>
      <c r="R75" s="10" t="str">
        <f t="shared" si="11"/>
        <v>11111501</v>
      </c>
    </row>
    <row r="76" spans="1:18" ht="38.25" hidden="1" x14ac:dyDescent="0.2">
      <c r="A76" s="21" t="s">
        <v>4360</v>
      </c>
      <c r="B76" s="8" t="s">
        <v>4359</v>
      </c>
      <c r="C76" s="8" t="s">
        <v>40</v>
      </c>
      <c r="D76" s="8" t="s">
        <v>363</v>
      </c>
      <c r="E76" s="8" t="s">
        <v>40</v>
      </c>
      <c r="F76" s="8" t="s">
        <v>39</v>
      </c>
      <c r="G76" s="8" t="s">
        <v>4273</v>
      </c>
      <c r="H76" s="8" t="s">
        <v>37</v>
      </c>
      <c r="I76" s="8" t="s">
        <v>53</v>
      </c>
      <c r="J76" s="8" t="s">
        <v>104</v>
      </c>
      <c r="K76" s="8" t="s">
        <v>4358</v>
      </c>
      <c r="L76" s="7">
        <v>6814</v>
      </c>
      <c r="M76" s="10" t="str">
        <f t="shared" si="6"/>
        <v>CMI02051300</v>
      </c>
      <c r="N76" s="10" t="str">
        <f t="shared" si="7"/>
        <v>CON251000</v>
      </c>
      <c r="O76" s="10" t="str">
        <f t="shared" si="8"/>
        <v>E</v>
      </c>
      <c r="P76" s="10" t="str">
        <f t="shared" si="9"/>
        <v>50</v>
      </c>
      <c r="Q76" s="10" t="str">
        <f t="shared" si="10"/>
        <v>ZCON</v>
      </c>
      <c r="R76" s="10" t="str">
        <f t="shared" si="11"/>
        <v>23151804</v>
      </c>
    </row>
    <row r="77" spans="1:18" ht="25.5" hidden="1" x14ac:dyDescent="0.2">
      <c r="A77" s="21" t="s">
        <v>4357</v>
      </c>
      <c r="B77" s="8" t="s">
        <v>4356</v>
      </c>
      <c r="C77" s="8" t="s">
        <v>40</v>
      </c>
      <c r="D77" s="8" t="s">
        <v>363</v>
      </c>
      <c r="E77" s="8" t="s">
        <v>40</v>
      </c>
      <c r="F77" s="8" t="s">
        <v>39</v>
      </c>
      <c r="G77" s="8" t="s">
        <v>4291</v>
      </c>
      <c r="H77" s="8" t="s">
        <v>37</v>
      </c>
      <c r="I77" s="8" t="s">
        <v>53</v>
      </c>
      <c r="J77" s="8" t="s">
        <v>104</v>
      </c>
      <c r="K77" s="8" t="s">
        <v>4355</v>
      </c>
      <c r="L77" s="7">
        <v>6815</v>
      </c>
      <c r="M77" s="10" t="str">
        <f t="shared" si="6"/>
        <v>CMI02051300</v>
      </c>
      <c r="N77" s="10" t="str">
        <f t="shared" si="7"/>
        <v>CON252200</v>
      </c>
      <c r="O77" s="10" t="str">
        <f t="shared" si="8"/>
        <v>E</v>
      </c>
      <c r="P77" s="10" t="str">
        <f t="shared" si="9"/>
        <v>50</v>
      </c>
      <c r="Q77" s="10" t="str">
        <f t="shared" si="10"/>
        <v>ZCON</v>
      </c>
      <c r="R77" s="10" t="str">
        <f t="shared" si="11"/>
        <v>12162100</v>
      </c>
    </row>
    <row r="78" spans="1:18" ht="25.5" hidden="1" x14ac:dyDescent="0.2">
      <c r="A78" s="21" t="s">
        <v>4354</v>
      </c>
      <c r="B78" s="8" t="s">
        <v>4353</v>
      </c>
      <c r="C78" s="8" t="s">
        <v>40</v>
      </c>
      <c r="D78" s="8" t="s">
        <v>363</v>
      </c>
      <c r="E78" s="8" t="s">
        <v>40</v>
      </c>
      <c r="F78" s="8" t="s">
        <v>39</v>
      </c>
      <c r="G78" s="8" t="s">
        <v>4278</v>
      </c>
      <c r="H78" s="8" t="s">
        <v>37</v>
      </c>
      <c r="I78" s="8" t="s">
        <v>53</v>
      </c>
      <c r="J78" s="8" t="s">
        <v>104</v>
      </c>
      <c r="K78" s="8" t="s">
        <v>4352</v>
      </c>
      <c r="L78" s="7">
        <v>6816</v>
      </c>
      <c r="M78" s="10" t="str">
        <f t="shared" si="6"/>
        <v>CMI02051300</v>
      </c>
      <c r="N78" s="10" t="str">
        <f t="shared" si="7"/>
        <v>CON251400</v>
      </c>
      <c r="O78" s="10" t="str">
        <f t="shared" si="8"/>
        <v>E</v>
      </c>
      <c r="P78" s="10" t="str">
        <f t="shared" si="9"/>
        <v>50</v>
      </c>
      <c r="Q78" s="10" t="str">
        <f t="shared" si="10"/>
        <v>ZCON</v>
      </c>
      <c r="R78" s="10" t="str">
        <f t="shared" si="11"/>
        <v>30121701</v>
      </c>
    </row>
    <row r="79" spans="1:18" ht="25.5" hidden="1" x14ac:dyDescent="0.2">
      <c r="A79" s="21" t="s">
        <v>4351</v>
      </c>
      <c r="B79" s="8" t="s">
        <v>4350</v>
      </c>
      <c r="C79" s="8" t="s">
        <v>40</v>
      </c>
      <c r="D79" s="8" t="s">
        <v>363</v>
      </c>
      <c r="E79" s="8" t="s">
        <v>40</v>
      </c>
      <c r="F79" s="8" t="s">
        <v>39</v>
      </c>
      <c r="G79" s="8" t="s">
        <v>4278</v>
      </c>
      <c r="H79" s="8" t="s">
        <v>37</v>
      </c>
      <c r="I79" s="8" t="s">
        <v>53</v>
      </c>
      <c r="J79" s="8" t="s">
        <v>104</v>
      </c>
      <c r="K79" s="8" t="s">
        <v>4349</v>
      </c>
      <c r="L79" s="7">
        <v>6817</v>
      </c>
      <c r="M79" s="10" t="str">
        <f t="shared" si="6"/>
        <v>CMI02051300</v>
      </c>
      <c r="N79" s="10" t="str">
        <f t="shared" si="7"/>
        <v>CON251400</v>
      </c>
      <c r="O79" s="10" t="str">
        <f t="shared" si="8"/>
        <v>E</v>
      </c>
      <c r="P79" s="10" t="str">
        <f t="shared" si="9"/>
        <v>50</v>
      </c>
      <c r="Q79" s="10" t="str">
        <f t="shared" si="10"/>
        <v>ZCON</v>
      </c>
      <c r="R79" s="10" t="str">
        <f t="shared" si="11"/>
        <v>30121702</v>
      </c>
    </row>
    <row r="80" spans="1:18" ht="25.5" hidden="1" x14ac:dyDescent="0.2">
      <c r="A80" s="21" t="s">
        <v>4348</v>
      </c>
      <c r="B80" s="8" t="s">
        <v>4347</v>
      </c>
      <c r="C80" s="8" t="s">
        <v>40</v>
      </c>
      <c r="D80" s="8" t="s">
        <v>363</v>
      </c>
      <c r="E80" s="8" t="s">
        <v>40</v>
      </c>
      <c r="F80" s="8" t="s">
        <v>39</v>
      </c>
      <c r="G80" s="8" t="s">
        <v>105</v>
      </c>
      <c r="H80" s="8" t="s">
        <v>37</v>
      </c>
      <c r="I80" s="8" t="s">
        <v>53</v>
      </c>
      <c r="J80" s="8" t="s">
        <v>104</v>
      </c>
      <c r="K80" s="8" t="s">
        <v>4346</v>
      </c>
      <c r="L80" s="7">
        <v>6818</v>
      </c>
      <c r="M80" s="10" t="str">
        <f t="shared" si="6"/>
        <v>CMI02051300</v>
      </c>
      <c r="N80" s="10" t="str">
        <f t="shared" si="7"/>
        <v>CON252100</v>
      </c>
      <c r="O80" s="10" t="str">
        <f t="shared" si="8"/>
        <v>E</v>
      </c>
      <c r="P80" s="10" t="str">
        <f t="shared" si="9"/>
        <v>50</v>
      </c>
      <c r="Q80" s="10" t="str">
        <f t="shared" si="10"/>
        <v>ZCON</v>
      </c>
      <c r="R80" s="10" t="str">
        <f t="shared" si="11"/>
        <v>31163401</v>
      </c>
    </row>
    <row r="81" spans="1:18" ht="38.25" hidden="1" x14ac:dyDescent="0.2">
      <c r="A81" s="21" t="s">
        <v>4345</v>
      </c>
      <c r="B81" s="8" t="s">
        <v>4344</v>
      </c>
      <c r="C81" s="8" t="s">
        <v>40</v>
      </c>
      <c r="D81" s="8" t="s">
        <v>326</v>
      </c>
      <c r="E81" s="8" t="s">
        <v>40</v>
      </c>
      <c r="F81" s="8" t="s">
        <v>39</v>
      </c>
      <c r="G81" s="8" t="s">
        <v>4320</v>
      </c>
      <c r="H81" s="8" t="s">
        <v>37</v>
      </c>
      <c r="I81" s="8" t="s">
        <v>53</v>
      </c>
      <c r="J81" s="8" t="s">
        <v>104</v>
      </c>
      <c r="K81" s="8" t="s">
        <v>4343</v>
      </c>
      <c r="L81" s="7">
        <v>6819</v>
      </c>
      <c r="M81" s="10" t="str">
        <f t="shared" si="6"/>
        <v>CMI02050400</v>
      </c>
      <c r="N81" s="10" t="str">
        <f t="shared" si="7"/>
        <v>CON251300</v>
      </c>
      <c r="O81" s="10" t="str">
        <f t="shared" si="8"/>
        <v>E</v>
      </c>
      <c r="P81" s="10" t="str">
        <f t="shared" si="9"/>
        <v>50</v>
      </c>
      <c r="Q81" s="10" t="str">
        <f t="shared" si="10"/>
        <v>ZCON</v>
      </c>
      <c r="R81" s="10" t="str">
        <f t="shared" si="11"/>
        <v>30121705</v>
      </c>
    </row>
    <row r="82" spans="1:18" ht="25.5" hidden="1" x14ac:dyDescent="0.2">
      <c r="A82" s="21" t="s">
        <v>4342</v>
      </c>
      <c r="B82" s="8" t="s">
        <v>4341</v>
      </c>
      <c r="C82" s="8" t="s">
        <v>40</v>
      </c>
      <c r="D82" s="8" t="s">
        <v>4340</v>
      </c>
      <c r="E82" s="8" t="s">
        <v>40</v>
      </c>
      <c r="F82" s="8" t="s">
        <v>39</v>
      </c>
      <c r="G82" s="8" t="s">
        <v>4339</v>
      </c>
      <c r="H82" s="8" t="s">
        <v>37</v>
      </c>
      <c r="I82" s="8" t="s">
        <v>53</v>
      </c>
      <c r="J82" s="8" t="s">
        <v>104</v>
      </c>
      <c r="K82" s="8" t="s">
        <v>1842</v>
      </c>
      <c r="L82" s="7">
        <v>6820</v>
      </c>
      <c r="M82" s="10" t="str">
        <f t="shared" si="6"/>
        <v>CMI02051100</v>
      </c>
      <c r="N82" s="10" t="str">
        <f t="shared" si="7"/>
        <v>CON251900</v>
      </c>
      <c r="O82" s="10" t="str">
        <f t="shared" si="8"/>
        <v>E</v>
      </c>
      <c r="P82" s="10" t="str">
        <f t="shared" si="9"/>
        <v>50</v>
      </c>
      <c r="Q82" s="10" t="str">
        <f t="shared" si="10"/>
        <v>ZCON</v>
      </c>
      <c r="R82" s="10" t="str">
        <f t="shared" si="11"/>
        <v>30171507</v>
      </c>
    </row>
    <row r="83" spans="1:18" ht="38.25" hidden="1" x14ac:dyDescent="0.2">
      <c r="A83" s="21" t="s">
        <v>4338</v>
      </c>
      <c r="B83" s="8" t="s">
        <v>4337</v>
      </c>
      <c r="C83" s="8" t="s">
        <v>40</v>
      </c>
      <c r="D83" s="8" t="s">
        <v>326</v>
      </c>
      <c r="E83" s="8" t="s">
        <v>40</v>
      </c>
      <c r="F83" s="8" t="s">
        <v>39</v>
      </c>
      <c r="G83" s="8" t="s">
        <v>4320</v>
      </c>
      <c r="H83" s="8" t="s">
        <v>37</v>
      </c>
      <c r="I83" s="8" t="s">
        <v>53</v>
      </c>
      <c r="J83" s="8" t="s">
        <v>104</v>
      </c>
      <c r="K83" s="8" t="s">
        <v>4336</v>
      </c>
      <c r="L83" s="7">
        <v>6821</v>
      </c>
      <c r="M83" s="10" t="str">
        <f t="shared" si="6"/>
        <v>CMI02050400</v>
      </c>
      <c r="N83" s="10" t="str">
        <f t="shared" si="7"/>
        <v>CON251300</v>
      </c>
      <c r="O83" s="10" t="str">
        <f t="shared" si="8"/>
        <v>E</v>
      </c>
      <c r="P83" s="10" t="str">
        <f t="shared" si="9"/>
        <v>50</v>
      </c>
      <c r="Q83" s="10" t="str">
        <f t="shared" si="10"/>
        <v>ZCON</v>
      </c>
      <c r="R83" s="10" t="str">
        <f t="shared" si="11"/>
        <v>12162304</v>
      </c>
    </row>
    <row r="84" spans="1:18" ht="25.5" hidden="1" x14ac:dyDescent="0.2">
      <c r="A84" s="21" t="s">
        <v>4335</v>
      </c>
      <c r="B84" s="8" t="s">
        <v>4334</v>
      </c>
      <c r="C84" s="8" t="s">
        <v>40</v>
      </c>
      <c r="D84" s="8" t="s">
        <v>1082</v>
      </c>
      <c r="E84" s="8" t="s">
        <v>40</v>
      </c>
      <c r="F84" s="8" t="s">
        <v>39</v>
      </c>
      <c r="G84" s="8" t="s">
        <v>4278</v>
      </c>
      <c r="H84" s="8" t="s">
        <v>37</v>
      </c>
      <c r="I84" s="8" t="s">
        <v>53</v>
      </c>
      <c r="J84" s="8" t="s">
        <v>104</v>
      </c>
      <c r="K84" s="8" t="s">
        <v>4333</v>
      </c>
      <c r="L84" s="7">
        <v>6822</v>
      </c>
      <c r="M84" s="10" t="str">
        <f t="shared" si="6"/>
        <v>CMI02050500</v>
      </c>
      <c r="N84" s="10" t="str">
        <f t="shared" si="7"/>
        <v>CON251400</v>
      </c>
      <c r="O84" s="10" t="str">
        <f t="shared" si="8"/>
        <v>E</v>
      </c>
      <c r="P84" s="10" t="str">
        <f t="shared" si="9"/>
        <v>50</v>
      </c>
      <c r="Q84" s="10" t="str">
        <f t="shared" si="10"/>
        <v>ZCON</v>
      </c>
      <c r="R84" s="10" t="str">
        <f t="shared" si="11"/>
        <v>31162101</v>
      </c>
    </row>
    <row r="85" spans="1:18" ht="25.5" hidden="1" x14ac:dyDescent="0.2">
      <c r="A85" s="21" t="s">
        <v>4332</v>
      </c>
      <c r="B85" s="8" t="s">
        <v>4331</v>
      </c>
      <c r="C85" s="8" t="s">
        <v>40</v>
      </c>
      <c r="D85" s="8" t="s">
        <v>3860</v>
      </c>
      <c r="E85" s="8" t="s">
        <v>40</v>
      </c>
      <c r="F85" s="8" t="s">
        <v>39</v>
      </c>
      <c r="G85" s="8" t="s">
        <v>105</v>
      </c>
      <c r="H85" s="8" t="s">
        <v>37</v>
      </c>
      <c r="I85" s="8" t="s">
        <v>53</v>
      </c>
      <c r="J85" s="8" t="s">
        <v>104</v>
      </c>
      <c r="K85" s="8" t="s">
        <v>4330</v>
      </c>
      <c r="L85" s="7">
        <v>6823</v>
      </c>
      <c r="M85" s="10" t="str">
        <f t="shared" si="6"/>
        <v>CMI02051500</v>
      </c>
      <c r="N85" s="10" t="str">
        <f t="shared" si="7"/>
        <v>CON252100</v>
      </c>
      <c r="O85" s="10" t="str">
        <f t="shared" si="8"/>
        <v>E</v>
      </c>
      <c r="P85" s="10" t="str">
        <f t="shared" si="9"/>
        <v>50</v>
      </c>
      <c r="Q85" s="10" t="str">
        <f t="shared" si="10"/>
        <v>ZCON</v>
      </c>
      <c r="R85" s="10" t="str">
        <f t="shared" si="11"/>
        <v>30121700</v>
      </c>
    </row>
    <row r="86" spans="1:18" ht="25.5" hidden="1" x14ac:dyDescent="0.2">
      <c r="A86" s="21" t="s">
        <v>4329</v>
      </c>
      <c r="B86" s="8" t="s">
        <v>4328</v>
      </c>
      <c r="C86" s="8" t="s">
        <v>40</v>
      </c>
      <c r="D86" s="8" t="s">
        <v>4327</v>
      </c>
      <c r="E86" s="8" t="s">
        <v>40</v>
      </c>
      <c r="F86" s="8" t="s">
        <v>39</v>
      </c>
      <c r="G86" s="8" t="s">
        <v>4298</v>
      </c>
      <c r="H86" s="8" t="s">
        <v>37</v>
      </c>
      <c r="I86" s="8" t="s">
        <v>53</v>
      </c>
      <c r="J86" s="8" t="s">
        <v>104</v>
      </c>
      <c r="K86" s="8" t="s">
        <v>4326</v>
      </c>
      <c r="L86" s="7">
        <v>6824</v>
      </c>
      <c r="M86" s="10" t="str">
        <f t="shared" si="6"/>
        <v>CMI02050300</v>
      </c>
      <c r="N86" s="10" t="str">
        <f t="shared" si="7"/>
        <v>CON251200</v>
      </c>
      <c r="O86" s="10" t="str">
        <f t="shared" si="8"/>
        <v>E</v>
      </c>
      <c r="P86" s="10" t="str">
        <f t="shared" si="9"/>
        <v>50</v>
      </c>
      <c r="Q86" s="10" t="str">
        <f t="shared" si="10"/>
        <v>ZCON</v>
      </c>
      <c r="R86" s="10" t="str">
        <f t="shared" si="11"/>
        <v>30131502</v>
      </c>
    </row>
    <row r="87" spans="1:18" ht="25.5" hidden="1" x14ac:dyDescent="0.2">
      <c r="A87" s="21" t="s">
        <v>4325</v>
      </c>
      <c r="B87" s="8" t="s">
        <v>4324</v>
      </c>
      <c r="C87" s="8" t="s">
        <v>40</v>
      </c>
      <c r="D87" s="8" t="s">
        <v>256</v>
      </c>
      <c r="E87" s="8" t="s">
        <v>40</v>
      </c>
      <c r="F87" s="8" t="s">
        <v>39</v>
      </c>
      <c r="G87" s="8" t="s">
        <v>4278</v>
      </c>
      <c r="H87" s="8" t="s">
        <v>37</v>
      </c>
      <c r="I87" s="8" t="s">
        <v>53</v>
      </c>
      <c r="J87" s="8" t="s">
        <v>104</v>
      </c>
      <c r="K87" s="8" t="s">
        <v>4323</v>
      </c>
      <c r="L87" s="7">
        <v>6825</v>
      </c>
      <c r="M87" s="10" t="str">
        <f t="shared" si="6"/>
        <v>CMI02090900</v>
      </c>
      <c r="N87" s="10" t="str">
        <f t="shared" si="7"/>
        <v>CON251400</v>
      </c>
      <c r="O87" s="10" t="str">
        <f t="shared" si="8"/>
        <v>E</v>
      </c>
      <c r="P87" s="10" t="str">
        <f t="shared" si="9"/>
        <v>50</v>
      </c>
      <c r="Q87" s="10" t="str">
        <f t="shared" si="10"/>
        <v>ZCON</v>
      </c>
      <c r="R87" s="10" t="str">
        <f t="shared" si="11"/>
        <v>31161601</v>
      </c>
    </row>
    <row r="88" spans="1:18" ht="38.25" hidden="1" x14ac:dyDescent="0.2">
      <c r="A88" s="21" t="s">
        <v>4322</v>
      </c>
      <c r="B88" s="8" t="s">
        <v>4321</v>
      </c>
      <c r="C88" s="8" t="s">
        <v>40</v>
      </c>
      <c r="D88" s="8" t="s">
        <v>326</v>
      </c>
      <c r="E88" s="8" t="s">
        <v>40</v>
      </c>
      <c r="F88" s="8" t="s">
        <v>39</v>
      </c>
      <c r="G88" s="8" t="s">
        <v>4320</v>
      </c>
      <c r="H88" s="8" t="s">
        <v>37</v>
      </c>
      <c r="I88" s="8" t="s">
        <v>53</v>
      </c>
      <c r="J88" s="8" t="s">
        <v>104</v>
      </c>
      <c r="K88" s="8" t="s">
        <v>4319</v>
      </c>
      <c r="L88" s="7">
        <v>6826</v>
      </c>
      <c r="M88" s="10" t="str">
        <f t="shared" si="6"/>
        <v>CMI02050400</v>
      </c>
      <c r="N88" s="10" t="str">
        <f t="shared" si="7"/>
        <v>CON251300</v>
      </c>
      <c r="O88" s="10" t="str">
        <f t="shared" si="8"/>
        <v>E</v>
      </c>
      <c r="P88" s="10" t="str">
        <f t="shared" si="9"/>
        <v>50</v>
      </c>
      <c r="Q88" s="10" t="str">
        <f t="shared" si="10"/>
        <v>ZCON</v>
      </c>
      <c r="R88" s="10" t="str">
        <f t="shared" si="11"/>
        <v>30111505</v>
      </c>
    </row>
    <row r="89" spans="1:18" ht="25.5" hidden="1" x14ac:dyDescent="0.2">
      <c r="A89" s="21" t="s">
        <v>4318</v>
      </c>
      <c r="B89" s="8" t="s">
        <v>4317</v>
      </c>
      <c r="C89" s="8" t="s">
        <v>40</v>
      </c>
      <c r="D89" s="8" t="s">
        <v>2779</v>
      </c>
      <c r="E89" s="8" t="s">
        <v>40</v>
      </c>
      <c r="F89" s="8" t="s">
        <v>39</v>
      </c>
      <c r="G89" s="8" t="s">
        <v>4316</v>
      </c>
      <c r="H89" s="8" t="s">
        <v>37</v>
      </c>
      <c r="I89" s="8" t="s">
        <v>53</v>
      </c>
      <c r="J89" s="8" t="s">
        <v>104</v>
      </c>
      <c r="K89" s="8" t="s">
        <v>4315</v>
      </c>
      <c r="L89" s="7">
        <v>6827</v>
      </c>
      <c r="M89" s="10" t="str">
        <f t="shared" si="6"/>
        <v>CMI02050600</v>
      </c>
      <c r="N89" s="10" t="str">
        <f t="shared" si="7"/>
        <v>CON251500</v>
      </c>
      <c r="O89" s="10" t="str">
        <f t="shared" si="8"/>
        <v>E</v>
      </c>
      <c r="P89" s="10" t="str">
        <f t="shared" si="9"/>
        <v>50</v>
      </c>
      <c r="Q89" s="10" t="str">
        <f t="shared" si="10"/>
        <v>ZCON</v>
      </c>
      <c r="R89" s="10" t="str">
        <f t="shared" si="11"/>
        <v>12141903</v>
      </c>
    </row>
    <row r="90" spans="1:18" ht="25.5" hidden="1" x14ac:dyDescent="0.2">
      <c r="A90" s="21" t="s">
        <v>4314</v>
      </c>
      <c r="B90" s="8" t="s">
        <v>4313</v>
      </c>
      <c r="C90" s="8" t="s">
        <v>40</v>
      </c>
      <c r="D90" s="8" t="s">
        <v>2147</v>
      </c>
      <c r="E90" s="8" t="s">
        <v>40</v>
      </c>
      <c r="F90" s="8" t="s">
        <v>39</v>
      </c>
      <c r="G90" s="8" t="s">
        <v>4282</v>
      </c>
      <c r="H90" s="8" t="s">
        <v>37</v>
      </c>
      <c r="I90" s="8" t="s">
        <v>53</v>
      </c>
      <c r="J90" s="8" t="s">
        <v>104</v>
      </c>
      <c r="K90" s="8" t="s">
        <v>4312</v>
      </c>
      <c r="L90" s="7">
        <v>6828</v>
      </c>
      <c r="M90" s="10" t="str">
        <f t="shared" si="6"/>
        <v>CMI02050200</v>
      </c>
      <c r="N90" s="10" t="str">
        <f t="shared" si="7"/>
        <v>CON251100</v>
      </c>
      <c r="O90" s="10" t="str">
        <f t="shared" si="8"/>
        <v>E</v>
      </c>
      <c r="P90" s="10" t="str">
        <f t="shared" si="9"/>
        <v>50</v>
      </c>
      <c r="Q90" s="10" t="str">
        <f t="shared" si="10"/>
        <v>ZCON</v>
      </c>
      <c r="R90" s="10" t="str">
        <f t="shared" si="11"/>
        <v>31162807</v>
      </c>
    </row>
    <row r="91" spans="1:18" ht="25.5" hidden="1" x14ac:dyDescent="0.2">
      <c r="A91" s="21" t="s">
        <v>4311</v>
      </c>
      <c r="B91" s="8" t="s">
        <v>4310</v>
      </c>
      <c r="C91" s="8" t="s">
        <v>40</v>
      </c>
      <c r="D91" s="8" t="s">
        <v>1181</v>
      </c>
      <c r="E91" s="8" t="s">
        <v>40</v>
      </c>
      <c r="F91" s="8" t="s">
        <v>39</v>
      </c>
      <c r="G91" s="8" t="s">
        <v>4291</v>
      </c>
      <c r="H91" s="8" t="s">
        <v>37</v>
      </c>
      <c r="I91" s="8" t="s">
        <v>53</v>
      </c>
      <c r="J91" s="8" t="s">
        <v>104</v>
      </c>
      <c r="K91" s="8" t="s">
        <v>1365</v>
      </c>
      <c r="L91" s="7">
        <v>6829</v>
      </c>
      <c r="M91" s="10" t="str">
        <f t="shared" si="6"/>
        <v>CMI02051600</v>
      </c>
      <c r="N91" s="10" t="str">
        <f t="shared" si="7"/>
        <v>CON252200</v>
      </c>
      <c r="O91" s="10" t="str">
        <f t="shared" si="8"/>
        <v>E</v>
      </c>
      <c r="P91" s="10" t="str">
        <f t="shared" si="9"/>
        <v>50</v>
      </c>
      <c r="Q91" s="10" t="str">
        <f t="shared" si="10"/>
        <v>ZCON</v>
      </c>
      <c r="R91" s="10" t="str">
        <f t="shared" si="11"/>
        <v>31211500</v>
      </c>
    </row>
    <row r="92" spans="1:18" ht="25.5" hidden="1" x14ac:dyDescent="0.2">
      <c r="A92" s="21" t="s">
        <v>4309</v>
      </c>
      <c r="B92" s="8" t="s">
        <v>4308</v>
      </c>
      <c r="C92" s="8" t="s">
        <v>40</v>
      </c>
      <c r="D92" s="8" t="s">
        <v>1181</v>
      </c>
      <c r="E92" s="8" t="s">
        <v>40</v>
      </c>
      <c r="F92" s="8" t="s">
        <v>39</v>
      </c>
      <c r="G92" s="8" t="s">
        <v>4291</v>
      </c>
      <c r="H92" s="8" t="s">
        <v>37</v>
      </c>
      <c r="I92" s="8" t="s">
        <v>53</v>
      </c>
      <c r="J92" s="8" t="s">
        <v>104</v>
      </c>
      <c r="K92" s="8" t="s">
        <v>1365</v>
      </c>
      <c r="L92" s="7">
        <v>6830</v>
      </c>
      <c r="M92" s="10" t="str">
        <f t="shared" si="6"/>
        <v>CMI02051600</v>
      </c>
      <c r="N92" s="10" t="str">
        <f t="shared" si="7"/>
        <v>CON252200</v>
      </c>
      <c r="O92" s="10" t="str">
        <f t="shared" si="8"/>
        <v>E</v>
      </c>
      <c r="P92" s="10" t="str">
        <f t="shared" si="9"/>
        <v>50</v>
      </c>
      <c r="Q92" s="10" t="str">
        <f t="shared" si="10"/>
        <v>ZCON</v>
      </c>
      <c r="R92" s="10" t="str">
        <f t="shared" si="11"/>
        <v>31211500</v>
      </c>
    </row>
    <row r="93" spans="1:18" ht="25.5" hidden="1" x14ac:dyDescent="0.2">
      <c r="A93" s="21" t="s">
        <v>4307</v>
      </c>
      <c r="B93" s="8" t="s">
        <v>4306</v>
      </c>
      <c r="C93" s="8" t="s">
        <v>40</v>
      </c>
      <c r="D93" s="8" t="s">
        <v>1177</v>
      </c>
      <c r="E93" s="8" t="s">
        <v>40</v>
      </c>
      <c r="F93" s="8" t="s">
        <v>39</v>
      </c>
      <c r="G93" s="8" t="s">
        <v>4305</v>
      </c>
      <c r="H93" s="8" t="s">
        <v>37</v>
      </c>
      <c r="I93" s="8" t="s">
        <v>53</v>
      </c>
      <c r="J93" s="8" t="s">
        <v>104</v>
      </c>
      <c r="K93" s="8" t="s">
        <v>4304</v>
      </c>
      <c r="L93" s="7">
        <v>6831</v>
      </c>
      <c r="M93" s="10" t="str">
        <f t="shared" si="6"/>
        <v>CMI02051400</v>
      </c>
      <c r="N93" s="10" t="str">
        <f t="shared" si="7"/>
        <v>CON252000</v>
      </c>
      <c r="O93" s="10" t="str">
        <f t="shared" si="8"/>
        <v>E</v>
      </c>
      <c r="P93" s="10" t="str">
        <f t="shared" si="9"/>
        <v>50</v>
      </c>
      <c r="Q93" s="10" t="str">
        <f t="shared" si="10"/>
        <v>ZCON</v>
      </c>
      <c r="R93" s="10" t="str">
        <f t="shared" si="11"/>
        <v>30102300</v>
      </c>
    </row>
    <row r="94" spans="1:18" ht="25.5" hidden="1" x14ac:dyDescent="0.2">
      <c r="A94" s="21" t="s">
        <v>4303</v>
      </c>
      <c r="B94" s="8" t="s">
        <v>4302</v>
      </c>
      <c r="C94" s="8" t="s">
        <v>40</v>
      </c>
      <c r="D94" s="8" t="s">
        <v>2147</v>
      </c>
      <c r="E94" s="8" t="s">
        <v>40</v>
      </c>
      <c r="F94" s="8" t="s">
        <v>39</v>
      </c>
      <c r="G94" s="8" t="s">
        <v>4282</v>
      </c>
      <c r="H94" s="8" t="s">
        <v>37</v>
      </c>
      <c r="I94" s="8" t="s">
        <v>53</v>
      </c>
      <c r="J94" s="8" t="s">
        <v>104</v>
      </c>
      <c r="K94" s="8" t="s">
        <v>4301</v>
      </c>
      <c r="L94" s="7">
        <v>6832</v>
      </c>
      <c r="M94" s="10" t="str">
        <f t="shared" si="6"/>
        <v>CMI02050200</v>
      </c>
      <c r="N94" s="10" t="str">
        <f t="shared" si="7"/>
        <v>CON251100</v>
      </c>
      <c r="O94" s="10" t="str">
        <f t="shared" si="8"/>
        <v>E</v>
      </c>
      <c r="P94" s="10" t="str">
        <f t="shared" si="9"/>
        <v>50</v>
      </c>
      <c r="Q94" s="10" t="str">
        <f t="shared" si="10"/>
        <v>ZCON</v>
      </c>
      <c r="R94" s="10" t="str">
        <f t="shared" si="11"/>
        <v>30181505</v>
      </c>
    </row>
    <row r="95" spans="1:18" ht="38.25" hidden="1" x14ac:dyDescent="0.2">
      <c r="A95" s="22" t="s">
        <v>4300</v>
      </c>
      <c r="B95" s="8" t="s">
        <v>4299</v>
      </c>
      <c r="C95" s="8" t="s">
        <v>40</v>
      </c>
      <c r="D95" s="8" t="s">
        <v>943</v>
      </c>
      <c r="E95" s="8" t="s">
        <v>40</v>
      </c>
      <c r="F95" s="8" t="s">
        <v>39</v>
      </c>
      <c r="G95" s="8" t="s">
        <v>4298</v>
      </c>
      <c r="H95" s="8" t="s">
        <v>37</v>
      </c>
      <c r="I95" s="8" t="s">
        <v>53</v>
      </c>
      <c r="J95" s="8" t="s">
        <v>104</v>
      </c>
      <c r="K95" s="8" t="s">
        <v>4297</v>
      </c>
      <c r="L95" s="7">
        <v>6833</v>
      </c>
      <c r="M95" s="10" t="str">
        <f t="shared" si="6"/>
        <v>CMI02052000</v>
      </c>
      <c r="N95" s="10" t="str">
        <f t="shared" si="7"/>
        <v>CON251200</v>
      </c>
      <c r="O95" s="10" t="str">
        <f t="shared" si="8"/>
        <v>E</v>
      </c>
      <c r="P95" s="10" t="str">
        <f t="shared" si="9"/>
        <v>50</v>
      </c>
      <c r="Q95" s="10" t="str">
        <f t="shared" si="10"/>
        <v>ZCON</v>
      </c>
      <c r="R95" s="10" t="str">
        <f t="shared" si="11"/>
        <v>30103600</v>
      </c>
    </row>
    <row r="96" spans="1:18" ht="25.5" hidden="1" x14ac:dyDescent="0.2">
      <c r="A96" s="22" t="s">
        <v>4296</v>
      </c>
      <c r="B96" s="8" t="s">
        <v>4295</v>
      </c>
      <c r="C96" s="8" t="s">
        <v>40</v>
      </c>
      <c r="D96" s="8" t="s">
        <v>1181</v>
      </c>
      <c r="E96" s="8" t="s">
        <v>40</v>
      </c>
      <c r="F96" s="8" t="s">
        <v>39</v>
      </c>
      <c r="G96" s="8" t="s">
        <v>4291</v>
      </c>
      <c r="H96" s="8" t="s">
        <v>37</v>
      </c>
      <c r="I96" s="8" t="s">
        <v>53</v>
      </c>
      <c r="J96" s="8" t="s">
        <v>104</v>
      </c>
      <c r="K96" s="8" t="s">
        <v>4294</v>
      </c>
      <c r="L96" s="7">
        <v>6834</v>
      </c>
      <c r="M96" s="10" t="str">
        <f t="shared" si="6"/>
        <v>CMI02051600</v>
      </c>
      <c r="N96" s="10" t="str">
        <f t="shared" si="7"/>
        <v>CON252200</v>
      </c>
      <c r="O96" s="10" t="str">
        <f t="shared" si="8"/>
        <v>E</v>
      </c>
      <c r="P96" s="10" t="str">
        <f t="shared" si="9"/>
        <v>50</v>
      </c>
      <c r="Q96" s="10" t="str">
        <f t="shared" si="10"/>
        <v>ZCON</v>
      </c>
      <c r="R96" s="10" t="str">
        <f t="shared" si="11"/>
        <v>31211518</v>
      </c>
    </row>
    <row r="97" spans="1:18" ht="25.5" hidden="1" x14ac:dyDescent="0.2">
      <c r="A97" s="22" t="s">
        <v>4293</v>
      </c>
      <c r="B97" s="8" t="s">
        <v>4292</v>
      </c>
      <c r="C97" s="8" t="s">
        <v>40</v>
      </c>
      <c r="D97" s="8" t="s">
        <v>1181</v>
      </c>
      <c r="E97" s="8" t="s">
        <v>40</v>
      </c>
      <c r="F97" s="8" t="s">
        <v>39</v>
      </c>
      <c r="G97" s="8" t="s">
        <v>4291</v>
      </c>
      <c r="H97" s="8" t="s">
        <v>37</v>
      </c>
      <c r="I97" s="8" t="s">
        <v>53</v>
      </c>
      <c r="J97" s="8" t="s">
        <v>104</v>
      </c>
      <c r="K97" s="8" t="s">
        <v>4290</v>
      </c>
      <c r="L97" s="7">
        <v>6835</v>
      </c>
      <c r="M97" s="10" t="str">
        <f t="shared" si="6"/>
        <v>CMI02051600</v>
      </c>
      <c r="N97" s="10" t="str">
        <f t="shared" si="7"/>
        <v>CON252200</v>
      </c>
      <c r="O97" s="10" t="str">
        <f t="shared" si="8"/>
        <v>E</v>
      </c>
      <c r="P97" s="10" t="str">
        <f t="shared" si="9"/>
        <v>50</v>
      </c>
      <c r="Q97" s="10" t="str">
        <f t="shared" si="10"/>
        <v>ZCON</v>
      </c>
      <c r="R97" s="10" t="str">
        <f t="shared" si="11"/>
        <v>31211507</v>
      </c>
    </row>
    <row r="98" spans="1:18" ht="25.5" hidden="1" x14ac:dyDescent="0.2">
      <c r="A98" s="22" t="s">
        <v>4289</v>
      </c>
      <c r="B98" s="8" t="s">
        <v>4288</v>
      </c>
      <c r="C98" s="8" t="s">
        <v>40</v>
      </c>
      <c r="D98" s="8" t="s">
        <v>363</v>
      </c>
      <c r="E98" s="8" t="s">
        <v>40</v>
      </c>
      <c r="F98" s="8" t="s">
        <v>39</v>
      </c>
      <c r="G98" s="8" t="s">
        <v>105</v>
      </c>
      <c r="H98" s="8" t="s">
        <v>37</v>
      </c>
      <c r="I98" s="8" t="s">
        <v>53</v>
      </c>
      <c r="J98" s="8" t="s">
        <v>104</v>
      </c>
      <c r="K98" s="8" t="s">
        <v>4287</v>
      </c>
      <c r="L98" s="7">
        <v>6836</v>
      </c>
      <c r="M98" s="10" t="str">
        <f t="shared" si="6"/>
        <v>CMI02051300</v>
      </c>
      <c r="N98" s="10" t="str">
        <f t="shared" si="7"/>
        <v>CON252100</v>
      </c>
      <c r="O98" s="10" t="str">
        <f t="shared" si="8"/>
        <v>E</v>
      </c>
      <c r="P98" s="10" t="str">
        <f t="shared" si="9"/>
        <v>50</v>
      </c>
      <c r="Q98" s="10" t="str">
        <f t="shared" si="10"/>
        <v>ZCON</v>
      </c>
      <c r="R98" s="10" t="str">
        <f t="shared" si="11"/>
        <v>23151608</v>
      </c>
    </row>
    <row r="99" spans="1:18" ht="25.5" hidden="1" x14ac:dyDescent="0.2">
      <c r="A99" s="22" t="s">
        <v>4286</v>
      </c>
      <c r="B99" s="8" t="s">
        <v>4285</v>
      </c>
      <c r="C99" s="8" t="s">
        <v>40</v>
      </c>
      <c r="D99" s="8" t="s">
        <v>95</v>
      </c>
      <c r="E99" s="8" t="s">
        <v>40</v>
      </c>
      <c r="F99" s="8" t="s">
        <v>39</v>
      </c>
      <c r="G99" s="8" t="s">
        <v>4273</v>
      </c>
      <c r="H99" s="8" t="s">
        <v>37</v>
      </c>
      <c r="I99" s="8" t="s">
        <v>53</v>
      </c>
      <c r="J99" s="8" t="s">
        <v>104</v>
      </c>
      <c r="K99" s="8" t="s">
        <v>549</v>
      </c>
      <c r="L99" s="7">
        <v>6837</v>
      </c>
      <c r="M99" s="10" t="str">
        <f t="shared" si="6"/>
        <v>CMI02160100</v>
      </c>
      <c r="N99" s="10" t="str">
        <f t="shared" si="7"/>
        <v>CON251000</v>
      </c>
      <c r="O99" s="10" t="str">
        <f t="shared" si="8"/>
        <v>E</v>
      </c>
      <c r="P99" s="10" t="str">
        <f t="shared" si="9"/>
        <v>50</v>
      </c>
      <c r="Q99" s="10" t="str">
        <f t="shared" si="10"/>
        <v>ZCON</v>
      </c>
      <c r="R99" s="10" t="str">
        <f t="shared" si="11"/>
        <v>14111514</v>
      </c>
    </row>
    <row r="100" spans="1:18" ht="25.5" hidden="1" x14ac:dyDescent="0.2">
      <c r="A100" s="21" t="s">
        <v>4284</v>
      </c>
      <c r="B100" s="8" t="s">
        <v>4283</v>
      </c>
      <c r="C100" s="8" t="s">
        <v>40</v>
      </c>
      <c r="D100" s="8" t="s">
        <v>2147</v>
      </c>
      <c r="E100" s="8" t="s">
        <v>40</v>
      </c>
      <c r="F100" s="8" t="s">
        <v>39</v>
      </c>
      <c r="G100" s="8" t="s">
        <v>4282</v>
      </c>
      <c r="H100" s="8" t="s">
        <v>37</v>
      </c>
      <c r="I100" s="8" t="s">
        <v>53</v>
      </c>
      <c r="J100" s="8" t="s">
        <v>104</v>
      </c>
      <c r="K100" s="8" t="s">
        <v>4281</v>
      </c>
      <c r="L100" s="7">
        <v>6838</v>
      </c>
      <c r="M100" s="10" t="str">
        <f t="shared" si="6"/>
        <v>CMI02050200</v>
      </c>
      <c r="N100" s="10" t="str">
        <f t="shared" si="7"/>
        <v>CON251100</v>
      </c>
      <c r="O100" s="10" t="str">
        <f t="shared" si="8"/>
        <v>E</v>
      </c>
      <c r="P100" s="10" t="str">
        <f t="shared" si="9"/>
        <v>50</v>
      </c>
      <c r="Q100" s="10" t="str">
        <f t="shared" si="10"/>
        <v>ZCON</v>
      </c>
      <c r="R100" s="10" t="str">
        <f t="shared" si="11"/>
        <v>30181506</v>
      </c>
    </row>
    <row r="101" spans="1:18" ht="25.5" hidden="1" x14ac:dyDescent="0.2">
      <c r="A101" s="21" t="s">
        <v>4280</v>
      </c>
      <c r="B101" s="8" t="s">
        <v>4279</v>
      </c>
      <c r="C101" s="8" t="s">
        <v>40</v>
      </c>
      <c r="D101" s="8" t="s">
        <v>363</v>
      </c>
      <c r="E101" s="8" t="s">
        <v>40</v>
      </c>
      <c r="F101" s="8" t="s">
        <v>39</v>
      </c>
      <c r="G101" s="8" t="s">
        <v>4278</v>
      </c>
      <c r="H101" s="8" t="s">
        <v>37</v>
      </c>
      <c r="I101" s="8" t="s">
        <v>53</v>
      </c>
      <c r="J101" s="8" t="s">
        <v>104</v>
      </c>
      <c r="K101" s="8" t="s">
        <v>4277</v>
      </c>
      <c r="L101" s="7">
        <v>6839</v>
      </c>
      <c r="M101" s="10" t="str">
        <f t="shared" si="6"/>
        <v>CMI02051300</v>
      </c>
      <c r="N101" s="10" t="str">
        <f t="shared" si="7"/>
        <v>CON251400</v>
      </c>
      <c r="O101" s="10" t="str">
        <f t="shared" si="8"/>
        <v>E</v>
      </c>
      <c r="P101" s="10" t="str">
        <f t="shared" si="9"/>
        <v>50</v>
      </c>
      <c r="Q101" s="10" t="str">
        <f t="shared" si="10"/>
        <v>ZCON</v>
      </c>
      <c r="R101" s="10" t="str">
        <f t="shared" si="11"/>
        <v>30191502</v>
      </c>
    </row>
    <row r="102" spans="1:18" ht="25.5" hidden="1" x14ac:dyDescent="0.2">
      <c r="A102" s="21" t="s">
        <v>4276</v>
      </c>
      <c r="B102" s="8" t="s">
        <v>4275</v>
      </c>
      <c r="C102" s="8" t="s">
        <v>40</v>
      </c>
      <c r="D102" s="8" t="s">
        <v>4274</v>
      </c>
      <c r="E102" s="8" t="s">
        <v>40</v>
      </c>
      <c r="F102" s="8" t="s">
        <v>39</v>
      </c>
      <c r="G102" s="8" t="s">
        <v>4273</v>
      </c>
      <c r="H102" s="8" t="s">
        <v>37</v>
      </c>
      <c r="I102" s="8" t="s">
        <v>53</v>
      </c>
      <c r="J102" s="8" t="s">
        <v>104</v>
      </c>
      <c r="K102" s="8" t="s">
        <v>4272</v>
      </c>
      <c r="L102" s="7">
        <v>6840</v>
      </c>
      <c r="M102" s="10" t="str">
        <f t="shared" si="6"/>
        <v>CMI02140600</v>
      </c>
      <c r="N102" s="10" t="str">
        <f t="shared" si="7"/>
        <v>CON251000</v>
      </c>
      <c r="O102" s="10" t="str">
        <f t="shared" si="8"/>
        <v>E</v>
      </c>
      <c r="P102" s="10" t="str">
        <f t="shared" si="9"/>
        <v>50</v>
      </c>
      <c r="Q102" s="10" t="str">
        <f t="shared" si="10"/>
        <v>ZCON</v>
      </c>
      <c r="R102" s="10" t="str">
        <f t="shared" si="11"/>
        <v>22101706</v>
      </c>
    </row>
    <row r="103" spans="1:18" ht="25.5" hidden="1" x14ac:dyDescent="0.2">
      <c r="A103" s="21" t="s">
        <v>4271</v>
      </c>
      <c r="B103" s="8" t="s">
        <v>4270</v>
      </c>
      <c r="C103" s="8" t="s">
        <v>40</v>
      </c>
      <c r="D103" s="8" t="s">
        <v>245</v>
      </c>
      <c r="E103" s="8" t="s">
        <v>40</v>
      </c>
      <c r="F103" s="8" t="s">
        <v>39</v>
      </c>
      <c r="G103" s="8" t="s">
        <v>123</v>
      </c>
      <c r="H103" s="8" t="s">
        <v>37</v>
      </c>
      <c r="I103" s="8" t="s">
        <v>53</v>
      </c>
      <c r="J103" s="8" t="s">
        <v>122</v>
      </c>
      <c r="K103" s="8" t="s">
        <v>1954</v>
      </c>
      <c r="L103" s="7">
        <v>6841</v>
      </c>
      <c r="M103" s="10" t="str">
        <f t="shared" si="6"/>
        <v>CMI01020300</v>
      </c>
      <c r="N103" s="10" t="str">
        <f t="shared" si="7"/>
        <v>EQU341000</v>
      </c>
      <c r="O103" s="10" t="str">
        <f t="shared" si="8"/>
        <v>E</v>
      </c>
      <c r="P103" s="10" t="str">
        <f t="shared" si="9"/>
        <v>50</v>
      </c>
      <c r="Q103" s="10" t="str">
        <f t="shared" si="10"/>
        <v>ZEQU</v>
      </c>
      <c r="R103" s="10" t="str">
        <f t="shared" si="11"/>
        <v>41111600</v>
      </c>
    </row>
    <row r="104" spans="1:18" ht="25.5" hidden="1" x14ac:dyDescent="0.2">
      <c r="A104" s="21" t="s">
        <v>4269</v>
      </c>
      <c r="B104" s="8" t="s">
        <v>4268</v>
      </c>
      <c r="C104" s="8" t="s">
        <v>40</v>
      </c>
      <c r="D104" s="8" t="s">
        <v>245</v>
      </c>
      <c r="E104" s="8" t="s">
        <v>40</v>
      </c>
      <c r="F104" s="8" t="s">
        <v>39</v>
      </c>
      <c r="G104" s="8" t="s">
        <v>123</v>
      </c>
      <c r="H104" s="8" t="s">
        <v>37</v>
      </c>
      <c r="I104" s="8" t="s">
        <v>53</v>
      </c>
      <c r="J104" s="8" t="s">
        <v>122</v>
      </c>
      <c r="K104" s="8" t="s">
        <v>4267</v>
      </c>
      <c r="L104" s="7">
        <v>6842</v>
      </c>
      <c r="M104" s="10" t="str">
        <f t="shared" si="6"/>
        <v>CMI01020300</v>
      </c>
      <c r="N104" s="10" t="str">
        <f t="shared" si="7"/>
        <v>EQU341000</v>
      </c>
      <c r="O104" s="10" t="str">
        <f t="shared" si="8"/>
        <v>E</v>
      </c>
      <c r="P104" s="10" t="str">
        <f t="shared" si="9"/>
        <v>50</v>
      </c>
      <c r="Q104" s="10" t="str">
        <f t="shared" si="10"/>
        <v>ZEQU</v>
      </c>
      <c r="R104" s="10" t="str">
        <f t="shared" si="11"/>
        <v>26111607</v>
      </c>
    </row>
    <row r="105" spans="1:18" ht="38.25" hidden="1" x14ac:dyDescent="0.2">
      <c r="A105" s="21" t="s">
        <v>4266</v>
      </c>
      <c r="B105" s="8" t="s">
        <v>4265</v>
      </c>
      <c r="C105" s="8" t="s">
        <v>40</v>
      </c>
      <c r="D105" s="8" t="s">
        <v>990</v>
      </c>
      <c r="E105" s="8" t="s">
        <v>40</v>
      </c>
      <c r="F105" s="8" t="s">
        <v>39</v>
      </c>
      <c r="G105" s="8" t="s">
        <v>985</v>
      </c>
      <c r="H105" s="8" t="s">
        <v>37</v>
      </c>
      <c r="I105" s="8" t="s">
        <v>53</v>
      </c>
      <c r="J105" s="8" t="s">
        <v>122</v>
      </c>
      <c r="K105" s="8" t="s">
        <v>1124</v>
      </c>
      <c r="L105" s="7">
        <v>6843</v>
      </c>
      <c r="M105" s="10" t="str">
        <f t="shared" si="6"/>
        <v>CMI02090500</v>
      </c>
      <c r="N105" s="10" t="str">
        <f t="shared" si="7"/>
        <v>SUM231600</v>
      </c>
      <c r="O105" s="10" t="str">
        <f t="shared" si="8"/>
        <v>E</v>
      </c>
      <c r="P105" s="10" t="str">
        <f t="shared" si="9"/>
        <v>50</v>
      </c>
      <c r="Q105" s="10" t="str">
        <f t="shared" si="10"/>
        <v>ZEQU</v>
      </c>
      <c r="R105" s="10" t="str">
        <f t="shared" si="11"/>
        <v>24101613</v>
      </c>
    </row>
    <row r="106" spans="1:18" ht="25.5" hidden="1" x14ac:dyDescent="0.2">
      <c r="A106" s="21" t="s">
        <v>4264</v>
      </c>
      <c r="B106" s="8" t="s">
        <v>4263</v>
      </c>
      <c r="C106" s="8" t="s">
        <v>40</v>
      </c>
      <c r="D106" s="8" t="s">
        <v>245</v>
      </c>
      <c r="E106" s="8" t="s">
        <v>40</v>
      </c>
      <c r="F106" s="8" t="s">
        <v>39</v>
      </c>
      <c r="G106" s="8" t="s">
        <v>123</v>
      </c>
      <c r="H106" s="8" t="s">
        <v>37</v>
      </c>
      <c r="I106" s="8" t="s">
        <v>53</v>
      </c>
      <c r="J106" s="8" t="s">
        <v>122</v>
      </c>
      <c r="K106" s="8" t="s">
        <v>4262</v>
      </c>
      <c r="L106" s="7">
        <v>6844</v>
      </c>
      <c r="M106" s="10" t="str">
        <f t="shared" si="6"/>
        <v>CMI01020300</v>
      </c>
      <c r="N106" s="10" t="str">
        <f t="shared" si="7"/>
        <v>EQU341000</v>
      </c>
      <c r="O106" s="10" t="str">
        <f t="shared" si="8"/>
        <v>E</v>
      </c>
      <c r="P106" s="10" t="str">
        <f t="shared" si="9"/>
        <v>50</v>
      </c>
      <c r="Q106" s="10" t="str">
        <f t="shared" si="10"/>
        <v>ZEQU</v>
      </c>
      <c r="R106" s="10" t="str">
        <f t="shared" si="11"/>
        <v>60104702</v>
      </c>
    </row>
    <row r="107" spans="1:18" ht="25.5" hidden="1" x14ac:dyDescent="0.2">
      <c r="A107" s="21" t="s">
        <v>4261</v>
      </c>
      <c r="B107" s="8" t="s">
        <v>4260</v>
      </c>
      <c r="C107" s="8" t="s">
        <v>40</v>
      </c>
      <c r="D107" s="8" t="s">
        <v>3982</v>
      </c>
      <c r="E107" s="8" t="s">
        <v>40</v>
      </c>
      <c r="F107" s="8" t="s">
        <v>39</v>
      </c>
      <c r="G107" s="8" t="s">
        <v>123</v>
      </c>
      <c r="H107" s="8" t="s">
        <v>37</v>
      </c>
      <c r="I107" s="8" t="s">
        <v>53</v>
      </c>
      <c r="J107" s="8" t="s">
        <v>122</v>
      </c>
      <c r="K107" s="8" t="s">
        <v>4259</v>
      </c>
      <c r="L107" s="7">
        <v>6845</v>
      </c>
      <c r="M107" s="10" t="str">
        <f t="shared" si="6"/>
        <v>CMI01020400</v>
      </c>
      <c r="N107" s="10" t="str">
        <f t="shared" si="7"/>
        <v>EQU341000</v>
      </c>
      <c r="O107" s="10" t="str">
        <f t="shared" si="8"/>
        <v>E</v>
      </c>
      <c r="P107" s="10" t="str">
        <f t="shared" si="9"/>
        <v>50</v>
      </c>
      <c r="Q107" s="10" t="str">
        <f t="shared" si="10"/>
        <v>ZEQU</v>
      </c>
      <c r="R107" s="10" t="str">
        <f t="shared" si="11"/>
        <v>40101701</v>
      </c>
    </row>
    <row r="108" spans="1:18" ht="38.25" hidden="1" x14ac:dyDescent="0.2">
      <c r="A108" s="21" t="s">
        <v>4258</v>
      </c>
      <c r="B108" s="8" t="s">
        <v>4257</v>
      </c>
      <c r="C108" s="8" t="s">
        <v>40</v>
      </c>
      <c r="D108" s="8" t="s">
        <v>947</v>
      </c>
      <c r="E108" s="8" t="s">
        <v>40</v>
      </c>
      <c r="F108" s="8" t="s">
        <v>39</v>
      </c>
      <c r="G108" s="8" t="s">
        <v>4256</v>
      </c>
      <c r="H108" s="8" t="s">
        <v>37</v>
      </c>
      <c r="I108" s="8" t="s">
        <v>53</v>
      </c>
      <c r="J108" s="8" t="s">
        <v>4217</v>
      </c>
      <c r="K108" s="8" t="s">
        <v>130</v>
      </c>
      <c r="L108" s="7">
        <v>6846</v>
      </c>
      <c r="M108" s="10" t="str">
        <f t="shared" si="6"/>
        <v>CMI02160200</v>
      </c>
      <c r="N108" s="10" t="str">
        <f t="shared" si="7"/>
        <v>HAR321400</v>
      </c>
      <c r="O108" s="10" t="str">
        <f t="shared" si="8"/>
        <v>E</v>
      </c>
      <c r="P108" s="10" t="str">
        <f t="shared" si="9"/>
        <v>50</v>
      </c>
      <c r="Q108" s="10" t="str">
        <f t="shared" si="10"/>
        <v>ZHAR</v>
      </c>
      <c r="R108" s="10" t="str">
        <f t="shared" si="11"/>
        <v>43211900</v>
      </c>
    </row>
    <row r="109" spans="1:18" ht="38.25" hidden="1" x14ac:dyDescent="0.2">
      <c r="A109" s="21" t="s">
        <v>4255</v>
      </c>
      <c r="B109" s="8" t="s">
        <v>4254</v>
      </c>
      <c r="C109" s="8" t="s">
        <v>40</v>
      </c>
      <c r="D109" s="8" t="s">
        <v>4238</v>
      </c>
      <c r="E109" s="8" t="s">
        <v>40</v>
      </c>
      <c r="F109" s="8" t="s">
        <v>39</v>
      </c>
      <c r="G109" s="8" t="s">
        <v>4218</v>
      </c>
      <c r="H109" s="8" t="s">
        <v>37</v>
      </c>
      <c r="I109" s="8" t="s">
        <v>53</v>
      </c>
      <c r="J109" s="8" t="s">
        <v>4217</v>
      </c>
      <c r="K109" s="8" t="s">
        <v>4253</v>
      </c>
      <c r="L109" s="7">
        <v>6847</v>
      </c>
      <c r="M109" s="10" t="str">
        <f t="shared" si="6"/>
        <v>CMI01010100</v>
      </c>
      <c r="N109" s="10" t="str">
        <f t="shared" si="7"/>
        <v>HAR321100</v>
      </c>
      <c r="O109" s="10" t="str">
        <f t="shared" si="8"/>
        <v>E</v>
      </c>
      <c r="P109" s="10" t="str">
        <f t="shared" si="9"/>
        <v>50</v>
      </c>
      <c r="Q109" s="10" t="str">
        <f t="shared" si="10"/>
        <v>ZHAR</v>
      </c>
      <c r="R109" s="10" t="str">
        <f t="shared" si="11"/>
        <v>43211503</v>
      </c>
    </row>
    <row r="110" spans="1:18" ht="25.5" hidden="1" x14ac:dyDescent="0.2">
      <c r="A110" s="21" t="s">
        <v>4252</v>
      </c>
      <c r="B110" s="8" t="s">
        <v>4251</v>
      </c>
      <c r="C110" s="8" t="s">
        <v>40</v>
      </c>
      <c r="D110" s="8" t="s">
        <v>4250</v>
      </c>
      <c r="E110" s="8" t="s">
        <v>40</v>
      </c>
      <c r="F110" s="8" t="s">
        <v>39</v>
      </c>
      <c r="G110" s="8" t="s">
        <v>4249</v>
      </c>
      <c r="H110" s="8" t="s">
        <v>37</v>
      </c>
      <c r="I110" s="8" t="s">
        <v>53</v>
      </c>
      <c r="J110" s="8" t="s">
        <v>4217</v>
      </c>
      <c r="K110" s="8" t="s">
        <v>4248</v>
      </c>
      <c r="L110" s="7">
        <v>6848</v>
      </c>
      <c r="M110" s="10" t="str">
        <f t="shared" si="6"/>
        <v>CMI01010300</v>
      </c>
      <c r="N110" s="10" t="str">
        <f t="shared" si="7"/>
        <v>HAR321300</v>
      </c>
      <c r="O110" s="10" t="str">
        <f t="shared" si="8"/>
        <v>E</v>
      </c>
      <c r="P110" s="10" t="str">
        <f t="shared" si="9"/>
        <v>50</v>
      </c>
      <c r="Q110" s="10" t="str">
        <f t="shared" si="10"/>
        <v>ZHAR</v>
      </c>
      <c r="R110" s="10" t="str">
        <f t="shared" si="11"/>
        <v>43212104</v>
      </c>
    </row>
    <row r="111" spans="1:18" ht="25.5" hidden="1" x14ac:dyDescent="0.2">
      <c r="A111" s="21" t="s">
        <v>4247</v>
      </c>
      <c r="B111" s="8" t="s">
        <v>4246</v>
      </c>
      <c r="C111" s="8" t="s">
        <v>40</v>
      </c>
      <c r="D111" s="8" t="s">
        <v>212</v>
      </c>
      <c r="E111" s="8" t="s">
        <v>40</v>
      </c>
      <c r="F111" s="8" t="s">
        <v>39</v>
      </c>
      <c r="G111" s="8" t="s">
        <v>4218</v>
      </c>
      <c r="H111" s="8" t="s">
        <v>37</v>
      </c>
      <c r="I111" s="8" t="s">
        <v>53</v>
      </c>
      <c r="J111" s="8" t="s">
        <v>4217</v>
      </c>
      <c r="K111" s="8" t="s">
        <v>4245</v>
      </c>
      <c r="L111" s="7">
        <v>6849</v>
      </c>
      <c r="M111" s="10" t="str">
        <f t="shared" si="6"/>
        <v>CMI01010500</v>
      </c>
      <c r="N111" s="10" t="str">
        <f t="shared" si="7"/>
        <v>HAR321100</v>
      </c>
      <c r="O111" s="10" t="str">
        <f t="shared" si="8"/>
        <v>E</v>
      </c>
      <c r="P111" s="10" t="str">
        <f t="shared" si="9"/>
        <v>50</v>
      </c>
      <c r="Q111" s="10" t="str">
        <f t="shared" si="10"/>
        <v>ZHAR</v>
      </c>
      <c r="R111" s="10" t="str">
        <f t="shared" si="11"/>
        <v>43222640</v>
      </c>
    </row>
    <row r="112" spans="1:18" ht="25.5" hidden="1" x14ac:dyDescent="0.2">
      <c r="A112" s="22" t="s">
        <v>4244</v>
      </c>
      <c r="B112" s="8" t="s">
        <v>4243</v>
      </c>
      <c r="C112" s="8" t="s">
        <v>40</v>
      </c>
      <c r="D112" s="8" t="s">
        <v>4242</v>
      </c>
      <c r="E112" s="8" t="s">
        <v>40</v>
      </c>
      <c r="F112" s="8" t="s">
        <v>39</v>
      </c>
      <c r="G112" s="8" t="s">
        <v>4222</v>
      </c>
      <c r="H112" s="8" t="s">
        <v>37</v>
      </c>
      <c r="I112" s="8" t="s">
        <v>53</v>
      </c>
      <c r="J112" s="8" t="s">
        <v>4217</v>
      </c>
      <c r="K112" s="8" t="s">
        <v>4241</v>
      </c>
      <c r="L112" s="7">
        <v>6850</v>
      </c>
      <c r="M112" s="10" t="str">
        <f t="shared" si="6"/>
        <v>CMI01010600</v>
      </c>
      <c r="N112" s="10" t="str">
        <f t="shared" si="7"/>
        <v>HAR321000</v>
      </c>
      <c r="O112" s="10" t="str">
        <f t="shared" si="8"/>
        <v>E</v>
      </c>
      <c r="P112" s="10" t="str">
        <f t="shared" si="9"/>
        <v>50</v>
      </c>
      <c r="Q112" s="10" t="str">
        <f t="shared" si="10"/>
        <v>ZHAR</v>
      </c>
      <c r="R112" s="10" t="str">
        <f t="shared" si="11"/>
        <v>43211501</v>
      </c>
    </row>
    <row r="113" spans="1:18" ht="38.25" hidden="1" x14ac:dyDescent="0.2">
      <c r="A113" s="21" t="s">
        <v>4240</v>
      </c>
      <c r="B113" s="8" t="s">
        <v>4239</v>
      </c>
      <c r="C113" s="8" t="s">
        <v>40</v>
      </c>
      <c r="D113" s="8" t="s">
        <v>4238</v>
      </c>
      <c r="E113" s="8" t="s">
        <v>40</v>
      </c>
      <c r="F113" s="8" t="s">
        <v>39</v>
      </c>
      <c r="G113" s="8" t="s">
        <v>4218</v>
      </c>
      <c r="H113" s="8" t="s">
        <v>37</v>
      </c>
      <c r="I113" s="8" t="s">
        <v>53</v>
      </c>
      <c r="J113" s="8" t="s">
        <v>4217</v>
      </c>
      <c r="K113" s="8" t="s">
        <v>4237</v>
      </c>
      <c r="L113" s="7">
        <v>6851</v>
      </c>
      <c r="M113" s="10" t="str">
        <f t="shared" si="6"/>
        <v>CMI01010100</v>
      </c>
      <c r="N113" s="10" t="str">
        <f t="shared" si="7"/>
        <v>HAR321100</v>
      </c>
      <c r="O113" s="10" t="str">
        <f t="shared" si="8"/>
        <v>E</v>
      </c>
      <c r="P113" s="10" t="str">
        <f t="shared" si="9"/>
        <v>50</v>
      </c>
      <c r="Q113" s="10" t="str">
        <f t="shared" si="10"/>
        <v>ZHAR</v>
      </c>
      <c r="R113" s="10" t="str">
        <f t="shared" si="11"/>
        <v>43211507</v>
      </c>
    </row>
    <row r="114" spans="1:18" ht="38.25" hidden="1" x14ac:dyDescent="0.2">
      <c r="A114" s="21" t="s">
        <v>4236</v>
      </c>
      <c r="B114" s="8" t="s">
        <v>4235</v>
      </c>
      <c r="C114" s="8" t="s">
        <v>40</v>
      </c>
      <c r="D114" s="8" t="s">
        <v>95</v>
      </c>
      <c r="E114" s="8" t="s">
        <v>40</v>
      </c>
      <c r="F114" s="8" t="s">
        <v>39</v>
      </c>
      <c r="G114" s="8" t="s">
        <v>4218</v>
      </c>
      <c r="H114" s="8" t="s">
        <v>37</v>
      </c>
      <c r="I114" s="8" t="s">
        <v>53</v>
      </c>
      <c r="J114" s="8" t="s">
        <v>4217</v>
      </c>
      <c r="K114" s="8" t="s">
        <v>4234</v>
      </c>
      <c r="L114" s="7">
        <v>6852</v>
      </c>
      <c r="M114" s="10" t="str">
        <f t="shared" si="6"/>
        <v>CMI02160100</v>
      </c>
      <c r="N114" s="10" t="str">
        <f t="shared" si="7"/>
        <v>HAR321100</v>
      </c>
      <c r="O114" s="10" t="str">
        <f t="shared" si="8"/>
        <v>E</v>
      </c>
      <c r="P114" s="10" t="str">
        <f t="shared" si="9"/>
        <v>50</v>
      </c>
      <c r="Q114" s="10" t="str">
        <f t="shared" si="10"/>
        <v>ZHAR</v>
      </c>
      <c r="R114" s="10" t="str">
        <f t="shared" si="11"/>
        <v>43211712</v>
      </c>
    </row>
    <row r="115" spans="1:18" ht="25.5" hidden="1" x14ac:dyDescent="0.2">
      <c r="A115" s="21" t="s">
        <v>4233</v>
      </c>
      <c r="B115" s="8" t="s">
        <v>4232</v>
      </c>
      <c r="C115" s="8" t="s">
        <v>40</v>
      </c>
      <c r="D115" s="8" t="s">
        <v>4231</v>
      </c>
      <c r="E115" s="8" t="s">
        <v>40</v>
      </c>
      <c r="F115" s="8" t="s">
        <v>39</v>
      </c>
      <c r="G115" s="8" t="s">
        <v>4230</v>
      </c>
      <c r="H115" s="8" t="s">
        <v>37</v>
      </c>
      <c r="I115" s="8" t="s">
        <v>53</v>
      </c>
      <c r="J115" s="8" t="s">
        <v>4217</v>
      </c>
      <c r="K115" s="8" t="s">
        <v>4229</v>
      </c>
      <c r="L115" s="7">
        <v>6853</v>
      </c>
      <c r="M115" s="10" t="str">
        <f t="shared" si="6"/>
        <v>CMI01010700</v>
      </c>
      <c r="N115" s="10" t="str">
        <f t="shared" si="7"/>
        <v>HAR321200</v>
      </c>
      <c r="O115" s="10" t="str">
        <f t="shared" si="8"/>
        <v>E</v>
      </c>
      <c r="P115" s="10" t="str">
        <f t="shared" si="9"/>
        <v>50</v>
      </c>
      <c r="Q115" s="10" t="str">
        <f t="shared" si="10"/>
        <v>ZHAR</v>
      </c>
      <c r="R115" s="10" t="str">
        <f t="shared" si="11"/>
        <v>39121011</v>
      </c>
    </row>
    <row r="116" spans="1:18" ht="25.5" hidden="1" x14ac:dyDescent="0.2">
      <c r="A116" s="22" t="s">
        <v>4228</v>
      </c>
      <c r="B116" s="8" t="s">
        <v>4227</v>
      </c>
      <c r="C116" s="8" t="s">
        <v>40</v>
      </c>
      <c r="D116" s="8" t="s">
        <v>4226</v>
      </c>
      <c r="E116" s="8" t="s">
        <v>40</v>
      </c>
      <c r="F116" s="8" t="s">
        <v>39</v>
      </c>
      <c r="G116" s="8" t="s">
        <v>4218</v>
      </c>
      <c r="H116" s="8" t="s">
        <v>37</v>
      </c>
      <c r="I116" s="8" t="s">
        <v>53</v>
      </c>
      <c r="J116" s="8" t="s">
        <v>4217</v>
      </c>
      <c r="K116" s="8" t="s">
        <v>4225</v>
      </c>
      <c r="L116" s="7">
        <v>6854</v>
      </c>
      <c r="M116" s="10" t="str">
        <f t="shared" si="6"/>
        <v>CMI01010200</v>
      </c>
      <c r="N116" s="10" t="str">
        <f t="shared" si="7"/>
        <v>HAR321100</v>
      </c>
      <c r="O116" s="10" t="str">
        <f t="shared" si="8"/>
        <v>E</v>
      </c>
      <c r="P116" s="10" t="str">
        <f t="shared" si="9"/>
        <v>50</v>
      </c>
      <c r="Q116" s="10" t="str">
        <f t="shared" si="10"/>
        <v>ZHAR</v>
      </c>
      <c r="R116" s="10" t="str">
        <f t="shared" si="11"/>
        <v>43211504</v>
      </c>
    </row>
    <row r="117" spans="1:18" ht="25.5" hidden="1" x14ac:dyDescent="0.2">
      <c r="A117" s="21" t="s">
        <v>4224</v>
      </c>
      <c r="B117" s="8" t="s">
        <v>4223</v>
      </c>
      <c r="C117" s="8" t="s">
        <v>40</v>
      </c>
      <c r="D117" s="8" t="s">
        <v>212</v>
      </c>
      <c r="E117" s="8" t="s">
        <v>40</v>
      </c>
      <c r="F117" s="8" t="s">
        <v>39</v>
      </c>
      <c r="G117" s="8" t="s">
        <v>4222</v>
      </c>
      <c r="H117" s="8" t="s">
        <v>37</v>
      </c>
      <c r="I117" s="8" t="s">
        <v>53</v>
      </c>
      <c r="J117" s="8" t="s">
        <v>4217</v>
      </c>
      <c r="K117" s="8" t="s">
        <v>4221</v>
      </c>
      <c r="L117" s="7">
        <v>6855</v>
      </c>
      <c r="M117" s="10" t="str">
        <f t="shared" si="6"/>
        <v>CMI01010500</v>
      </c>
      <c r="N117" s="10" t="str">
        <f t="shared" si="7"/>
        <v>HAR321000</v>
      </c>
      <c r="O117" s="10" t="str">
        <f t="shared" si="8"/>
        <v>E</v>
      </c>
      <c r="P117" s="10" t="str">
        <f t="shared" si="9"/>
        <v>50</v>
      </c>
      <c r="Q117" s="10" t="str">
        <f t="shared" si="10"/>
        <v>ZHAR</v>
      </c>
      <c r="R117" s="10" t="str">
        <f t="shared" si="11"/>
        <v>52161558</v>
      </c>
    </row>
    <row r="118" spans="1:18" ht="25.5" hidden="1" x14ac:dyDescent="0.2">
      <c r="A118" s="21" t="s">
        <v>4220</v>
      </c>
      <c r="B118" s="8" t="s">
        <v>4219</v>
      </c>
      <c r="C118" s="8" t="s">
        <v>40</v>
      </c>
      <c r="D118" s="8" t="s">
        <v>212</v>
      </c>
      <c r="E118" s="8" t="s">
        <v>40</v>
      </c>
      <c r="F118" s="8" t="s">
        <v>39</v>
      </c>
      <c r="G118" s="8" t="s">
        <v>4218</v>
      </c>
      <c r="H118" s="8" t="s">
        <v>37</v>
      </c>
      <c r="I118" s="8" t="s">
        <v>53</v>
      </c>
      <c r="J118" s="8" t="s">
        <v>4217</v>
      </c>
      <c r="K118" s="8" t="s">
        <v>4216</v>
      </c>
      <c r="L118" s="7">
        <v>6856</v>
      </c>
      <c r="M118" s="10" t="str">
        <f t="shared" si="6"/>
        <v>CMI01010500</v>
      </c>
      <c r="N118" s="10" t="str">
        <f t="shared" si="7"/>
        <v>HAR321100</v>
      </c>
      <c r="O118" s="10" t="str">
        <f t="shared" si="8"/>
        <v>E</v>
      </c>
      <c r="P118" s="10" t="str">
        <f t="shared" si="9"/>
        <v>50</v>
      </c>
      <c r="Q118" s="10" t="str">
        <f t="shared" si="10"/>
        <v>ZHAR</v>
      </c>
      <c r="R118" s="10" t="str">
        <f t="shared" si="11"/>
        <v>43211602</v>
      </c>
    </row>
    <row r="119" spans="1:18" ht="25.5" hidden="1" x14ac:dyDescent="0.2">
      <c r="A119" s="21" t="s">
        <v>4215</v>
      </c>
      <c r="B119" s="8" t="s">
        <v>4214</v>
      </c>
      <c r="C119" s="8" t="s">
        <v>40</v>
      </c>
      <c r="D119" s="8" t="s">
        <v>4162</v>
      </c>
      <c r="E119" s="8" t="s">
        <v>40</v>
      </c>
      <c r="F119" s="8" t="s">
        <v>39</v>
      </c>
      <c r="G119" s="8" t="s">
        <v>885</v>
      </c>
      <c r="H119" s="8" t="s">
        <v>37</v>
      </c>
      <c r="I119" s="8" t="s">
        <v>53</v>
      </c>
      <c r="J119" s="8" t="s">
        <v>4153</v>
      </c>
      <c r="K119" s="8" t="s">
        <v>965</v>
      </c>
      <c r="L119" s="7">
        <v>6857</v>
      </c>
      <c r="M119" s="10" t="str">
        <f t="shared" si="6"/>
        <v>CMI02030100</v>
      </c>
      <c r="N119" s="10" t="str">
        <f t="shared" si="7"/>
        <v>SUM231000</v>
      </c>
      <c r="O119" s="10" t="str">
        <f t="shared" si="8"/>
        <v>E</v>
      </c>
      <c r="P119" s="10" t="str">
        <f t="shared" si="9"/>
        <v>50</v>
      </c>
      <c r="Q119" s="10" t="str">
        <f t="shared" si="10"/>
        <v>ZLUB</v>
      </c>
      <c r="R119" s="10" t="str">
        <f t="shared" si="11"/>
        <v>15121902</v>
      </c>
    </row>
    <row r="120" spans="1:18" ht="38.25" hidden="1" x14ac:dyDescent="0.2">
      <c r="A120" s="21" t="s">
        <v>4213</v>
      </c>
      <c r="B120" s="8" t="s">
        <v>4212</v>
      </c>
      <c r="C120" s="8" t="s">
        <v>40</v>
      </c>
      <c r="D120" s="8" t="s">
        <v>1402</v>
      </c>
      <c r="E120" s="8" t="s">
        <v>40</v>
      </c>
      <c r="F120" s="8" t="s">
        <v>39</v>
      </c>
      <c r="G120" s="8" t="s">
        <v>60</v>
      </c>
      <c r="H120" s="8" t="s">
        <v>37</v>
      </c>
      <c r="I120" s="8" t="s">
        <v>53</v>
      </c>
      <c r="J120" s="8" t="s">
        <v>4153</v>
      </c>
      <c r="K120" s="8" t="s">
        <v>4211</v>
      </c>
      <c r="L120" s="7">
        <v>6858</v>
      </c>
      <c r="M120" s="10" t="str">
        <f t="shared" si="6"/>
        <v>CMI02030300</v>
      </c>
      <c r="N120" s="10" t="str">
        <f t="shared" si="7"/>
        <v>SUM231200</v>
      </c>
      <c r="O120" s="10" t="str">
        <f t="shared" si="8"/>
        <v>E</v>
      </c>
      <c r="P120" s="10" t="str">
        <f t="shared" si="9"/>
        <v>50</v>
      </c>
      <c r="Q120" s="10" t="str">
        <f t="shared" si="10"/>
        <v>ZLUB</v>
      </c>
      <c r="R120" s="10" t="str">
        <f t="shared" si="11"/>
        <v>15121520</v>
      </c>
    </row>
    <row r="121" spans="1:18" ht="25.5" hidden="1" x14ac:dyDescent="0.2">
      <c r="A121" s="21" t="s">
        <v>4210</v>
      </c>
      <c r="B121" s="8" t="s">
        <v>4209</v>
      </c>
      <c r="C121" s="8" t="s">
        <v>40</v>
      </c>
      <c r="D121" s="8" t="s">
        <v>4208</v>
      </c>
      <c r="E121" s="8" t="s">
        <v>40</v>
      </c>
      <c r="F121" s="8" t="s">
        <v>39</v>
      </c>
      <c r="G121" s="8" t="s">
        <v>4207</v>
      </c>
      <c r="H121" s="8" t="s">
        <v>37</v>
      </c>
      <c r="I121" s="8" t="s">
        <v>53</v>
      </c>
      <c r="J121" s="8" t="s">
        <v>4153</v>
      </c>
      <c r="K121" s="8" t="s">
        <v>4206</v>
      </c>
      <c r="L121" s="7">
        <v>6859</v>
      </c>
      <c r="M121" s="10" t="str">
        <f t="shared" si="6"/>
        <v>CMI02010300</v>
      </c>
      <c r="N121" s="10" t="str">
        <f t="shared" si="7"/>
        <v>LUB241100</v>
      </c>
      <c r="O121" s="10" t="str">
        <f t="shared" si="8"/>
        <v>E</v>
      </c>
      <c r="P121" s="10" t="str">
        <f t="shared" si="9"/>
        <v>50</v>
      </c>
      <c r="Q121" s="10" t="str">
        <f t="shared" si="10"/>
        <v>ZLUB</v>
      </c>
      <c r="R121" s="10" t="str">
        <f t="shared" si="11"/>
        <v>15111501</v>
      </c>
    </row>
    <row r="122" spans="1:18" ht="25.5" hidden="1" x14ac:dyDescent="0.2">
      <c r="A122" s="21" t="s">
        <v>4205</v>
      </c>
      <c r="B122" s="8" t="s">
        <v>4204</v>
      </c>
      <c r="C122" s="8" t="s">
        <v>40</v>
      </c>
      <c r="D122" s="8" t="s">
        <v>4176</v>
      </c>
      <c r="E122" s="8" t="s">
        <v>40</v>
      </c>
      <c r="F122" s="8" t="s">
        <v>39</v>
      </c>
      <c r="G122" s="8" t="s">
        <v>4154</v>
      </c>
      <c r="H122" s="8" t="s">
        <v>37</v>
      </c>
      <c r="I122" s="8" t="s">
        <v>53</v>
      </c>
      <c r="J122" s="8" t="s">
        <v>4153</v>
      </c>
      <c r="K122" s="8" t="s">
        <v>4203</v>
      </c>
      <c r="L122" s="7">
        <v>6860</v>
      </c>
      <c r="M122" s="10" t="str">
        <f t="shared" si="6"/>
        <v>CMI02030200</v>
      </c>
      <c r="N122" s="10" t="str">
        <f t="shared" si="7"/>
        <v>LUB261200</v>
      </c>
      <c r="O122" s="10" t="str">
        <f t="shared" si="8"/>
        <v>E</v>
      </c>
      <c r="P122" s="10" t="str">
        <f t="shared" si="9"/>
        <v>50</v>
      </c>
      <c r="Q122" s="10" t="str">
        <f t="shared" si="10"/>
        <v>ZLUB</v>
      </c>
      <c r="R122" s="10" t="str">
        <f t="shared" si="11"/>
        <v>15121509</v>
      </c>
    </row>
    <row r="123" spans="1:18" ht="38.25" hidden="1" x14ac:dyDescent="0.2">
      <c r="A123" s="21" t="s">
        <v>4202</v>
      </c>
      <c r="B123" s="8" t="s">
        <v>4201</v>
      </c>
      <c r="C123" s="8" t="s">
        <v>40</v>
      </c>
      <c r="D123" s="8" t="s">
        <v>1402</v>
      </c>
      <c r="E123" s="8" t="s">
        <v>40</v>
      </c>
      <c r="F123" s="8" t="s">
        <v>39</v>
      </c>
      <c r="G123" s="8" t="s">
        <v>4154</v>
      </c>
      <c r="H123" s="8" t="s">
        <v>37</v>
      </c>
      <c r="I123" s="8" t="s">
        <v>53</v>
      </c>
      <c r="J123" s="8" t="s">
        <v>4153</v>
      </c>
      <c r="K123" s="8" t="s">
        <v>4200</v>
      </c>
      <c r="L123" s="7">
        <v>6861</v>
      </c>
      <c r="M123" s="10" t="str">
        <f t="shared" si="6"/>
        <v>CMI02030300</v>
      </c>
      <c r="N123" s="10" t="str">
        <f t="shared" si="7"/>
        <v>LUB261200</v>
      </c>
      <c r="O123" s="10" t="str">
        <f t="shared" si="8"/>
        <v>E</v>
      </c>
      <c r="P123" s="10" t="str">
        <f t="shared" si="9"/>
        <v>50</v>
      </c>
      <c r="Q123" s="10" t="str">
        <f t="shared" si="10"/>
        <v>ZLUB</v>
      </c>
      <c r="R123" s="10" t="str">
        <f t="shared" si="11"/>
        <v>15121502</v>
      </c>
    </row>
    <row r="124" spans="1:18" ht="25.5" hidden="1" x14ac:dyDescent="0.2">
      <c r="A124" s="21" t="s">
        <v>4199</v>
      </c>
      <c r="B124" s="8" t="s">
        <v>4198</v>
      </c>
      <c r="C124" s="8" t="s">
        <v>40</v>
      </c>
      <c r="D124" s="8" t="s">
        <v>4197</v>
      </c>
      <c r="E124" s="8" t="s">
        <v>40</v>
      </c>
      <c r="F124" s="8" t="s">
        <v>39</v>
      </c>
      <c r="G124" s="8" t="s">
        <v>4196</v>
      </c>
      <c r="H124" s="8" t="s">
        <v>37</v>
      </c>
      <c r="I124" s="8" t="s">
        <v>53</v>
      </c>
      <c r="J124" s="8" t="s">
        <v>4153</v>
      </c>
      <c r="K124" s="8" t="s">
        <v>4195</v>
      </c>
      <c r="L124" s="7">
        <v>6862</v>
      </c>
      <c r="M124" s="10" t="str">
        <f t="shared" si="6"/>
        <v>CMI02010200</v>
      </c>
      <c r="N124" s="10" t="str">
        <f t="shared" si="7"/>
        <v>LUB241000</v>
      </c>
      <c r="O124" s="10" t="str">
        <f t="shared" si="8"/>
        <v>E</v>
      </c>
      <c r="P124" s="10" t="str">
        <f t="shared" si="9"/>
        <v>50</v>
      </c>
      <c r="Q124" s="10" t="str">
        <f t="shared" si="10"/>
        <v>ZLUB</v>
      </c>
      <c r="R124" s="10" t="str">
        <f t="shared" si="11"/>
        <v>15101505</v>
      </c>
    </row>
    <row r="125" spans="1:18" ht="25.5" hidden="1" x14ac:dyDescent="0.2">
      <c r="A125" s="21" t="s">
        <v>4194</v>
      </c>
      <c r="B125" s="8" t="s">
        <v>4193</v>
      </c>
      <c r="C125" s="8" t="s">
        <v>40</v>
      </c>
      <c r="D125" s="8" t="s">
        <v>4192</v>
      </c>
      <c r="E125" s="8" t="s">
        <v>40</v>
      </c>
      <c r="F125" s="8" t="s">
        <v>39</v>
      </c>
      <c r="G125" s="8" t="s">
        <v>4191</v>
      </c>
      <c r="H125" s="8" t="s">
        <v>37</v>
      </c>
      <c r="I125" s="8" t="s">
        <v>53</v>
      </c>
      <c r="J125" s="8" t="s">
        <v>4153</v>
      </c>
      <c r="K125" s="8" t="s">
        <v>4190</v>
      </c>
      <c r="L125" s="7">
        <v>6863</v>
      </c>
      <c r="M125" s="10" t="str">
        <f t="shared" si="6"/>
        <v>CMI02010400</v>
      </c>
      <c r="N125" s="10" t="str">
        <f t="shared" si="7"/>
        <v>LUB241200</v>
      </c>
      <c r="O125" s="10" t="str">
        <f t="shared" si="8"/>
        <v>E</v>
      </c>
      <c r="P125" s="10" t="str">
        <f t="shared" si="9"/>
        <v>50</v>
      </c>
      <c r="Q125" s="10" t="str">
        <f t="shared" si="10"/>
        <v>ZLUB</v>
      </c>
      <c r="R125" s="10" t="str">
        <f t="shared" si="11"/>
        <v>15101506</v>
      </c>
    </row>
    <row r="126" spans="1:18" ht="25.5" hidden="1" x14ac:dyDescent="0.2">
      <c r="A126" s="21" t="s">
        <v>4189</v>
      </c>
      <c r="B126" s="8" t="s">
        <v>4188</v>
      </c>
      <c r="C126" s="8" t="s">
        <v>40</v>
      </c>
      <c r="D126" s="8" t="s">
        <v>4162</v>
      </c>
      <c r="E126" s="8" t="s">
        <v>40</v>
      </c>
      <c r="F126" s="8" t="s">
        <v>39</v>
      </c>
      <c r="G126" s="8" t="s">
        <v>4158</v>
      </c>
      <c r="H126" s="8" t="s">
        <v>37</v>
      </c>
      <c r="I126" s="8" t="s">
        <v>53</v>
      </c>
      <c r="J126" s="8" t="s">
        <v>4153</v>
      </c>
      <c r="K126" s="8" t="s">
        <v>965</v>
      </c>
      <c r="L126" s="7">
        <v>6864</v>
      </c>
      <c r="M126" s="10" t="str">
        <f t="shared" si="6"/>
        <v>CMI02030100</v>
      </c>
      <c r="N126" s="10" t="str">
        <f t="shared" si="7"/>
        <v>LUB261000</v>
      </c>
      <c r="O126" s="10" t="str">
        <f t="shared" si="8"/>
        <v>E</v>
      </c>
      <c r="P126" s="10" t="str">
        <f t="shared" si="9"/>
        <v>50</v>
      </c>
      <c r="Q126" s="10" t="str">
        <f t="shared" si="10"/>
        <v>ZLUB</v>
      </c>
      <c r="R126" s="10" t="str">
        <f t="shared" si="11"/>
        <v>15121902</v>
      </c>
    </row>
    <row r="127" spans="1:18" ht="25.5" hidden="1" x14ac:dyDescent="0.2">
      <c r="A127" s="21" t="s">
        <v>4187</v>
      </c>
      <c r="B127" s="8" t="s">
        <v>4186</v>
      </c>
      <c r="C127" s="8" t="s">
        <v>40</v>
      </c>
      <c r="D127" s="8" t="s">
        <v>4162</v>
      </c>
      <c r="E127" s="8" t="s">
        <v>40</v>
      </c>
      <c r="F127" s="8" t="s">
        <v>39</v>
      </c>
      <c r="G127" s="8" t="s">
        <v>4158</v>
      </c>
      <c r="H127" s="8" t="s">
        <v>37</v>
      </c>
      <c r="I127" s="8" t="s">
        <v>53</v>
      </c>
      <c r="J127" s="8" t="s">
        <v>4153</v>
      </c>
      <c r="K127" s="8" t="s">
        <v>965</v>
      </c>
      <c r="L127" s="7">
        <v>6865</v>
      </c>
      <c r="M127" s="10" t="str">
        <f t="shared" si="6"/>
        <v>CMI02030100</v>
      </c>
      <c r="N127" s="10" t="str">
        <f t="shared" si="7"/>
        <v>LUB261000</v>
      </c>
      <c r="O127" s="10" t="str">
        <f t="shared" si="8"/>
        <v>E</v>
      </c>
      <c r="P127" s="10" t="str">
        <f t="shared" si="9"/>
        <v>50</v>
      </c>
      <c r="Q127" s="10" t="str">
        <f t="shared" si="10"/>
        <v>ZLUB</v>
      </c>
      <c r="R127" s="10" t="str">
        <f t="shared" si="11"/>
        <v>15121902</v>
      </c>
    </row>
    <row r="128" spans="1:18" ht="38.25" hidden="1" x14ac:dyDescent="0.2">
      <c r="A128" s="21" t="s">
        <v>4185</v>
      </c>
      <c r="B128" s="8" t="s">
        <v>4184</v>
      </c>
      <c r="C128" s="8" t="s">
        <v>40</v>
      </c>
      <c r="D128" s="8" t="s">
        <v>1402</v>
      </c>
      <c r="E128" s="8" t="s">
        <v>40</v>
      </c>
      <c r="F128" s="8" t="s">
        <v>39</v>
      </c>
      <c r="G128" s="8" t="s">
        <v>4154</v>
      </c>
      <c r="H128" s="8" t="s">
        <v>37</v>
      </c>
      <c r="I128" s="8" t="s">
        <v>53</v>
      </c>
      <c r="J128" s="8" t="s">
        <v>4153</v>
      </c>
      <c r="K128" s="8" t="s">
        <v>4183</v>
      </c>
      <c r="L128" s="7">
        <v>6866</v>
      </c>
      <c r="M128" s="10" t="str">
        <f t="shared" si="6"/>
        <v>CMI02030300</v>
      </c>
      <c r="N128" s="10" t="str">
        <f t="shared" si="7"/>
        <v>LUB261200</v>
      </c>
      <c r="O128" s="10" t="str">
        <f t="shared" si="8"/>
        <v>E</v>
      </c>
      <c r="P128" s="10" t="str">
        <f t="shared" si="9"/>
        <v>50</v>
      </c>
      <c r="Q128" s="10" t="str">
        <f t="shared" si="10"/>
        <v>ZLUB</v>
      </c>
      <c r="R128" s="10" t="str">
        <f t="shared" si="11"/>
        <v>15121505</v>
      </c>
    </row>
    <row r="129" spans="1:18" ht="25.5" hidden="1" x14ac:dyDescent="0.2">
      <c r="A129" s="21" t="s">
        <v>4182</v>
      </c>
      <c r="B129" s="8" t="s">
        <v>4181</v>
      </c>
      <c r="C129" s="8" t="s">
        <v>40</v>
      </c>
      <c r="D129" s="8" t="s">
        <v>4176</v>
      </c>
      <c r="E129" s="8" t="s">
        <v>40</v>
      </c>
      <c r="F129" s="8" t="s">
        <v>39</v>
      </c>
      <c r="G129" s="8" t="s">
        <v>4154</v>
      </c>
      <c r="H129" s="8" t="s">
        <v>37</v>
      </c>
      <c r="I129" s="8" t="s">
        <v>53</v>
      </c>
      <c r="J129" s="8" t="s">
        <v>4153</v>
      </c>
      <c r="K129" s="8" t="s">
        <v>4152</v>
      </c>
      <c r="L129" s="7">
        <v>6867</v>
      </c>
      <c r="M129" s="10" t="str">
        <f t="shared" si="6"/>
        <v>CMI02030200</v>
      </c>
      <c r="N129" s="10" t="str">
        <f t="shared" si="7"/>
        <v>LUB261200</v>
      </c>
      <c r="O129" s="10" t="str">
        <f t="shared" si="8"/>
        <v>E</v>
      </c>
      <c r="P129" s="10" t="str">
        <f t="shared" si="9"/>
        <v>50</v>
      </c>
      <c r="Q129" s="10" t="str">
        <f t="shared" si="10"/>
        <v>ZLUB</v>
      </c>
      <c r="R129" s="10" t="str">
        <f t="shared" si="11"/>
        <v>15121501</v>
      </c>
    </row>
    <row r="130" spans="1:18" ht="38.25" hidden="1" x14ac:dyDescent="0.2">
      <c r="A130" s="21" t="s">
        <v>4180</v>
      </c>
      <c r="B130" s="8" t="s">
        <v>4179</v>
      </c>
      <c r="C130" s="8" t="s">
        <v>40</v>
      </c>
      <c r="D130" s="8" t="s">
        <v>1402</v>
      </c>
      <c r="E130" s="8" t="s">
        <v>40</v>
      </c>
      <c r="F130" s="8" t="s">
        <v>39</v>
      </c>
      <c r="G130" s="8" t="s">
        <v>4154</v>
      </c>
      <c r="H130" s="8" t="s">
        <v>37</v>
      </c>
      <c r="I130" s="8" t="s">
        <v>53</v>
      </c>
      <c r="J130" s="8" t="s">
        <v>4153</v>
      </c>
      <c r="K130" s="8" t="s">
        <v>4165</v>
      </c>
      <c r="L130" s="7">
        <v>6868</v>
      </c>
      <c r="M130" s="10" t="str">
        <f t="shared" si="6"/>
        <v>CMI02030300</v>
      </c>
      <c r="N130" s="10" t="str">
        <f t="shared" si="7"/>
        <v>LUB261200</v>
      </c>
      <c r="O130" s="10" t="str">
        <f t="shared" si="8"/>
        <v>E</v>
      </c>
      <c r="P130" s="10" t="str">
        <f t="shared" si="9"/>
        <v>50</v>
      </c>
      <c r="Q130" s="10" t="str">
        <f t="shared" si="10"/>
        <v>ZLUB</v>
      </c>
      <c r="R130" s="10" t="str">
        <f t="shared" si="11"/>
        <v>15121500</v>
      </c>
    </row>
    <row r="131" spans="1:18" ht="25.5" hidden="1" x14ac:dyDescent="0.2">
      <c r="A131" s="21" t="s">
        <v>4178</v>
      </c>
      <c r="B131" s="8" t="s">
        <v>4177</v>
      </c>
      <c r="C131" s="8" t="s">
        <v>40</v>
      </c>
      <c r="D131" s="8" t="s">
        <v>4176</v>
      </c>
      <c r="E131" s="8" t="s">
        <v>40</v>
      </c>
      <c r="F131" s="8" t="s">
        <v>39</v>
      </c>
      <c r="G131" s="8" t="s">
        <v>4175</v>
      </c>
      <c r="H131" s="8" t="s">
        <v>37</v>
      </c>
      <c r="I131" s="8" t="s">
        <v>53</v>
      </c>
      <c r="J131" s="8" t="s">
        <v>4153</v>
      </c>
      <c r="K131" s="8" t="s">
        <v>4174</v>
      </c>
      <c r="L131" s="7">
        <v>6869</v>
      </c>
      <c r="M131" s="10" t="str">
        <f t="shared" ref="M131:M194" si="12">+LEFT(D131,11)</f>
        <v>CMI02030200</v>
      </c>
      <c r="N131" s="10" t="str">
        <f t="shared" ref="N131:N194" si="13">+LEFT(G131,9)</f>
        <v>LUB261100</v>
      </c>
      <c r="O131" s="10" t="str">
        <f t="shared" ref="O131:O194" si="14">+LEFT(H131,1)</f>
        <v>E</v>
      </c>
      <c r="P131" s="10" t="str">
        <f t="shared" ref="P131:P194" si="15">+LEFT(I131,2)</f>
        <v>50</v>
      </c>
      <c r="Q131" s="10" t="str">
        <f t="shared" ref="Q131:Q194" si="16">+LEFT(J131,4)</f>
        <v>ZLUB</v>
      </c>
      <c r="R131" s="10" t="str">
        <f t="shared" ref="R131:R194" si="17">+LEFT(K131,8)</f>
        <v>15121504</v>
      </c>
    </row>
    <row r="132" spans="1:18" ht="38.25" hidden="1" x14ac:dyDescent="0.2">
      <c r="A132" s="21" t="s">
        <v>4173</v>
      </c>
      <c r="B132" s="8" t="s">
        <v>4172</v>
      </c>
      <c r="C132" s="8" t="s">
        <v>40</v>
      </c>
      <c r="D132" s="8" t="s">
        <v>1402</v>
      </c>
      <c r="E132" s="8" t="s">
        <v>40</v>
      </c>
      <c r="F132" s="8" t="s">
        <v>39</v>
      </c>
      <c r="G132" s="8" t="s">
        <v>4154</v>
      </c>
      <c r="H132" s="8" t="s">
        <v>37</v>
      </c>
      <c r="I132" s="8" t="s">
        <v>53</v>
      </c>
      <c r="J132" s="8" t="s">
        <v>4153</v>
      </c>
      <c r="K132" s="8" t="s">
        <v>4171</v>
      </c>
      <c r="L132" s="7">
        <v>6870</v>
      </c>
      <c r="M132" s="10" t="str">
        <f t="shared" si="12"/>
        <v>CMI02030300</v>
      </c>
      <c r="N132" s="10" t="str">
        <f t="shared" si="13"/>
        <v>LUB261200</v>
      </c>
      <c r="O132" s="10" t="str">
        <f t="shared" si="14"/>
        <v>E</v>
      </c>
      <c r="P132" s="10" t="str">
        <f t="shared" si="15"/>
        <v>50</v>
      </c>
      <c r="Q132" s="10" t="str">
        <f t="shared" si="16"/>
        <v>ZLUB</v>
      </c>
      <c r="R132" s="10" t="str">
        <f t="shared" si="17"/>
        <v>15121527</v>
      </c>
    </row>
    <row r="133" spans="1:18" ht="38.25" hidden="1" x14ac:dyDescent="0.2">
      <c r="A133" s="21" t="s">
        <v>4170</v>
      </c>
      <c r="B133" s="8" t="s">
        <v>4169</v>
      </c>
      <c r="C133" s="8" t="s">
        <v>40</v>
      </c>
      <c r="D133" s="8" t="s">
        <v>1402</v>
      </c>
      <c r="E133" s="8" t="s">
        <v>40</v>
      </c>
      <c r="F133" s="8" t="s">
        <v>39</v>
      </c>
      <c r="G133" s="8" t="s">
        <v>4154</v>
      </c>
      <c r="H133" s="8" t="s">
        <v>37</v>
      </c>
      <c r="I133" s="8" t="s">
        <v>53</v>
      </c>
      <c r="J133" s="8" t="s">
        <v>4153</v>
      </c>
      <c r="K133" s="8" t="s">
        <v>4168</v>
      </c>
      <c r="L133" s="7">
        <v>6871</v>
      </c>
      <c r="M133" s="10" t="str">
        <f t="shared" si="12"/>
        <v>CMI02030300</v>
      </c>
      <c r="N133" s="10" t="str">
        <f t="shared" si="13"/>
        <v>LUB261200</v>
      </c>
      <c r="O133" s="10" t="str">
        <f t="shared" si="14"/>
        <v>E</v>
      </c>
      <c r="P133" s="10" t="str">
        <f t="shared" si="15"/>
        <v>50</v>
      </c>
      <c r="Q133" s="10" t="str">
        <f t="shared" si="16"/>
        <v>ZLUB</v>
      </c>
      <c r="R133" s="10" t="str">
        <f t="shared" si="17"/>
        <v>15121503</v>
      </c>
    </row>
    <row r="134" spans="1:18" ht="38.25" hidden="1" x14ac:dyDescent="0.2">
      <c r="A134" s="21" t="s">
        <v>4167</v>
      </c>
      <c r="B134" s="8" t="s">
        <v>4166</v>
      </c>
      <c r="C134" s="8" t="s">
        <v>40</v>
      </c>
      <c r="D134" s="8" t="s">
        <v>1402</v>
      </c>
      <c r="E134" s="8" t="s">
        <v>40</v>
      </c>
      <c r="F134" s="8" t="s">
        <v>39</v>
      </c>
      <c r="G134" s="8" t="s">
        <v>4154</v>
      </c>
      <c r="H134" s="8" t="s">
        <v>37</v>
      </c>
      <c r="I134" s="8" t="s">
        <v>53</v>
      </c>
      <c r="J134" s="8" t="s">
        <v>4153</v>
      </c>
      <c r="K134" s="8" t="s">
        <v>4165</v>
      </c>
      <c r="L134" s="7">
        <v>6872</v>
      </c>
      <c r="M134" s="10" t="str">
        <f t="shared" si="12"/>
        <v>CMI02030300</v>
      </c>
      <c r="N134" s="10" t="str">
        <f t="shared" si="13"/>
        <v>LUB261200</v>
      </c>
      <c r="O134" s="10" t="str">
        <f t="shared" si="14"/>
        <v>E</v>
      </c>
      <c r="P134" s="10" t="str">
        <f t="shared" si="15"/>
        <v>50</v>
      </c>
      <c r="Q134" s="10" t="str">
        <f t="shared" si="16"/>
        <v>ZLUB</v>
      </c>
      <c r="R134" s="10" t="str">
        <f t="shared" si="17"/>
        <v>15121500</v>
      </c>
    </row>
    <row r="135" spans="1:18" ht="25.5" hidden="1" x14ac:dyDescent="0.2">
      <c r="A135" s="21" t="s">
        <v>4164</v>
      </c>
      <c r="B135" s="8" t="s">
        <v>4163</v>
      </c>
      <c r="C135" s="8" t="s">
        <v>40</v>
      </c>
      <c r="D135" s="8" t="s">
        <v>4162</v>
      </c>
      <c r="E135" s="8" t="s">
        <v>40</v>
      </c>
      <c r="F135" s="8" t="s">
        <v>39</v>
      </c>
      <c r="G135" s="8" t="s">
        <v>4158</v>
      </c>
      <c r="H135" s="8" t="s">
        <v>37</v>
      </c>
      <c r="I135" s="8" t="s">
        <v>53</v>
      </c>
      <c r="J135" s="8" t="s">
        <v>4153</v>
      </c>
      <c r="K135" s="8" t="s">
        <v>4161</v>
      </c>
      <c r="L135" s="7">
        <v>6873</v>
      </c>
      <c r="M135" s="10" t="str">
        <f t="shared" si="12"/>
        <v>CMI02030100</v>
      </c>
      <c r="N135" s="10" t="str">
        <f t="shared" si="13"/>
        <v>LUB261000</v>
      </c>
      <c r="O135" s="10" t="str">
        <f t="shared" si="14"/>
        <v>E</v>
      </c>
      <c r="P135" s="10" t="str">
        <f t="shared" si="15"/>
        <v>50</v>
      </c>
      <c r="Q135" s="10" t="str">
        <f t="shared" si="16"/>
        <v>ZLUB</v>
      </c>
      <c r="R135" s="10" t="str">
        <f t="shared" si="17"/>
        <v>15121802</v>
      </c>
    </row>
    <row r="136" spans="1:18" ht="38.25" hidden="1" x14ac:dyDescent="0.2">
      <c r="A136" s="21" t="s">
        <v>4160</v>
      </c>
      <c r="B136" s="8" t="s">
        <v>4159</v>
      </c>
      <c r="C136" s="8" t="s">
        <v>40</v>
      </c>
      <c r="D136" s="8" t="s">
        <v>1402</v>
      </c>
      <c r="E136" s="7">
        <v>6</v>
      </c>
      <c r="F136" s="8" t="s">
        <v>39</v>
      </c>
      <c r="G136" s="8" t="s">
        <v>4158</v>
      </c>
      <c r="H136" s="8" t="s">
        <v>37</v>
      </c>
      <c r="I136" s="8" t="s">
        <v>36</v>
      </c>
      <c r="J136" s="8" t="s">
        <v>4153</v>
      </c>
      <c r="K136" s="8" t="s">
        <v>4157</v>
      </c>
      <c r="L136" s="7">
        <v>6874</v>
      </c>
      <c r="M136" s="10" t="str">
        <f t="shared" si="12"/>
        <v>CMI02030300</v>
      </c>
      <c r="N136" s="10" t="str">
        <f t="shared" si="13"/>
        <v>LUB261000</v>
      </c>
      <c r="O136" s="10" t="str">
        <f t="shared" si="14"/>
        <v>E</v>
      </c>
      <c r="P136" s="10" t="str">
        <f t="shared" si="15"/>
        <v>10</v>
      </c>
      <c r="Q136" s="10" t="str">
        <f t="shared" si="16"/>
        <v>ZLUB</v>
      </c>
      <c r="R136" s="10" t="str">
        <f t="shared" si="17"/>
        <v>27112914</v>
      </c>
    </row>
    <row r="137" spans="1:18" ht="38.25" hidden="1" x14ac:dyDescent="0.2">
      <c r="A137" s="21" t="s">
        <v>4156</v>
      </c>
      <c r="B137" s="8" t="s">
        <v>4155</v>
      </c>
      <c r="C137" s="8" t="s">
        <v>40</v>
      </c>
      <c r="D137" s="8" t="s">
        <v>1402</v>
      </c>
      <c r="E137" s="8" t="s">
        <v>40</v>
      </c>
      <c r="F137" s="8" t="s">
        <v>39</v>
      </c>
      <c r="G137" s="8" t="s">
        <v>4154</v>
      </c>
      <c r="H137" s="8" t="s">
        <v>37</v>
      </c>
      <c r="I137" s="8" t="s">
        <v>53</v>
      </c>
      <c r="J137" s="8" t="s">
        <v>4153</v>
      </c>
      <c r="K137" s="8" t="s">
        <v>4152</v>
      </c>
      <c r="L137" s="7">
        <v>6875</v>
      </c>
      <c r="M137" s="10" t="str">
        <f t="shared" si="12"/>
        <v>CMI02030300</v>
      </c>
      <c r="N137" s="10" t="str">
        <f t="shared" si="13"/>
        <v>LUB261200</v>
      </c>
      <c r="O137" s="10" t="str">
        <f t="shared" si="14"/>
        <v>E</v>
      </c>
      <c r="P137" s="10" t="str">
        <f t="shared" si="15"/>
        <v>50</v>
      </c>
      <c r="Q137" s="10" t="str">
        <f t="shared" si="16"/>
        <v>ZLUB</v>
      </c>
      <c r="R137" s="10" t="str">
        <f t="shared" si="17"/>
        <v>15121501</v>
      </c>
    </row>
    <row r="138" spans="1:18" ht="25.5" hidden="1" x14ac:dyDescent="0.2">
      <c r="A138" s="21" t="s">
        <v>4151</v>
      </c>
      <c r="B138" s="8" t="s">
        <v>4150</v>
      </c>
      <c r="C138" s="8" t="s">
        <v>40</v>
      </c>
      <c r="D138" s="8" t="s">
        <v>245</v>
      </c>
      <c r="E138" s="8" t="s">
        <v>40</v>
      </c>
      <c r="F138" s="8" t="s">
        <v>39</v>
      </c>
      <c r="G138" s="8" t="s">
        <v>624</v>
      </c>
      <c r="H138" s="8" t="s">
        <v>37</v>
      </c>
      <c r="I138" s="8" t="s">
        <v>53</v>
      </c>
      <c r="J138" s="8" t="s">
        <v>49</v>
      </c>
      <c r="K138" s="8" t="s">
        <v>1993</v>
      </c>
      <c r="L138" s="7">
        <v>6876</v>
      </c>
      <c r="M138" s="10" t="str">
        <f t="shared" si="12"/>
        <v>CMI01020300</v>
      </c>
      <c r="N138" s="10" t="str">
        <f t="shared" si="13"/>
        <v>SUM231400</v>
      </c>
      <c r="O138" s="10" t="str">
        <f t="shared" si="14"/>
        <v>E</v>
      </c>
      <c r="P138" s="10" t="str">
        <f t="shared" si="15"/>
        <v>50</v>
      </c>
      <c r="Q138" s="10" t="str">
        <f t="shared" si="16"/>
        <v>ZMAQ</v>
      </c>
      <c r="R138" s="10" t="str">
        <f t="shared" si="17"/>
        <v>23241642</v>
      </c>
    </row>
    <row r="139" spans="1:18" ht="25.5" hidden="1" x14ac:dyDescent="0.2">
      <c r="A139" s="21" t="s">
        <v>4149</v>
      </c>
      <c r="B139" s="8" t="s">
        <v>4148</v>
      </c>
      <c r="C139" s="8" t="s">
        <v>40</v>
      </c>
      <c r="D139" s="8" t="s">
        <v>245</v>
      </c>
      <c r="E139" s="8" t="s">
        <v>40</v>
      </c>
      <c r="F139" s="8" t="s">
        <v>39</v>
      </c>
      <c r="G139" s="8" t="s">
        <v>54</v>
      </c>
      <c r="H139" s="8" t="s">
        <v>37</v>
      </c>
      <c r="I139" s="8" t="s">
        <v>53</v>
      </c>
      <c r="J139" s="8" t="s">
        <v>49</v>
      </c>
      <c r="K139" s="8" t="s">
        <v>4147</v>
      </c>
      <c r="L139" s="7">
        <v>6877</v>
      </c>
      <c r="M139" s="10" t="str">
        <f t="shared" si="12"/>
        <v>CMI01020300</v>
      </c>
      <c r="N139" s="10" t="str">
        <f t="shared" si="13"/>
        <v>REP201100</v>
      </c>
      <c r="O139" s="10" t="str">
        <f t="shared" si="14"/>
        <v>E</v>
      </c>
      <c r="P139" s="10" t="str">
        <f t="shared" si="15"/>
        <v>50</v>
      </c>
      <c r="Q139" s="10" t="str">
        <f t="shared" si="16"/>
        <v>ZMAQ</v>
      </c>
      <c r="R139" s="10" t="str">
        <f t="shared" si="17"/>
        <v>40151600</v>
      </c>
    </row>
    <row r="140" spans="1:18" ht="25.5" hidden="1" x14ac:dyDescent="0.2">
      <c r="A140" s="21" t="s">
        <v>4146</v>
      </c>
      <c r="B140" s="8" t="s">
        <v>4145</v>
      </c>
      <c r="C140" s="8" t="s">
        <v>40</v>
      </c>
      <c r="D140" s="8" t="s">
        <v>245</v>
      </c>
      <c r="E140" s="8" t="s">
        <v>40</v>
      </c>
      <c r="F140" s="8" t="s">
        <v>39</v>
      </c>
      <c r="G140" s="8" t="s">
        <v>985</v>
      </c>
      <c r="H140" s="8" t="s">
        <v>37</v>
      </c>
      <c r="I140" s="8" t="s">
        <v>53</v>
      </c>
      <c r="J140" s="8" t="s">
        <v>49</v>
      </c>
      <c r="K140" s="8" t="s">
        <v>4144</v>
      </c>
      <c r="L140" s="7">
        <v>6878</v>
      </c>
      <c r="M140" s="10" t="str">
        <f t="shared" si="12"/>
        <v>CMI01020300</v>
      </c>
      <c r="N140" s="10" t="str">
        <f t="shared" si="13"/>
        <v>SUM231600</v>
      </c>
      <c r="O140" s="10" t="str">
        <f t="shared" si="14"/>
        <v>E</v>
      </c>
      <c r="P140" s="10" t="str">
        <f t="shared" si="15"/>
        <v>50</v>
      </c>
      <c r="Q140" s="10" t="str">
        <f t="shared" si="16"/>
        <v>ZMAQ</v>
      </c>
      <c r="R140" s="10" t="str">
        <f t="shared" si="17"/>
        <v>72153504</v>
      </c>
    </row>
    <row r="141" spans="1:18" ht="25.5" hidden="1" x14ac:dyDescent="0.2">
      <c r="A141" s="21" t="s">
        <v>4143</v>
      </c>
      <c r="B141" s="8" t="s">
        <v>4142</v>
      </c>
      <c r="C141" s="8" t="s">
        <v>40</v>
      </c>
      <c r="D141" s="8" t="s">
        <v>2195</v>
      </c>
      <c r="E141" s="8" t="s">
        <v>40</v>
      </c>
      <c r="F141" s="8" t="s">
        <v>39</v>
      </c>
      <c r="G141" s="8" t="s">
        <v>47</v>
      </c>
      <c r="H141" s="8" t="s">
        <v>37</v>
      </c>
      <c r="I141" s="8" t="s">
        <v>53</v>
      </c>
      <c r="J141" s="8" t="s">
        <v>49</v>
      </c>
      <c r="K141" s="8" t="s">
        <v>4141</v>
      </c>
      <c r="L141" s="7">
        <v>6879</v>
      </c>
      <c r="M141" s="10" t="str">
        <f t="shared" si="12"/>
        <v>CMI01060800</v>
      </c>
      <c r="N141" s="10" t="str">
        <f t="shared" si="13"/>
        <v>MAQ351000</v>
      </c>
      <c r="O141" s="10" t="str">
        <f t="shared" si="14"/>
        <v>E</v>
      </c>
      <c r="P141" s="10" t="str">
        <f t="shared" si="15"/>
        <v>50</v>
      </c>
      <c r="Q141" s="10" t="str">
        <f t="shared" si="16"/>
        <v>ZMAQ</v>
      </c>
      <c r="R141" s="10" t="str">
        <f t="shared" si="17"/>
        <v>25111516</v>
      </c>
    </row>
    <row r="142" spans="1:18" ht="25.5" hidden="1" x14ac:dyDescent="0.2">
      <c r="A142" s="21" t="s">
        <v>4140</v>
      </c>
      <c r="B142" s="8" t="s">
        <v>4139</v>
      </c>
      <c r="C142" s="8" t="s">
        <v>40</v>
      </c>
      <c r="D142" s="8" t="s">
        <v>291</v>
      </c>
      <c r="E142" s="8" t="s">
        <v>40</v>
      </c>
      <c r="F142" s="8" t="s">
        <v>39</v>
      </c>
      <c r="G142" s="8" t="s">
        <v>47</v>
      </c>
      <c r="H142" s="8" t="s">
        <v>37</v>
      </c>
      <c r="I142" s="8" t="s">
        <v>53</v>
      </c>
      <c r="J142" s="8" t="s">
        <v>49</v>
      </c>
      <c r="K142" s="8" t="s">
        <v>4138</v>
      </c>
      <c r="L142" s="7">
        <v>6880</v>
      </c>
      <c r="M142" s="10" t="str">
        <f t="shared" si="12"/>
        <v>CMI01060200</v>
      </c>
      <c r="N142" s="10" t="str">
        <f t="shared" si="13"/>
        <v>MAQ351000</v>
      </c>
      <c r="O142" s="10" t="str">
        <f t="shared" si="14"/>
        <v>E</v>
      </c>
      <c r="P142" s="10" t="str">
        <f t="shared" si="15"/>
        <v>50</v>
      </c>
      <c r="Q142" s="10" t="str">
        <f t="shared" si="16"/>
        <v>ZMAQ</v>
      </c>
      <c r="R142" s="10" t="str">
        <f t="shared" si="17"/>
        <v>25101916</v>
      </c>
    </row>
    <row r="143" spans="1:18" ht="38.25" hidden="1" x14ac:dyDescent="0.2">
      <c r="A143" s="21" t="s">
        <v>4137</v>
      </c>
      <c r="B143" s="8" t="s">
        <v>4136</v>
      </c>
      <c r="C143" s="8" t="s">
        <v>40</v>
      </c>
      <c r="D143" s="8" t="s">
        <v>2195</v>
      </c>
      <c r="E143" s="8" t="s">
        <v>40</v>
      </c>
      <c r="F143" s="8" t="s">
        <v>39</v>
      </c>
      <c r="G143" s="8" t="s">
        <v>47</v>
      </c>
      <c r="H143" s="8" t="s">
        <v>37</v>
      </c>
      <c r="I143" s="8" t="s">
        <v>53</v>
      </c>
      <c r="J143" s="8" t="s">
        <v>49</v>
      </c>
      <c r="K143" s="8" t="s">
        <v>4135</v>
      </c>
      <c r="L143" s="7">
        <v>6881</v>
      </c>
      <c r="M143" s="10" t="str">
        <f t="shared" si="12"/>
        <v>CMI01060800</v>
      </c>
      <c r="N143" s="10" t="str">
        <f t="shared" si="13"/>
        <v>MAQ351000</v>
      </c>
      <c r="O143" s="10" t="str">
        <f t="shared" si="14"/>
        <v>E</v>
      </c>
      <c r="P143" s="10" t="str">
        <f t="shared" si="15"/>
        <v>50</v>
      </c>
      <c r="Q143" s="10" t="str">
        <f t="shared" si="16"/>
        <v>ZMAQ</v>
      </c>
      <c r="R143" s="10" t="str">
        <f t="shared" si="17"/>
        <v>26101515</v>
      </c>
    </row>
    <row r="144" spans="1:18" ht="38.25" hidden="1" x14ac:dyDescent="0.2">
      <c r="A144" s="21" t="s">
        <v>4134</v>
      </c>
      <c r="B144" s="8" t="s">
        <v>4133</v>
      </c>
      <c r="C144" s="8" t="s">
        <v>40</v>
      </c>
      <c r="D144" s="8" t="s">
        <v>245</v>
      </c>
      <c r="E144" s="8" t="s">
        <v>40</v>
      </c>
      <c r="F144" s="8" t="s">
        <v>39</v>
      </c>
      <c r="G144" s="8" t="s">
        <v>47</v>
      </c>
      <c r="H144" s="8" t="s">
        <v>37</v>
      </c>
      <c r="I144" s="8" t="s">
        <v>53</v>
      </c>
      <c r="J144" s="8" t="s">
        <v>49</v>
      </c>
      <c r="K144" s="8" t="s">
        <v>4132</v>
      </c>
      <c r="L144" s="7">
        <v>6882</v>
      </c>
      <c r="M144" s="10" t="str">
        <f t="shared" si="12"/>
        <v>CMI01020300</v>
      </c>
      <c r="N144" s="10" t="str">
        <f t="shared" si="13"/>
        <v>MAQ351000</v>
      </c>
      <c r="O144" s="10" t="str">
        <f t="shared" si="14"/>
        <v>E</v>
      </c>
      <c r="P144" s="10" t="str">
        <f t="shared" si="15"/>
        <v>50</v>
      </c>
      <c r="Q144" s="10" t="str">
        <f t="shared" si="16"/>
        <v>ZMAQ</v>
      </c>
      <c r="R144" s="10" t="str">
        <f t="shared" si="17"/>
        <v>26111600</v>
      </c>
    </row>
    <row r="145" spans="1:18" ht="38.25" hidden="1" x14ac:dyDescent="0.2">
      <c r="A145" s="21" t="s">
        <v>4131</v>
      </c>
      <c r="B145" s="8" t="s">
        <v>4130</v>
      </c>
      <c r="C145" s="8" t="s">
        <v>40</v>
      </c>
      <c r="D145" s="8" t="s">
        <v>245</v>
      </c>
      <c r="E145" s="8" t="s">
        <v>40</v>
      </c>
      <c r="F145" s="8" t="s">
        <v>39</v>
      </c>
      <c r="G145" s="8" t="s">
        <v>47</v>
      </c>
      <c r="H145" s="8" t="s">
        <v>37</v>
      </c>
      <c r="I145" s="8" t="s">
        <v>53</v>
      </c>
      <c r="J145" s="8" t="s">
        <v>49</v>
      </c>
      <c r="K145" s="8" t="s">
        <v>4129</v>
      </c>
      <c r="L145" s="7">
        <v>6883</v>
      </c>
      <c r="M145" s="10" t="str">
        <f t="shared" si="12"/>
        <v>CMI01020300</v>
      </c>
      <c r="N145" s="10" t="str">
        <f t="shared" si="13"/>
        <v>MAQ351000</v>
      </c>
      <c r="O145" s="10" t="str">
        <f t="shared" si="14"/>
        <v>E</v>
      </c>
      <c r="P145" s="10" t="str">
        <f t="shared" si="15"/>
        <v>50</v>
      </c>
      <c r="Q145" s="10" t="str">
        <f t="shared" si="16"/>
        <v>ZMAQ</v>
      </c>
      <c r="R145" s="10" t="str">
        <f t="shared" si="17"/>
        <v>22101901</v>
      </c>
    </row>
    <row r="146" spans="1:18" ht="25.5" hidden="1" x14ac:dyDescent="0.2">
      <c r="A146" s="21" t="s">
        <v>4128</v>
      </c>
      <c r="B146" s="8" t="s">
        <v>4127</v>
      </c>
      <c r="C146" s="8" t="s">
        <v>40</v>
      </c>
      <c r="D146" s="8" t="s">
        <v>245</v>
      </c>
      <c r="E146" s="8" t="s">
        <v>40</v>
      </c>
      <c r="F146" s="8" t="s">
        <v>39</v>
      </c>
      <c r="G146" s="8" t="s">
        <v>47</v>
      </c>
      <c r="H146" s="8" t="s">
        <v>37</v>
      </c>
      <c r="I146" s="8" t="s">
        <v>53</v>
      </c>
      <c r="J146" s="8" t="s">
        <v>49</v>
      </c>
      <c r="K146" s="8" t="s">
        <v>4126</v>
      </c>
      <c r="L146" s="7">
        <v>6884</v>
      </c>
      <c r="M146" s="10" t="str">
        <f t="shared" si="12"/>
        <v>CMI01020300</v>
      </c>
      <c r="N146" s="10" t="str">
        <f t="shared" si="13"/>
        <v>MAQ351000</v>
      </c>
      <c r="O146" s="10" t="str">
        <f t="shared" si="14"/>
        <v>E</v>
      </c>
      <c r="P146" s="10" t="str">
        <f t="shared" si="15"/>
        <v>50</v>
      </c>
      <c r="Q146" s="10" t="str">
        <f t="shared" si="16"/>
        <v>ZMAQ</v>
      </c>
      <c r="R146" s="10" t="str">
        <f t="shared" si="17"/>
        <v>21101504</v>
      </c>
    </row>
    <row r="147" spans="1:18" ht="38.25" hidden="1" x14ac:dyDescent="0.2">
      <c r="A147" s="21" t="s">
        <v>4125</v>
      </c>
      <c r="B147" s="8" t="s">
        <v>4124</v>
      </c>
      <c r="C147" s="8" t="s">
        <v>40</v>
      </c>
      <c r="D147" s="8" t="s">
        <v>990</v>
      </c>
      <c r="E147" s="8" t="s">
        <v>40</v>
      </c>
      <c r="F147" s="8" t="s">
        <v>39</v>
      </c>
      <c r="G147" s="8" t="s">
        <v>85</v>
      </c>
      <c r="H147" s="8" t="s">
        <v>37</v>
      </c>
      <c r="I147" s="8" t="s">
        <v>53</v>
      </c>
      <c r="J147" s="8" t="s">
        <v>49</v>
      </c>
      <c r="K147" s="8" t="s">
        <v>4123</v>
      </c>
      <c r="L147" s="7">
        <v>6885</v>
      </c>
      <c r="M147" s="10" t="str">
        <f t="shared" si="12"/>
        <v>CMI02090500</v>
      </c>
      <c r="N147" s="10" t="str">
        <f t="shared" si="13"/>
        <v>SUM231500</v>
      </c>
      <c r="O147" s="10" t="str">
        <f t="shared" si="14"/>
        <v>E</v>
      </c>
      <c r="P147" s="10" t="str">
        <f t="shared" si="15"/>
        <v>50</v>
      </c>
      <c r="Q147" s="10" t="str">
        <f t="shared" si="16"/>
        <v>ZMAQ</v>
      </c>
      <c r="R147" s="10" t="str">
        <f t="shared" si="17"/>
        <v>27111607</v>
      </c>
    </row>
    <row r="148" spans="1:18" ht="25.5" hidden="1" x14ac:dyDescent="0.2">
      <c r="A148" s="21" t="s">
        <v>4122</v>
      </c>
      <c r="B148" s="8" t="s">
        <v>4121</v>
      </c>
      <c r="C148" s="8" t="s">
        <v>40</v>
      </c>
      <c r="D148" s="8" t="s">
        <v>245</v>
      </c>
      <c r="E148" s="8" t="s">
        <v>40</v>
      </c>
      <c r="F148" s="8" t="s">
        <v>39</v>
      </c>
      <c r="G148" s="8" t="s">
        <v>47</v>
      </c>
      <c r="H148" s="8" t="s">
        <v>37</v>
      </c>
      <c r="I148" s="8" t="s">
        <v>53</v>
      </c>
      <c r="J148" s="8" t="s">
        <v>49</v>
      </c>
      <c r="K148" s="8" t="s">
        <v>4120</v>
      </c>
      <c r="L148" s="7">
        <v>6886</v>
      </c>
      <c r="M148" s="10" t="str">
        <f t="shared" si="12"/>
        <v>CMI01020300</v>
      </c>
      <c r="N148" s="10" t="str">
        <f t="shared" si="13"/>
        <v>MAQ351000</v>
      </c>
      <c r="O148" s="10" t="str">
        <f t="shared" si="14"/>
        <v>E</v>
      </c>
      <c r="P148" s="10" t="str">
        <f t="shared" si="15"/>
        <v>50</v>
      </c>
      <c r="Q148" s="10" t="str">
        <f t="shared" si="16"/>
        <v>ZMAQ</v>
      </c>
      <c r="R148" s="10" t="str">
        <f t="shared" si="17"/>
        <v>22101511</v>
      </c>
    </row>
    <row r="149" spans="1:18" ht="25.5" hidden="1" x14ac:dyDescent="0.2">
      <c r="A149" s="21" t="s">
        <v>4119</v>
      </c>
      <c r="B149" s="8" t="s">
        <v>4118</v>
      </c>
      <c r="C149" s="8" t="s">
        <v>40</v>
      </c>
      <c r="D149" s="8" t="s">
        <v>245</v>
      </c>
      <c r="E149" s="8" t="s">
        <v>40</v>
      </c>
      <c r="F149" s="8" t="s">
        <v>39</v>
      </c>
      <c r="G149" s="8" t="s">
        <v>47</v>
      </c>
      <c r="H149" s="8" t="s">
        <v>37</v>
      </c>
      <c r="I149" s="8" t="s">
        <v>53</v>
      </c>
      <c r="J149" s="8" t="s">
        <v>49</v>
      </c>
      <c r="K149" s="8" t="s">
        <v>4117</v>
      </c>
      <c r="L149" s="7">
        <v>6887</v>
      </c>
      <c r="M149" s="10" t="str">
        <f t="shared" si="12"/>
        <v>CMI01020300</v>
      </c>
      <c r="N149" s="10" t="str">
        <f t="shared" si="13"/>
        <v>MAQ351000</v>
      </c>
      <c r="O149" s="10" t="str">
        <f t="shared" si="14"/>
        <v>E</v>
      </c>
      <c r="P149" s="10" t="str">
        <f t="shared" si="15"/>
        <v>50</v>
      </c>
      <c r="Q149" s="10" t="str">
        <f t="shared" si="16"/>
        <v>ZMAQ</v>
      </c>
      <c r="R149" s="10" t="str">
        <f t="shared" si="17"/>
        <v>23151602</v>
      </c>
    </row>
    <row r="150" spans="1:18" ht="25.5" hidden="1" x14ac:dyDescent="0.2">
      <c r="A150" s="21" t="s">
        <v>4116</v>
      </c>
      <c r="B150" s="8" t="s">
        <v>4115</v>
      </c>
      <c r="C150" s="8" t="s">
        <v>40</v>
      </c>
      <c r="D150" s="8" t="s">
        <v>245</v>
      </c>
      <c r="E150" s="8" t="s">
        <v>40</v>
      </c>
      <c r="F150" s="8" t="s">
        <v>39</v>
      </c>
      <c r="G150" s="8" t="s">
        <v>47</v>
      </c>
      <c r="H150" s="8" t="s">
        <v>37</v>
      </c>
      <c r="I150" s="8" t="s">
        <v>53</v>
      </c>
      <c r="J150" s="8" t="s">
        <v>49</v>
      </c>
      <c r="K150" s="8" t="s">
        <v>4114</v>
      </c>
      <c r="L150" s="7">
        <v>6888</v>
      </c>
      <c r="M150" s="10" t="str">
        <f t="shared" si="12"/>
        <v>CMI01020300</v>
      </c>
      <c r="N150" s="10" t="str">
        <f t="shared" si="13"/>
        <v>MAQ351000</v>
      </c>
      <c r="O150" s="10" t="str">
        <f t="shared" si="14"/>
        <v>E</v>
      </c>
      <c r="P150" s="10" t="str">
        <f t="shared" si="15"/>
        <v>50</v>
      </c>
      <c r="Q150" s="10" t="str">
        <f t="shared" si="16"/>
        <v>ZMAQ</v>
      </c>
      <c r="R150" s="10" t="str">
        <f t="shared" si="17"/>
        <v>21101600</v>
      </c>
    </row>
    <row r="151" spans="1:18" ht="25.5" hidden="1" x14ac:dyDescent="0.2">
      <c r="A151" s="21" t="s">
        <v>4113</v>
      </c>
      <c r="B151" s="8" t="s">
        <v>4112</v>
      </c>
      <c r="C151" s="8" t="s">
        <v>40</v>
      </c>
      <c r="D151" s="8" t="s">
        <v>245</v>
      </c>
      <c r="E151" s="8" t="s">
        <v>40</v>
      </c>
      <c r="F151" s="8" t="s">
        <v>39</v>
      </c>
      <c r="G151" s="8" t="s">
        <v>47</v>
      </c>
      <c r="H151" s="8" t="s">
        <v>37</v>
      </c>
      <c r="I151" s="8" t="s">
        <v>53</v>
      </c>
      <c r="J151" s="8" t="s">
        <v>49</v>
      </c>
      <c r="K151" s="8" t="s">
        <v>4111</v>
      </c>
      <c r="L151" s="7">
        <v>6889</v>
      </c>
      <c r="M151" s="10" t="str">
        <f t="shared" si="12"/>
        <v>CMI01020300</v>
      </c>
      <c r="N151" s="10" t="str">
        <f t="shared" si="13"/>
        <v>MAQ351000</v>
      </c>
      <c r="O151" s="10" t="str">
        <f t="shared" si="14"/>
        <v>E</v>
      </c>
      <c r="P151" s="10" t="str">
        <f t="shared" si="15"/>
        <v>50</v>
      </c>
      <c r="Q151" s="10" t="str">
        <f t="shared" si="16"/>
        <v>ZMAQ</v>
      </c>
      <c r="R151" s="10" t="str">
        <f t="shared" si="17"/>
        <v>23101513</v>
      </c>
    </row>
    <row r="152" spans="1:18" ht="38.25" hidden="1" x14ac:dyDescent="0.2">
      <c r="A152" s="21" t="s">
        <v>4110</v>
      </c>
      <c r="B152" s="8" t="s">
        <v>4109</v>
      </c>
      <c r="C152" s="8" t="s">
        <v>40</v>
      </c>
      <c r="D152" s="8" t="s">
        <v>4108</v>
      </c>
      <c r="E152" s="8" t="s">
        <v>40</v>
      </c>
      <c r="F152" s="8" t="s">
        <v>39</v>
      </c>
      <c r="G152" s="8" t="s">
        <v>47</v>
      </c>
      <c r="H152" s="8" t="s">
        <v>37</v>
      </c>
      <c r="I152" s="8" t="s">
        <v>53</v>
      </c>
      <c r="J152" s="8" t="s">
        <v>49</v>
      </c>
      <c r="K152" s="8" t="s">
        <v>4107</v>
      </c>
      <c r="L152" s="7">
        <v>6890</v>
      </c>
      <c r="M152" s="10" t="str">
        <f t="shared" si="12"/>
        <v>CMI01020000</v>
      </c>
      <c r="N152" s="10" t="str">
        <f t="shared" si="13"/>
        <v>MAQ351000</v>
      </c>
      <c r="O152" s="10" t="str">
        <f t="shared" si="14"/>
        <v>E</v>
      </c>
      <c r="P152" s="10" t="str">
        <f t="shared" si="15"/>
        <v>50</v>
      </c>
      <c r="Q152" s="10" t="str">
        <f t="shared" si="16"/>
        <v>ZMAQ</v>
      </c>
      <c r="R152" s="10" t="str">
        <f t="shared" si="17"/>
        <v>44102800</v>
      </c>
    </row>
    <row r="153" spans="1:18" ht="38.25" hidden="1" x14ac:dyDescent="0.2">
      <c r="A153" s="21" t="s">
        <v>4106</v>
      </c>
      <c r="B153" s="8" t="s">
        <v>4105</v>
      </c>
      <c r="C153" s="8" t="s">
        <v>40</v>
      </c>
      <c r="D153" s="8" t="s">
        <v>275</v>
      </c>
      <c r="E153" s="8" t="s">
        <v>40</v>
      </c>
      <c r="F153" s="8" t="s">
        <v>39</v>
      </c>
      <c r="G153" s="8" t="s">
        <v>47</v>
      </c>
      <c r="H153" s="8" t="s">
        <v>37</v>
      </c>
      <c r="I153" s="8" t="s">
        <v>53</v>
      </c>
      <c r="J153" s="8" t="s">
        <v>49</v>
      </c>
      <c r="K153" s="8" t="s">
        <v>4104</v>
      </c>
      <c r="L153" s="7">
        <v>6891</v>
      </c>
      <c r="M153" s="10" t="str">
        <f t="shared" si="12"/>
        <v>CMI01030300</v>
      </c>
      <c r="N153" s="10" t="str">
        <f t="shared" si="13"/>
        <v>MAQ351000</v>
      </c>
      <c r="O153" s="10" t="str">
        <f t="shared" si="14"/>
        <v>E</v>
      </c>
      <c r="P153" s="10" t="str">
        <f t="shared" si="15"/>
        <v>50</v>
      </c>
      <c r="Q153" s="10" t="str">
        <f t="shared" si="16"/>
        <v>ZMAQ</v>
      </c>
      <c r="R153" s="10" t="str">
        <f t="shared" si="17"/>
        <v>60121305</v>
      </c>
    </row>
    <row r="154" spans="1:18" ht="38.25" hidden="1" x14ac:dyDescent="0.2">
      <c r="A154" s="21" t="s">
        <v>4103</v>
      </c>
      <c r="B154" s="8" t="s">
        <v>4102</v>
      </c>
      <c r="C154" s="8" t="s">
        <v>40</v>
      </c>
      <c r="D154" s="8" t="s">
        <v>275</v>
      </c>
      <c r="E154" s="8" t="s">
        <v>40</v>
      </c>
      <c r="F154" s="8" t="s">
        <v>39</v>
      </c>
      <c r="G154" s="8" t="s">
        <v>47</v>
      </c>
      <c r="H154" s="8" t="s">
        <v>37</v>
      </c>
      <c r="I154" s="8" t="s">
        <v>53</v>
      </c>
      <c r="J154" s="8" t="s">
        <v>49</v>
      </c>
      <c r="K154" s="8" t="s">
        <v>4101</v>
      </c>
      <c r="L154" s="7">
        <v>6892</v>
      </c>
      <c r="M154" s="10" t="str">
        <f t="shared" si="12"/>
        <v>CMI01030300</v>
      </c>
      <c r="N154" s="10" t="str">
        <f t="shared" si="13"/>
        <v>MAQ351000</v>
      </c>
      <c r="O154" s="10" t="str">
        <f t="shared" si="14"/>
        <v>E</v>
      </c>
      <c r="P154" s="10" t="str">
        <f t="shared" si="15"/>
        <v>50</v>
      </c>
      <c r="Q154" s="10" t="str">
        <f t="shared" si="16"/>
        <v>ZMAQ</v>
      </c>
      <c r="R154" s="10" t="str">
        <f t="shared" si="17"/>
        <v>44102801</v>
      </c>
    </row>
    <row r="155" spans="1:18" ht="38.25" hidden="1" x14ac:dyDescent="0.2">
      <c r="A155" s="21" t="s">
        <v>4100</v>
      </c>
      <c r="B155" s="8" t="s">
        <v>4099</v>
      </c>
      <c r="C155" s="8" t="s">
        <v>40</v>
      </c>
      <c r="D155" s="8" t="s">
        <v>141</v>
      </c>
      <c r="E155" s="8" t="s">
        <v>40</v>
      </c>
      <c r="F155" s="8" t="s">
        <v>39</v>
      </c>
      <c r="G155" s="8" t="s">
        <v>47</v>
      </c>
      <c r="H155" s="8" t="s">
        <v>37</v>
      </c>
      <c r="I155" s="8" t="s">
        <v>53</v>
      </c>
      <c r="J155" s="8" t="s">
        <v>49</v>
      </c>
      <c r="K155" s="8" t="s">
        <v>4098</v>
      </c>
      <c r="L155" s="7">
        <v>6893</v>
      </c>
      <c r="M155" s="10" t="str">
        <f t="shared" si="12"/>
        <v>CMI02150200</v>
      </c>
      <c r="N155" s="10" t="str">
        <f t="shared" si="13"/>
        <v>MAQ351000</v>
      </c>
      <c r="O155" s="10" t="str">
        <f t="shared" si="14"/>
        <v>E</v>
      </c>
      <c r="P155" s="10" t="str">
        <f t="shared" si="15"/>
        <v>50</v>
      </c>
      <c r="Q155" s="10" t="str">
        <f t="shared" si="16"/>
        <v>ZMAQ</v>
      </c>
      <c r="R155" s="10" t="str">
        <f t="shared" si="17"/>
        <v>42251600</v>
      </c>
    </row>
    <row r="156" spans="1:18" ht="38.25" hidden="1" x14ac:dyDescent="0.2">
      <c r="A156" s="21" t="s">
        <v>4097</v>
      </c>
      <c r="B156" s="8" t="s">
        <v>4096</v>
      </c>
      <c r="C156" s="8" t="s">
        <v>40</v>
      </c>
      <c r="D156" s="8" t="s">
        <v>275</v>
      </c>
      <c r="E156" s="8" t="s">
        <v>40</v>
      </c>
      <c r="F156" s="8" t="s">
        <v>39</v>
      </c>
      <c r="G156" s="8" t="s">
        <v>47</v>
      </c>
      <c r="H156" s="8" t="s">
        <v>37</v>
      </c>
      <c r="I156" s="8" t="s">
        <v>53</v>
      </c>
      <c r="J156" s="8" t="s">
        <v>49</v>
      </c>
      <c r="K156" s="8" t="s">
        <v>4095</v>
      </c>
      <c r="L156" s="7">
        <v>6894</v>
      </c>
      <c r="M156" s="10" t="str">
        <f t="shared" si="12"/>
        <v>CMI01030300</v>
      </c>
      <c r="N156" s="10" t="str">
        <f t="shared" si="13"/>
        <v>MAQ351000</v>
      </c>
      <c r="O156" s="10" t="str">
        <f t="shared" si="14"/>
        <v>E</v>
      </c>
      <c r="P156" s="10" t="str">
        <f t="shared" si="15"/>
        <v>50</v>
      </c>
      <c r="Q156" s="10" t="str">
        <f t="shared" si="16"/>
        <v>ZMAQ</v>
      </c>
      <c r="R156" s="10" t="str">
        <f t="shared" si="17"/>
        <v>44102600</v>
      </c>
    </row>
    <row r="157" spans="1:18" ht="25.5" hidden="1" x14ac:dyDescent="0.2">
      <c r="A157" s="21" t="s">
        <v>4094</v>
      </c>
      <c r="B157" s="8" t="s">
        <v>4093</v>
      </c>
      <c r="C157" s="8" t="s">
        <v>40</v>
      </c>
      <c r="D157" s="8" t="s">
        <v>224</v>
      </c>
      <c r="E157" s="8" t="s">
        <v>40</v>
      </c>
      <c r="F157" s="8" t="s">
        <v>39</v>
      </c>
      <c r="G157" s="8" t="s">
        <v>280</v>
      </c>
      <c r="H157" s="8" t="s">
        <v>37</v>
      </c>
      <c r="I157" s="8" t="s">
        <v>53</v>
      </c>
      <c r="J157" s="8" t="s">
        <v>279</v>
      </c>
      <c r="K157" s="8" t="s">
        <v>4092</v>
      </c>
      <c r="L157" s="7">
        <v>6895</v>
      </c>
      <c r="M157" s="10" t="str">
        <f t="shared" si="12"/>
        <v>CMI02170100</v>
      </c>
      <c r="N157" s="10" t="str">
        <f t="shared" si="13"/>
        <v>MER391200</v>
      </c>
      <c r="O157" s="10" t="str">
        <f t="shared" si="14"/>
        <v>E</v>
      </c>
      <c r="P157" s="10" t="str">
        <f t="shared" si="15"/>
        <v>50</v>
      </c>
      <c r="Q157" s="10" t="str">
        <f t="shared" si="16"/>
        <v>ZMER</v>
      </c>
      <c r="R157" s="10" t="str">
        <f t="shared" si="17"/>
        <v>42151900</v>
      </c>
    </row>
    <row r="158" spans="1:18" ht="38.25" hidden="1" x14ac:dyDescent="0.2">
      <c r="A158" s="21" t="s">
        <v>4091</v>
      </c>
      <c r="B158" s="8" t="s">
        <v>4090</v>
      </c>
      <c r="C158" s="8" t="s">
        <v>40</v>
      </c>
      <c r="D158" s="8" t="s">
        <v>275</v>
      </c>
      <c r="E158" s="8" t="s">
        <v>40</v>
      </c>
      <c r="F158" s="8" t="s">
        <v>39</v>
      </c>
      <c r="G158" s="8" t="s">
        <v>2349</v>
      </c>
      <c r="H158" s="8" t="s">
        <v>37</v>
      </c>
      <c r="I158" s="8" t="s">
        <v>53</v>
      </c>
      <c r="J158" s="8" t="s">
        <v>279</v>
      </c>
      <c r="K158" s="8" t="s">
        <v>4089</v>
      </c>
      <c r="L158" s="7">
        <v>6896</v>
      </c>
      <c r="M158" s="10" t="str">
        <f t="shared" si="12"/>
        <v>CMI01030300</v>
      </c>
      <c r="N158" s="10" t="str">
        <f t="shared" si="13"/>
        <v>MER391100</v>
      </c>
      <c r="O158" s="10" t="str">
        <f t="shared" si="14"/>
        <v>E</v>
      </c>
      <c r="P158" s="10" t="str">
        <f t="shared" si="15"/>
        <v>50</v>
      </c>
      <c r="Q158" s="10" t="str">
        <f t="shared" si="16"/>
        <v>ZMER</v>
      </c>
      <c r="R158" s="10" t="str">
        <f t="shared" si="17"/>
        <v>53102507</v>
      </c>
    </row>
    <row r="159" spans="1:18" ht="25.5" hidden="1" x14ac:dyDescent="0.2">
      <c r="A159" s="21" t="s">
        <v>4088</v>
      </c>
      <c r="B159" s="8" t="s">
        <v>4087</v>
      </c>
      <c r="C159" s="8" t="s">
        <v>40</v>
      </c>
      <c r="D159" s="8" t="s">
        <v>95</v>
      </c>
      <c r="E159" s="8" t="s">
        <v>40</v>
      </c>
      <c r="F159" s="8" t="s">
        <v>39</v>
      </c>
      <c r="G159" s="8" t="s">
        <v>280</v>
      </c>
      <c r="H159" s="8" t="s">
        <v>37</v>
      </c>
      <c r="I159" s="8" t="s">
        <v>53</v>
      </c>
      <c r="J159" s="8" t="s">
        <v>279</v>
      </c>
      <c r="K159" s="8" t="s">
        <v>549</v>
      </c>
      <c r="L159" s="7">
        <v>6897</v>
      </c>
      <c r="M159" s="10" t="str">
        <f t="shared" si="12"/>
        <v>CMI02160100</v>
      </c>
      <c r="N159" s="10" t="str">
        <f t="shared" si="13"/>
        <v>MER391200</v>
      </c>
      <c r="O159" s="10" t="str">
        <f t="shared" si="14"/>
        <v>E</v>
      </c>
      <c r="P159" s="10" t="str">
        <f t="shared" si="15"/>
        <v>50</v>
      </c>
      <c r="Q159" s="10" t="str">
        <f t="shared" si="16"/>
        <v>ZMER</v>
      </c>
      <c r="R159" s="10" t="str">
        <f t="shared" si="17"/>
        <v>14111514</v>
      </c>
    </row>
    <row r="160" spans="1:18" ht="25.5" hidden="1" x14ac:dyDescent="0.2">
      <c r="A160" s="21" t="s">
        <v>4086</v>
      </c>
      <c r="B160" s="8" t="s">
        <v>4085</v>
      </c>
      <c r="C160" s="8" t="s">
        <v>40</v>
      </c>
      <c r="D160" s="8" t="s">
        <v>95</v>
      </c>
      <c r="E160" s="8" t="s">
        <v>40</v>
      </c>
      <c r="F160" s="8" t="s">
        <v>39</v>
      </c>
      <c r="G160" s="8" t="s">
        <v>280</v>
      </c>
      <c r="H160" s="8" t="s">
        <v>37</v>
      </c>
      <c r="I160" s="8" t="s">
        <v>53</v>
      </c>
      <c r="J160" s="8" t="s">
        <v>279</v>
      </c>
      <c r="K160" s="8" t="s">
        <v>4084</v>
      </c>
      <c r="L160" s="7">
        <v>6898</v>
      </c>
      <c r="M160" s="10" t="str">
        <f t="shared" si="12"/>
        <v>CMI02160100</v>
      </c>
      <c r="N160" s="10" t="str">
        <f t="shared" si="13"/>
        <v>MER391200</v>
      </c>
      <c r="O160" s="10" t="str">
        <f t="shared" si="14"/>
        <v>E</v>
      </c>
      <c r="P160" s="10" t="str">
        <f t="shared" si="15"/>
        <v>50</v>
      </c>
      <c r="Q160" s="10" t="str">
        <f t="shared" si="16"/>
        <v>ZMER</v>
      </c>
      <c r="R160" s="10" t="str">
        <f t="shared" si="17"/>
        <v>44112002</v>
      </c>
    </row>
    <row r="161" spans="1:18" ht="25.5" hidden="1" x14ac:dyDescent="0.2">
      <c r="A161" s="21" t="s">
        <v>4083</v>
      </c>
      <c r="B161" s="8" t="s">
        <v>4082</v>
      </c>
      <c r="C161" s="8" t="s">
        <v>40</v>
      </c>
      <c r="D161" s="8" t="s">
        <v>4081</v>
      </c>
      <c r="E161" s="8" t="s">
        <v>40</v>
      </c>
      <c r="F161" s="8" t="s">
        <v>39</v>
      </c>
      <c r="G161" s="8" t="s">
        <v>280</v>
      </c>
      <c r="H161" s="8" t="s">
        <v>37</v>
      </c>
      <c r="I161" s="8" t="s">
        <v>53</v>
      </c>
      <c r="J161" s="8" t="s">
        <v>279</v>
      </c>
      <c r="K161" s="8" t="s">
        <v>4080</v>
      </c>
      <c r="L161" s="7">
        <v>6899</v>
      </c>
      <c r="M161" s="10" t="str">
        <f t="shared" si="12"/>
        <v>CMI03040100</v>
      </c>
      <c r="N161" s="10" t="str">
        <f t="shared" si="13"/>
        <v>MER391200</v>
      </c>
      <c r="O161" s="10" t="str">
        <f t="shared" si="14"/>
        <v>E</v>
      </c>
      <c r="P161" s="10" t="str">
        <f t="shared" si="15"/>
        <v>50</v>
      </c>
      <c r="Q161" s="10" t="str">
        <f t="shared" si="16"/>
        <v>ZMER</v>
      </c>
      <c r="R161" s="10" t="str">
        <f t="shared" si="17"/>
        <v>24111502</v>
      </c>
    </row>
    <row r="162" spans="1:18" ht="25.5" hidden="1" x14ac:dyDescent="0.2">
      <c r="A162" s="21" t="s">
        <v>4079</v>
      </c>
      <c r="B162" s="8" t="s">
        <v>4078</v>
      </c>
      <c r="C162" s="8" t="s">
        <v>40</v>
      </c>
      <c r="D162" s="8" t="s">
        <v>224</v>
      </c>
      <c r="E162" s="8" t="s">
        <v>40</v>
      </c>
      <c r="F162" s="8" t="s">
        <v>39</v>
      </c>
      <c r="G162" s="8" t="s">
        <v>280</v>
      </c>
      <c r="H162" s="8" t="s">
        <v>37</v>
      </c>
      <c r="I162" s="8" t="s">
        <v>53</v>
      </c>
      <c r="J162" s="8" t="s">
        <v>279</v>
      </c>
      <c r="K162" s="8" t="s">
        <v>4077</v>
      </c>
      <c r="L162" s="7">
        <v>6900</v>
      </c>
      <c r="M162" s="10" t="str">
        <f t="shared" si="12"/>
        <v>CMI02170100</v>
      </c>
      <c r="N162" s="10" t="str">
        <f t="shared" si="13"/>
        <v>MER391200</v>
      </c>
      <c r="O162" s="10" t="str">
        <f t="shared" si="14"/>
        <v>E</v>
      </c>
      <c r="P162" s="10" t="str">
        <f t="shared" si="15"/>
        <v>50</v>
      </c>
      <c r="Q162" s="10" t="str">
        <f t="shared" si="16"/>
        <v>ZMER</v>
      </c>
      <c r="R162" s="10" t="str">
        <f t="shared" si="17"/>
        <v>54101601</v>
      </c>
    </row>
    <row r="163" spans="1:18" ht="25.5" hidden="1" x14ac:dyDescent="0.2">
      <c r="A163" s="21" t="s">
        <v>4076</v>
      </c>
      <c r="B163" s="8" t="s">
        <v>4075</v>
      </c>
      <c r="C163" s="8" t="s">
        <v>40</v>
      </c>
      <c r="D163" s="8" t="s">
        <v>74</v>
      </c>
      <c r="E163" s="8" t="s">
        <v>40</v>
      </c>
      <c r="F163" s="8" t="s">
        <v>39</v>
      </c>
      <c r="G163" s="8" t="s">
        <v>280</v>
      </c>
      <c r="H163" s="8" t="s">
        <v>37</v>
      </c>
      <c r="I163" s="8" t="s">
        <v>53</v>
      </c>
      <c r="J163" s="8" t="s">
        <v>279</v>
      </c>
      <c r="K163" s="8" t="s">
        <v>4074</v>
      </c>
      <c r="L163" s="7">
        <v>6901</v>
      </c>
      <c r="M163" s="10" t="str">
        <f t="shared" si="12"/>
        <v>CMI02170300</v>
      </c>
      <c r="N163" s="10" t="str">
        <f t="shared" si="13"/>
        <v>MER391200</v>
      </c>
      <c r="O163" s="10" t="str">
        <f t="shared" si="14"/>
        <v>E</v>
      </c>
      <c r="P163" s="10" t="str">
        <f t="shared" si="15"/>
        <v>50</v>
      </c>
      <c r="Q163" s="10" t="str">
        <f t="shared" si="16"/>
        <v>ZMER</v>
      </c>
      <c r="R163" s="10" t="str">
        <f t="shared" si="17"/>
        <v>53102516</v>
      </c>
    </row>
    <row r="164" spans="1:18" ht="25.5" hidden="1" x14ac:dyDescent="0.2">
      <c r="A164" s="21" t="s">
        <v>4073</v>
      </c>
      <c r="B164" s="8" t="s">
        <v>4072</v>
      </c>
      <c r="C164" s="8" t="s">
        <v>40</v>
      </c>
      <c r="D164" s="8" t="s">
        <v>2274</v>
      </c>
      <c r="E164" s="8" t="s">
        <v>40</v>
      </c>
      <c r="F164" s="8" t="s">
        <v>39</v>
      </c>
      <c r="G164" s="8" t="s">
        <v>2349</v>
      </c>
      <c r="H164" s="8" t="s">
        <v>37</v>
      </c>
      <c r="I164" s="8" t="s">
        <v>53</v>
      </c>
      <c r="J164" s="8" t="s">
        <v>279</v>
      </c>
      <c r="K164" s="8" t="s">
        <v>4071</v>
      </c>
      <c r="L164" s="7">
        <v>6902</v>
      </c>
      <c r="M164" s="10" t="str">
        <f t="shared" si="12"/>
        <v>CMI02040400</v>
      </c>
      <c r="N164" s="10" t="str">
        <f t="shared" si="13"/>
        <v>MER391100</v>
      </c>
      <c r="O164" s="10" t="str">
        <f t="shared" si="14"/>
        <v>E</v>
      </c>
      <c r="P164" s="10" t="str">
        <f t="shared" si="15"/>
        <v>50</v>
      </c>
      <c r="Q164" s="10" t="str">
        <f t="shared" si="16"/>
        <v>ZMER</v>
      </c>
      <c r="R164" s="10" t="str">
        <f t="shared" si="17"/>
        <v>14111608</v>
      </c>
    </row>
    <row r="165" spans="1:18" ht="25.5" hidden="1" x14ac:dyDescent="0.2">
      <c r="A165" s="21" t="s">
        <v>4070</v>
      </c>
      <c r="B165" s="8" t="s">
        <v>4069</v>
      </c>
      <c r="C165" s="8" t="s">
        <v>40</v>
      </c>
      <c r="D165" s="8" t="s">
        <v>74</v>
      </c>
      <c r="E165" s="8" t="s">
        <v>40</v>
      </c>
      <c r="F165" s="8" t="s">
        <v>39</v>
      </c>
      <c r="G165" s="8" t="s">
        <v>2349</v>
      </c>
      <c r="H165" s="8" t="s">
        <v>37</v>
      </c>
      <c r="I165" s="8" t="s">
        <v>53</v>
      </c>
      <c r="J165" s="8" t="s">
        <v>279</v>
      </c>
      <c r="K165" s="8" t="s">
        <v>4068</v>
      </c>
      <c r="L165" s="7">
        <v>6903</v>
      </c>
      <c r="M165" s="10" t="str">
        <f t="shared" si="12"/>
        <v>CMI02170300</v>
      </c>
      <c r="N165" s="10" t="str">
        <f t="shared" si="13"/>
        <v>MER391100</v>
      </c>
      <c r="O165" s="10" t="str">
        <f t="shared" si="14"/>
        <v>E</v>
      </c>
      <c r="P165" s="10" t="str">
        <f t="shared" si="15"/>
        <v>50</v>
      </c>
      <c r="Q165" s="10" t="str">
        <f t="shared" si="16"/>
        <v>ZMER</v>
      </c>
      <c r="R165" s="10" t="str">
        <f t="shared" si="17"/>
        <v>60141000</v>
      </c>
    </row>
    <row r="166" spans="1:18" ht="25.5" hidden="1" x14ac:dyDescent="0.2">
      <c r="A166" s="22" t="s">
        <v>4067</v>
      </c>
      <c r="B166" s="8" t="s">
        <v>4066</v>
      </c>
      <c r="C166" s="8" t="s">
        <v>40</v>
      </c>
      <c r="D166" s="8" t="s">
        <v>4065</v>
      </c>
      <c r="E166" s="7">
        <v>6</v>
      </c>
      <c r="F166" s="8" t="s">
        <v>39</v>
      </c>
      <c r="G166" s="8" t="s">
        <v>2349</v>
      </c>
      <c r="H166" s="8" t="s">
        <v>37</v>
      </c>
      <c r="I166" s="8" t="s">
        <v>36</v>
      </c>
      <c r="J166" s="8" t="s">
        <v>279</v>
      </c>
      <c r="K166" s="8" t="s">
        <v>4064</v>
      </c>
      <c r="L166" s="7">
        <v>6904</v>
      </c>
      <c r="M166" s="10" t="str">
        <f t="shared" si="12"/>
        <v>CMI02040300</v>
      </c>
      <c r="N166" s="10" t="str">
        <f t="shared" si="13"/>
        <v>MER391100</v>
      </c>
      <c r="O166" s="10" t="str">
        <f t="shared" si="14"/>
        <v>E</v>
      </c>
      <c r="P166" s="10" t="str">
        <f t="shared" si="15"/>
        <v>10</v>
      </c>
      <c r="Q166" s="10" t="str">
        <f t="shared" si="16"/>
        <v>ZMER</v>
      </c>
      <c r="R166" s="10" t="str">
        <f t="shared" si="17"/>
        <v>49101700</v>
      </c>
    </row>
    <row r="167" spans="1:18" ht="25.5" hidden="1" x14ac:dyDescent="0.2">
      <c r="A167" s="22" t="s">
        <v>4063</v>
      </c>
      <c r="B167" s="8" t="s">
        <v>4062</v>
      </c>
      <c r="C167" s="8" t="s">
        <v>40</v>
      </c>
      <c r="D167" s="8" t="s">
        <v>95</v>
      </c>
      <c r="E167" s="8" t="s">
        <v>40</v>
      </c>
      <c r="F167" s="8" t="s">
        <v>39</v>
      </c>
      <c r="G167" s="8" t="s">
        <v>280</v>
      </c>
      <c r="H167" s="8" t="s">
        <v>37</v>
      </c>
      <c r="I167" s="8" t="s">
        <v>53</v>
      </c>
      <c r="J167" s="8" t="s">
        <v>279</v>
      </c>
      <c r="K167" s="8" t="s">
        <v>4061</v>
      </c>
      <c r="L167" s="7">
        <v>6905</v>
      </c>
      <c r="M167" s="10" t="str">
        <f t="shared" si="12"/>
        <v>CMI02160100</v>
      </c>
      <c r="N167" s="10" t="str">
        <f t="shared" si="13"/>
        <v>MER391200</v>
      </c>
      <c r="O167" s="10" t="str">
        <f t="shared" si="14"/>
        <v>E</v>
      </c>
      <c r="P167" s="10" t="str">
        <f t="shared" si="15"/>
        <v>50</v>
      </c>
      <c r="Q167" s="10" t="str">
        <f t="shared" si="16"/>
        <v>ZMER</v>
      </c>
      <c r="R167" s="10" t="str">
        <f t="shared" si="17"/>
        <v>60100000</v>
      </c>
    </row>
    <row r="168" spans="1:18" ht="38.25" hidden="1" x14ac:dyDescent="0.2">
      <c r="A168" s="21" t="s">
        <v>4060</v>
      </c>
      <c r="B168" s="8" t="s">
        <v>4059</v>
      </c>
      <c r="C168" s="8" t="s">
        <v>40</v>
      </c>
      <c r="D168" s="8" t="s">
        <v>166</v>
      </c>
      <c r="E168" s="8" t="s">
        <v>40</v>
      </c>
      <c r="F168" s="8" t="s">
        <v>39</v>
      </c>
      <c r="G168" s="8" t="s">
        <v>280</v>
      </c>
      <c r="H168" s="8" t="s">
        <v>37</v>
      </c>
      <c r="I168" s="8" t="s">
        <v>53</v>
      </c>
      <c r="J168" s="8" t="s">
        <v>279</v>
      </c>
      <c r="K168" s="8" t="s">
        <v>4058</v>
      </c>
      <c r="L168" s="7">
        <v>6906</v>
      </c>
      <c r="M168" s="10" t="str">
        <f t="shared" si="12"/>
        <v>CMI02170200</v>
      </c>
      <c r="N168" s="10" t="str">
        <f t="shared" si="13"/>
        <v>MER391200</v>
      </c>
      <c r="O168" s="10" t="str">
        <f t="shared" si="14"/>
        <v>E</v>
      </c>
      <c r="P168" s="10" t="str">
        <f t="shared" si="15"/>
        <v>50</v>
      </c>
      <c r="Q168" s="10" t="str">
        <f t="shared" si="16"/>
        <v>ZMER</v>
      </c>
      <c r="R168" s="10" t="str">
        <f t="shared" si="17"/>
        <v>24122002</v>
      </c>
    </row>
    <row r="169" spans="1:18" ht="25.5" hidden="1" x14ac:dyDescent="0.2">
      <c r="A169" s="21" t="s">
        <v>4057</v>
      </c>
      <c r="B169" s="8" t="s">
        <v>4056</v>
      </c>
      <c r="C169" s="8" t="s">
        <v>40</v>
      </c>
      <c r="D169" s="8" t="s">
        <v>74</v>
      </c>
      <c r="E169" s="8" t="s">
        <v>40</v>
      </c>
      <c r="F169" s="8" t="s">
        <v>39</v>
      </c>
      <c r="G169" s="8" t="s">
        <v>280</v>
      </c>
      <c r="H169" s="8" t="s">
        <v>37</v>
      </c>
      <c r="I169" s="8" t="s">
        <v>53</v>
      </c>
      <c r="J169" s="8" t="s">
        <v>279</v>
      </c>
      <c r="K169" s="8" t="s">
        <v>4055</v>
      </c>
      <c r="L169" s="7">
        <v>6907</v>
      </c>
      <c r="M169" s="10" t="str">
        <f t="shared" si="12"/>
        <v>CMI02170300</v>
      </c>
      <c r="N169" s="10" t="str">
        <f t="shared" si="13"/>
        <v>MER391200</v>
      </c>
      <c r="O169" s="10" t="str">
        <f t="shared" si="14"/>
        <v>E</v>
      </c>
      <c r="P169" s="10" t="str">
        <f t="shared" si="15"/>
        <v>50</v>
      </c>
      <c r="Q169" s="10" t="str">
        <f t="shared" si="16"/>
        <v>ZMER</v>
      </c>
      <c r="R169" s="10" t="str">
        <f t="shared" si="17"/>
        <v>46171515</v>
      </c>
    </row>
    <row r="170" spans="1:18" ht="25.5" hidden="1" x14ac:dyDescent="0.2">
      <c r="A170" s="21" t="s">
        <v>4054</v>
      </c>
      <c r="B170" s="8" t="s">
        <v>4053</v>
      </c>
      <c r="C170" s="8" t="s">
        <v>40</v>
      </c>
      <c r="D170" s="8" t="s">
        <v>2274</v>
      </c>
      <c r="E170" s="8" t="s">
        <v>40</v>
      </c>
      <c r="F170" s="8" t="s">
        <v>39</v>
      </c>
      <c r="G170" s="8" t="s">
        <v>280</v>
      </c>
      <c r="H170" s="8" t="s">
        <v>37</v>
      </c>
      <c r="I170" s="8" t="s">
        <v>53</v>
      </c>
      <c r="J170" s="8" t="s">
        <v>279</v>
      </c>
      <c r="K170" s="8" t="s">
        <v>4052</v>
      </c>
      <c r="L170" s="7">
        <v>6908</v>
      </c>
      <c r="M170" s="10" t="str">
        <f t="shared" si="12"/>
        <v>CMI02040400</v>
      </c>
      <c r="N170" s="10" t="str">
        <f t="shared" si="13"/>
        <v>MER391200</v>
      </c>
      <c r="O170" s="10" t="str">
        <f t="shared" si="14"/>
        <v>E</v>
      </c>
      <c r="P170" s="10" t="str">
        <f t="shared" si="15"/>
        <v>50</v>
      </c>
      <c r="Q170" s="10" t="str">
        <f t="shared" si="16"/>
        <v>ZMER</v>
      </c>
      <c r="R170" s="10" t="str">
        <f t="shared" si="17"/>
        <v>60141019</v>
      </c>
    </row>
    <row r="171" spans="1:18" ht="25.5" hidden="1" x14ac:dyDescent="0.2">
      <c r="A171" s="21" t="s">
        <v>4051</v>
      </c>
      <c r="B171" s="8" t="s">
        <v>4050</v>
      </c>
      <c r="C171" s="8" t="s">
        <v>40</v>
      </c>
      <c r="D171" s="8" t="s">
        <v>2274</v>
      </c>
      <c r="E171" s="8" t="s">
        <v>40</v>
      </c>
      <c r="F171" s="8" t="s">
        <v>39</v>
      </c>
      <c r="G171" s="8" t="s">
        <v>2349</v>
      </c>
      <c r="H171" s="8" t="s">
        <v>37</v>
      </c>
      <c r="I171" s="8" t="s">
        <v>53</v>
      </c>
      <c r="J171" s="8" t="s">
        <v>279</v>
      </c>
      <c r="K171" s="8" t="s">
        <v>4049</v>
      </c>
      <c r="L171" s="7">
        <v>6909</v>
      </c>
      <c r="M171" s="10" t="str">
        <f t="shared" si="12"/>
        <v>CMI02040400</v>
      </c>
      <c r="N171" s="10" t="str">
        <f t="shared" si="13"/>
        <v>MER391100</v>
      </c>
      <c r="O171" s="10" t="str">
        <f t="shared" si="14"/>
        <v>E</v>
      </c>
      <c r="P171" s="10" t="str">
        <f t="shared" si="15"/>
        <v>50</v>
      </c>
      <c r="Q171" s="10" t="str">
        <f t="shared" si="16"/>
        <v>ZMER</v>
      </c>
      <c r="R171" s="10" t="str">
        <f t="shared" si="17"/>
        <v>82121512</v>
      </c>
    </row>
    <row r="172" spans="1:18" ht="38.25" hidden="1" x14ac:dyDescent="0.2">
      <c r="A172" s="21" t="s">
        <v>4048</v>
      </c>
      <c r="B172" s="8" t="s">
        <v>4047</v>
      </c>
      <c r="C172" s="8" t="s">
        <v>40</v>
      </c>
      <c r="D172" s="8" t="s">
        <v>4043</v>
      </c>
      <c r="E172" s="8" t="s">
        <v>40</v>
      </c>
      <c r="F172" s="8" t="s">
        <v>39</v>
      </c>
      <c r="G172" s="8" t="s">
        <v>2349</v>
      </c>
      <c r="H172" s="8" t="s">
        <v>37</v>
      </c>
      <c r="I172" s="8" t="s">
        <v>53</v>
      </c>
      <c r="J172" s="8" t="s">
        <v>279</v>
      </c>
      <c r="K172" s="8" t="s">
        <v>4046</v>
      </c>
      <c r="L172" s="7">
        <v>6910</v>
      </c>
      <c r="M172" s="10" t="str">
        <f t="shared" si="12"/>
        <v>CMI02060600</v>
      </c>
      <c r="N172" s="10" t="str">
        <f t="shared" si="13"/>
        <v>MER391100</v>
      </c>
      <c r="O172" s="10" t="str">
        <f t="shared" si="14"/>
        <v>E</v>
      </c>
      <c r="P172" s="10" t="str">
        <f t="shared" si="15"/>
        <v>50</v>
      </c>
      <c r="Q172" s="10" t="str">
        <f t="shared" si="16"/>
        <v>ZMER</v>
      </c>
      <c r="R172" s="10" t="str">
        <f t="shared" si="17"/>
        <v>50192401</v>
      </c>
    </row>
    <row r="173" spans="1:18" ht="25.5" hidden="1" x14ac:dyDescent="0.2">
      <c r="A173" s="21" t="s">
        <v>4045</v>
      </c>
      <c r="B173" s="8" t="s">
        <v>4044</v>
      </c>
      <c r="C173" s="8" t="s">
        <v>40</v>
      </c>
      <c r="D173" s="8" t="s">
        <v>4043</v>
      </c>
      <c r="E173" s="8" t="s">
        <v>40</v>
      </c>
      <c r="F173" s="8" t="s">
        <v>39</v>
      </c>
      <c r="G173" s="8" t="s">
        <v>2349</v>
      </c>
      <c r="H173" s="8" t="s">
        <v>37</v>
      </c>
      <c r="I173" s="8" t="s">
        <v>53</v>
      </c>
      <c r="J173" s="8" t="s">
        <v>279</v>
      </c>
      <c r="K173" s="8" t="s">
        <v>4042</v>
      </c>
      <c r="L173" s="7">
        <v>6911</v>
      </c>
      <c r="M173" s="10" t="str">
        <f t="shared" si="12"/>
        <v>CMI02060600</v>
      </c>
      <c r="N173" s="10" t="str">
        <f t="shared" si="13"/>
        <v>MER391100</v>
      </c>
      <c r="O173" s="10" t="str">
        <f t="shared" si="14"/>
        <v>E</v>
      </c>
      <c r="P173" s="10" t="str">
        <f t="shared" si="15"/>
        <v>50</v>
      </c>
      <c r="Q173" s="10" t="str">
        <f t="shared" si="16"/>
        <v>ZMER</v>
      </c>
      <c r="R173" s="10" t="str">
        <f t="shared" si="17"/>
        <v>50171904</v>
      </c>
    </row>
    <row r="174" spans="1:18" ht="38.25" hidden="1" x14ac:dyDescent="0.2">
      <c r="A174" s="21" t="s">
        <v>4041</v>
      </c>
      <c r="B174" s="8" t="s">
        <v>4040</v>
      </c>
      <c r="C174" s="8" t="s">
        <v>40</v>
      </c>
      <c r="D174" s="8" t="s">
        <v>74</v>
      </c>
      <c r="E174" s="8" t="s">
        <v>40</v>
      </c>
      <c r="F174" s="8" t="s">
        <v>39</v>
      </c>
      <c r="G174" s="8" t="s">
        <v>2349</v>
      </c>
      <c r="H174" s="8" t="s">
        <v>37</v>
      </c>
      <c r="I174" s="8" t="s">
        <v>53</v>
      </c>
      <c r="J174" s="8" t="s">
        <v>279</v>
      </c>
      <c r="K174" s="8" t="s">
        <v>4039</v>
      </c>
      <c r="L174" s="7">
        <v>6912</v>
      </c>
      <c r="M174" s="10" t="str">
        <f t="shared" si="12"/>
        <v>CMI02170300</v>
      </c>
      <c r="N174" s="10" t="str">
        <f t="shared" si="13"/>
        <v>MER391100</v>
      </c>
      <c r="O174" s="10" t="str">
        <f t="shared" si="14"/>
        <v>E</v>
      </c>
      <c r="P174" s="10" t="str">
        <f t="shared" si="15"/>
        <v>50</v>
      </c>
      <c r="Q174" s="10" t="str">
        <f t="shared" si="16"/>
        <v>ZMER</v>
      </c>
      <c r="R174" s="10" t="str">
        <f t="shared" si="17"/>
        <v>50181900</v>
      </c>
    </row>
    <row r="175" spans="1:18" ht="25.5" hidden="1" x14ac:dyDescent="0.2">
      <c r="A175" s="21" t="s">
        <v>4038</v>
      </c>
      <c r="B175" s="8" t="s">
        <v>4037</v>
      </c>
      <c r="C175" s="8" t="s">
        <v>40</v>
      </c>
      <c r="D175" s="8" t="s">
        <v>74</v>
      </c>
      <c r="E175" s="8" t="s">
        <v>40</v>
      </c>
      <c r="F175" s="8" t="s">
        <v>39</v>
      </c>
      <c r="G175" s="8" t="s">
        <v>2349</v>
      </c>
      <c r="H175" s="8" t="s">
        <v>37</v>
      </c>
      <c r="I175" s="8" t="s">
        <v>53</v>
      </c>
      <c r="J175" s="8" t="s">
        <v>279</v>
      </c>
      <c r="K175" s="8" t="s">
        <v>396</v>
      </c>
      <c r="L175" s="7">
        <v>6913</v>
      </c>
      <c r="M175" s="10" t="str">
        <f t="shared" si="12"/>
        <v>CMI02170300</v>
      </c>
      <c r="N175" s="10" t="str">
        <f t="shared" si="13"/>
        <v>MER391100</v>
      </c>
      <c r="O175" s="10" t="str">
        <f t="shared" si="14"/>
        <v>E</v>
      </c>
      <c r="P175" s="10" t="str">
        <f t="shared" si="15"/>
        <v>50</v>
      </c>
      <c r="Q175" s="10" t="str">
        <f t="shared" si="16"/>
        <v>ZMER</v>
      </c>
      <c r="R175" s="10" t="str">
        <f t="shared" si="17"/>
        <v>50171550</v>
      </c>
    </row>
    <row r="176" spans="1:18" ht="38.25" hidden="1" x14ac:dyDescent="0.2">
      <c r="A176" s="21" t="s">
        <v>4036</v>
      </c>
      <c r="B176" s="8" t="s">
        <v>4035</v>
      </c>
      <c r="C176" s="8" t="s">
        <v>40</v>
      </c>
      <c r="D176" s="8" t="s">
        <v>275</v>
      </c>
      <c r="E176" s="8" t="s">
        <v>40</v>
      </c>
      <c r="F176" s="8" t="s">
        <v>39</v>
      </c>
      <c r="G176" s="8" t="s">
        <v>69</v>
      </c>
      <c r="H176" s="8" t="s">
        <v>37</v>
      </c>
      <c r="I176" s="8" t="s">
        <v>36</v>
      </c>
      <c r="J176" s="8" t="s">
        <v>68</v>
      </c>
      <c r="K176" s="8" t="s">
        <v>4034</v>
      </c>
      <c r="L176" s="7">
        <v>6914</v>
      </c>
      <c r="M176" s="10" t="str">
        <f t="shared" si="12"/>
        <v>CMI01030300</v>
      </c>
      <c r="N176" s="10" t="str">
        <f t="shared" si="13"/>
        <v>MOB361000</v>
      </c>
      <c r="O176" s="10" t="str">
        <f t="shared" si="14"/>
        <v>E</v>
      </c>
      <c r="P176" s="10" t="str">
        <f t="shared" si="15"/>
        <v>10</v>
      </c>
      <c r="Q176" s="10" t="str">
        <f t="shared" si="16"/>
        <v>ZMOB</v>
      </c>
      <c r="R176" s="10" t="str">
        <f t="shared" si="17"/>
        <v>24112406</v>
      </c>
    </row>
    <row r="177" spans="1:18" ht="25.5" hidden="1" x14ac:dyDescent="0.2">
      <c r="A177" s="21" t="s">
        <v>4033</v>
      </c>
      <c r="B177" s="8" t="s">
        <v>4032</v>
      </c>
      <c r="C177" s="8" t="s">
        <v>40</v>
      </c>
      <c r="D177" s="8" t="s">
        <v>78</v>
      </c>
      <c r="E177" s="8" t="s">
        <v>40</v>
      </c>
      <c r="F177" s="8" t="s">
        <v>39</v>
      </c>
      <c r="G177" s="8" t="s">
        <v>69</v>
      </c>
      <c r="H177" s="8" t="s">
        <v>37</v>
      </c>
      <c r="I177" s="8" t="s">
        <v>53</v>
      </c>
      <c r="J177" s="8" t="s">
        <v>68</v>
      </c>
      <c r="K177" s="8" t="s">
        <v>2825</v>
      </c>
      <c r="L177" s="7">
        <v>6915</v>
      </c>
      <c r="M177" s="10" t="str">
        <f t="shared" si="12"/>
        <v>CMI02090400</v>
      </c>
      <c r="N177" s="10" t="str">
        <f t="shared" si="13"/>
        <v>MOB361000</v>
      </c>
      <c r="O177" s="10" t="str">
        <f t="shared" si="14"/>
        <v>E</v>
      </c>
      <c r="P177" s="10" t="str">
        <f t="shared" si="15"/>
        <v>50</v>
      </c>
      <c r="Q177" s="10" t="str">
        <f t="shared" si="16"/>
        <v>ZMOB</v>
      </c>
      <c r="R177" s="10" t="str">
        <f t="shared" si="17"/>
        <v>39121103</v>
      </c>
    </row>
    <row r="178" spans="1:18" ht="38.25" hidden="1" x14ac:dyDescent="0.2">
      <c r="A178" s="21" t="s">
        <v>4031</v>
      </c>
      <c r="B178" s="8" t="s">
        <v>4030</v>
      </c>
      <c r="C178" s="8" t="s">
        <v>40</v>
      </c>
      <c r="D178" s="8" t="s">
        <v>275</v>
      </c>
      <c r="E178" s="7">
        <v>6</v>
      </c>
      <c r="F178" s="8" t="s">
        <v>39</v>
      </c>
      <c r="G178" s="8" t="s">
        <v>69</v>
      </c>
      <c r="H178" s="8" t="s">
        <v>37</v>
      </c>
      <c r="I178" s="8" t="s">
        <v>36</v>
      </c>
      <c r="J178" s="8" t="s">
        <v>68</v>
      </c>
      <c r="K178" s="8" t="s">
        <v>4029</v>
      </c>
      <c r="L178" s="7">
        <v>6916</v>
      </c>
      <c r="M178" s="10" t="str">
        <f t="shared" si="12"/>
        <v>CMI01030300</v>
      </c>
      <c r="N178" s="10" t="str">
        <f t="shared" si="13"/>
        <v>MOB361000</v>
      </c>
      <c r="O178" s="10" t="str">
        <f t="shared" si="14"/>
        <v>E</v>
      </c>
      <c r="P178" s="10" t="str">
        <f t="shared" si="15"/>
        <v>10</v>
      </c>
      <c r="Q178" s="10" t="str">
        <f t="shared" si="16"/>
        <v>ZMOB</v>
      </c>
      <c r="R178" s="10" t="str">
        <f t="shared" si="17"/>
        <v>56101530</v>
      </c>
    </row>
    <row r="179" spans="1:18" ht="38.25" hidden="1" x14ac:dyDescent="0.2">
      <c r="A179" s="21" t="s">
        <v>4028</v>
      </c>
      <c r="B179" s="8" t="s">
        <v>4027</v>
      </c>
      <c r="C179" s="8" t="s">
        <v>40</v>
      </c>
      <c r="D179" s="8" t="s">
        <v>166</v>
      </c>
      <c r="E179" s="8" t="s">
        <v>40</v>
      </c>
      <c r="F179" s="8" t="s">
        <v>39</v>
      </c>
      <c r="G179" s="8" t="s">
        <v>69</v>
      </c>
      <c r="H179" s="8" t="s">
        <v>37</v>
      </c>
      <c r="I179" s="8" t="s">
        <v>53</v>
      </c>
      <c r="J179" s="8" t="s">
        <v>68</v>
      </c>
      <c r="K179" s="8" t="s">
        <v>2294</v>
      </c>
      <c r="L179" s="7">
        <v>6917</v>
      </c>
      <c r="M179" s="10" t="str">
        <f t="shared" si="12"/>
        <v>CMI02170200</v>
      </c>
      <c r="N179" s="10" t="str">
        <f t="shared" si="13"/>
        <v>MOB361000</v>
      </c>
      <c r="O179" s="10" t="str">
        <f t="shared" si="14"/>
        <v>E</v>
      </c>
      <c r="P179" s="10" t="str">
        <f t="shared" si="15"/>
        <v>50</v>
      </c>
      <c r="Q179" s="10" t="str">
        <f t="shared" si="16"/>
        <v>ZMOB</v>
      </c>
      <c r="R179" s="10" t="str">
        <f t="shared" si="17"/>
        <v>56101519</v>
      </c>
    </row>
    <row r="180" spans="1:18" ht="25.5" hidden="1" x14ac:dyDescent="0.2">
      <c r="A180" s="21" t="s">
        <v>4026</v>
      </c>
      <c r="B180" s="8" t="s">
        <v>4025</v>
      </c>
      <c r="C180" s="8" t="s">
        <v>40</v>
      </c>
      <c r="D180" s="8" t="s">
        <v>363</v>
      </c>
      <c r="E180" s="8" t="s">
        <v>40</v>
      </c>
      <c r="F180" s="8" t="s">
        <v>39</v>
      </c>
      <c r="G180" s="8" t="s">
        <v>69</v>
      </c>
      <c r="H180" s="8" t="s">
        <v>37</v>
      </c>
      <c r="I180" s="8" t="s">
        <v>53</v>
      </c>
      <c r="J180" s="8" t="s">
        <v>68</v>
      </c>
      <c r="K180" s="8" t="s">
        <v>4024</v>
      </c>
      <c r="L180" s="7">
        <v>6918</v>
      </c>
      <c r="M180" s="10" t="str">
        <f t="shared" si="12"/>
        <v>CMI02051300</v>
      </c>
      <c r="N180" s="10" t="str">
        <f t="shared" si="13"/>
        <v>MOB361000</v>
      </c>
      <c r="O180" s="10" t="str">
        <f t="shared" si="14"/>
        <v>E</v>
      </c>
      <c r="P180" s="10" t="str">
        <f t="shared" si="15"/>
        <v>50</v>
      </c>
      <c r="Q180" s="10" t="str">
        <f t="shared" si="16"/>
        <v>ZMOB</v>
      </c>
      <c r="R180" s="10" t="str">
        <f t="shared" si="17"/>
        <v>30241601</v>
      </c>
    </row>
    <row r="181" spans="1:18" ht="38.25" hidden="1" x14ac:dyDescent="0.2">
      <c r="A181" s="21" t="s">
        <v>4023</v>
      </c>
      <c r="B181" s="8" t="s">
        <v>4022</v>
      </c>
      <c r="C181" s="8" t="s">
        <v>40</v>
      </c>
      <c r="D181" s="8" t="s">
        <v>275</v>
      </c>
      <c r="E181" s="8" t="s">
        <v>40</v>
      </c>
      <c r="F181" s="8" t="s">
        <v>39</v>
      </c>
      <c r="G181" s="8" t="s">
        <v>69</v>
      </c>
      <c r="H181" s="8" t="s">
        <v>37</v>
      </c>
      <c r="I181" s="8" t="s">
        <v>53</v>
      </c>
      <c r="J181" s="8" t="s">
        <v>68</v>
      </c>
      <c r="K181" s="8" t="s">
        <v>4021</v>
      </c>
      <c r="L181" s="7">
        <v>6919</v>
      </c>
      <c r="M181" s="10" t="str">
        <f t="shared" si="12"/>
        <v>CMI01030300</v>
      </c>
      <c r="N181" s="10" t="str">
        <f t="shared" si="13"/>
        <v>MOB361000</v>
      </c>
      <c r="O181" s="10" t="str">
        <f t="shared" si="14"/>
        <v>E</v>
      </c>
      <c r="P181" s="10" t="str">
        <f t="shared" si="15"/>
        <v>50</v>
      </c>
      <c r="Q181" s="10" t="str">
        <f t="shared" si="16"/>
        <v>ZMOB</v>
      </c>
      <c r="R181" s="10" t="str">
        <f t="shared" si="17"/>
        <v>56101703</v>
      </c>
    </row>
    <row r="182" spans="1:18" ht="38.25" hidden="1" x14ac:dyDescent="0.2">
      <c r="A182" s="21" t="s">
        <v>4020</v>
      </c>
      <c r="B182" s="8" t="s">
        <v>4019</v>
      </c>
      <c r="C182" s="8" t="s">
        <v>40</v>
      </c>
      <c r="D182" s="8" t="s">
        <v>275</v>
      </c>
      <c r="E182" s="8" t="s">
        <v>40</v>
      </c>
      <c r="F182" s="8" t="s">
        <v>39</v>
      </c>
      <c r="G182" s="8" t="s">
        <v>69</v>
      </c>
      <c r="H182" s="8" t="s">
        <v>37</v>
      </c>
      <c r="I182" s="8" t="s">
        <v>53</v>
      </c>
      <c r="J182" s="8" t="s">
        <v>68</v>
      </c>
      <c r="K182" s="8" t="s">
        <v>4018</v>
      </c>
      <c r="L182" s="7">
        <v>6920</v>
      </c>
      <c r="M182" s="10" t="str">
        <f t="shared" si="12"/>
        <v>CMI01030300</v>
      </c>
      <c r="N182" s="10" t="str">
        <f t="shared" si="13"/>
        <v>MOB361000</v>
      </c>
      <c r="O182" s="10" t="str">
        <f t="shared" si="14"/>
        <v>E</v>
      </c>
      <c r="P182" s="10" t="str">
        <f t="shared" si="15"/>
        <v>50</v>
      </c>
      <c r="Q182" s="10" t="str">
        <f t="shared" si="16"/>
        <v>ZMOB</v>
      </c>
      <c r="R182" s="10" t="str">
        <f t="shared" si="17"/>
        <v>31331100</v>
      </c>
    </row>
    <row r="183" spans="1:18" ht="38.25" hidden="1" x14ac:dyDescent="0.2">
      <c r="A183" s="21" t="s">
        <v>4017</v>
      </c>
      <c r="B183" s="8" t="s">
        <v>4016</v>
      </c>
      <c r="C183" s="8" t="s">
        <v>40</v>
      </c>
      <c r="D183" s="8" t="s">
        <v>275</v>
      </c>
      <c r="E183" s="8" t="s">
        <v>40</v>
      </c>
      <c r="F183" s="8" t="s">
        <v>39</v>
      </c>
      <c r="G183" s="8" t="s">
        <v>3906</v>
      </c>
      <c r="H183" s="8" t="s">
        <v>37</v>
      </c>
      <c r="I183" s="8" t="s">
        <v>53</v>
      </c>
      <c r="J183" s="8" t="s">
        <v>68</v>
      </c>
      <c r="K183" s="8" t="s">
        <v>4015</v>
      </c>
      <c r="L183" s="7">
        <v>6921</v>
      </c>
      <c r="M183" s="10" t="str">
        <f t="shared" si="12"/>
        <v>CMI01030300</v>
      </c>
      <c r="N183" s="10" t="str">
        <f t="shared" si="13"/>
        <v>OFI311000</v>
      </c>
      <c r="O183" s="10" t="str">
        <f t="shared" si="14"/>
        <v>E</v>
      </c>
      <c r="P183" s="10" t="str">
        <f t="shared" si="15"/>
        <v>50</v>
      </c>
      <c r="Q183" s="10" t="str">
        <f t="shared" si="16"/>
        <v>ZMOB</v>
      </c>
      <c r="R183" s="10" t="str">
        <f t="shared" si="17"/>
        <v>52141501</v>
      </c>
    </row>
    <row r="184" spans="1:18" ht="38.25" hidden="1" x14ac:dyDescent="0.2">
      <c r="A184" s="21" t="s">
        <v>4014</v>
      </c>
      <c r="B184" s="8" t="s">
        <v>4013</v>
      </c>
      <c r="C184" s="8" t="s">
        <v>40</v>
      </c>
      <c r="D184" s="8" t="s">
        <v>275</v>
      </c>
      <c r="E184" s="8" t="s">
        <v>40</v>
      </c>
      <c r="F184" s="8" t="s">
        <v>39</v>
      </c>
      <c r="G184" s="8" t="s">
        <v>69</v>
      </c>
      <c r="H184" s="8" t="s">
        <v>37</v>
      </c>
      <c r="I184" s="8" t="s">
        <v>53</v>
      </c>
      <c r="J184" s="8" t="s">
        <v>68</v>
      </c>
      <c r="K184" s="8" t="s">
        <v>4012</v>
      </c>
      <c r="L184" s="7">
        <v>6922</v>
      </c>
      <c r="M184" s="10" t="str">
        <f t="shared" si="12"/>
        <v>CMI01030300</v>
      </c>
      <c r="N184" s="10" t="str">
        <f t="shared" si="13"/>
        <v>MOB361000</v>
      </c>
      <c r="O184" s="10" t="str">
        <f t="shared" si="14"/>
        <v>E</v>
      </c>
      <c r="P184" s="10" t="str">
        <f t="shared" si="15"/>
        <v>50</v>
      </c>
      <c r="Q184" s="10" t="str">
        <f t="shared" si="16"/>
        <v>ZMOB</v>
      </c>
      <c r="R184" s="10" t="str">
        <f t="shared" si="17"/>
        <v>56101700</v>
      </c>
    </row>
    <row r="185" spans="1:18" ht="38.25" hidden="1" x14ac:dyDescent="0.2">
      <c r="A185" s="21" t="s">
        <v>4011</v>
      </c>
      <c r="B185" s="8" t="s">
        <v>4010</v>
      </c>
      <c r="C185" s="8" t="s">
        <v>40</v>
      </c>
      <c r="D185" s="8" t="s">
        <v>275</v>
      </c>
      <c r="E185" s="8" t="s">
        <v>40</v>
      </c>
      <c r="F185" s="8" t="s">
        <v>39</v>
      </c>
      <c r="G185" s="8" t="s">
        <v>69</v>
      </c>
      <c r="H185" s="8" t="s">
        <v>37</v>
      </c>
      <c r="I185" s="8" t="s">
        <v>53</v>
      </c>
      <c r="J185" s="8" t="s">
        <v>68</v>
      </c>
      <c r="K185" s="8" t="s">
        <v>4009</v>
      </c>
      <c r="L185" s="7">
        <v>6923</v>
      </c>
      <c r="M185" s="10" t="str">
        <f t="shared" si="12"/>
        <v>CMI01030300</v>
      </c>
      <c r="N185" s="10" t="str">
        <f t="shared" si="13"/>
        <v>MOB361000</v>
      </c>
      <c r="O185" s="10" t="str">
        <f t="shared" si="14"/>
        <v>E</v>
      </c>
      <c r="P185" s="10" t="str">
        <f t="shared" si="15"/>
        <v>50</v>
      </c>
      <c r="Q185" s="10" t="str">
        <f t="shared" si="16"/>
        <v>ZMOB</v>
      </c>
      <c r="R185" s="10" t="str">
        <f t="shared" si="17"/>
        <v>56101706</v>
      </c>
    </row>
    <row r="186" spans="1:18" ht="38.25" hidden="1" x14ac:dyDescent="0.2">
      <c r="A186" s="21" t="s">
        <v>4008</v>
      </c>
      <c r="B186" s="8" t="s">
        <v>4007</v>
      </c>
      <c r="C186" s="8" t="s">
        <v>40</v>
      </c>
      <c r="D186" s="8" t="s">
        <v>275</v>
      </c>
      <c r="E186" s="8" t="s">
        <v>40</v>
      </c>
      <c r="F186" s="8" t="s">
        <v>39</v>
      </c>
      <c r="G186" s="8" t="s">
        <v>69</v>
      </c>
      <c r="H186" s="8" t="s">
        <v>37</v>
      </c>
      <c r="I186" s="8" t="s">
        <v>36</v>
      </c>
      <c r="J186" s="8" t="s">
        <v>68</v>
      </c>
      <c r="K186" s="8" t="s">
        <v>4006</v>
      </c>
      <c r="L186" s="7">
        <v>6924</v>
      </c>
      <c r="M186" s="10" t="str">
        <f t="shared" si="12"/>
        <v>CMI01030300</v>
      </c>
      <c r="N186" s="10" t="str">
        <f t="shared" si="13"/>
        <v>MOB361000</v>
      </c>
      <c r="O186" s="10" t="str">
        <f t="shared" si="14"/>
        <v>E</v>
      </c>
      <c r="P186" s="10" t="str">
        <f t="shared" si="15"/>
        <v>10</v>
      </c>
      <c r="Q186" s="10" t="str">
        <f t="shared" si="16"/>
        <v>ZMOB</v>
      </c>
      <c r="R186" s="10" t="str">
        <f t="shared" si="17"/>
        <v>56101504</v>
      </c>
    </row>
    <row r="187" spans="1:18" ht="25.5" hidden="1" x14ac:dyDescent="0.2">
      <c r="A187" s="21" t="s">
        <v>4005</v>
      </c>
      <c r="B187" s="8" t="s">
        <v>4004</v>
      </c>
      <c r="C187" s="8" t="s">
        <v>40</v>
      </c>
      <c r="D187" s="8" t="s">
        <v>70</v>
      </c>
      <c r="E187" s="8" t="s">
        <v>40</v>
      </c>
      <c r="F187" s="8" t="s">
        <v>39</v>
      </c>
      <c r="G187" s="8" t="s">
        <v>69</v>
      </c>
      <c r="H187" s="8" t="s">
        <v>37</v>
      </c>
      <c r="I187" s="8" t="s">
        <v>53</v>
      </c>
      <c r="J187" s="8" t="s">
        <v>68</v>
      </c>
      <c r="K187" s="8" t="s">
        <v>4003</v>
      </c>
      <c r="L187" s="7">
        <v>6925</v>
      </c>
      <c r="M187" s="10" t="str">
        <f t="shared" si="12"/>
        <v>CMI01030400</v>
      </c>
      <c r="N187" s="10" t="str">
        <f t="shared" si="13"/>
        <v>MOB361000</v>
      </c>
      <c r="O187" s="10" t="str">
        <f t="shared" si="14"/>
        <v>E</v>
      </c>
      <c r="P187" s="10" t="str">
        <f t="shared" si="15"/>
        <v>50</v>
      </c>
      <c r="Q187" s="10" t="str">
        <f t="shared" si="16"/>
        <v>ZMOB</v>
      </c>
      <c r="R187" s="10" t="str">
        <f t="shared" si="17"/>
        <v>56101502</v>
      </c>
    </row>
    <row r="188" spans="1:18" ht="38.25" hidden="1" x14ac:dyDescent="0.2">
      <c r="A188" s="21" t="s">
        <v>4002</v>
      </c>
      <c r="B188" s="8" t="s">
        <v>4001</v>
      </c>
      <c r="C188" s="8" t="s">
        <v>40</v>
      </c>
      <c r="D188" s="8" t="s">
        <v>275</v>
      </c>
      <c r="E188" s="8" t="s">
        <v>40</v>
      </c>
      <c r="F188" s="8" t="s">
        <v>39</v>
      </c>
      <c r="G188" s="8" t="s">
        <v>69</v>
      </c>
      <c r="H188" s="8" t="s">
        <v>37</v>
      </c>
      <c r="I188" s="8" t="s">
        <v>53</v>
      </c>
      <c r="J188" s="8" t="s">
        <v>68</v>
      </c>
      <c r="K188" s="8" t="s">
        <v>4000</v>
      </c>
      <c r="L188" s="7">
        <v>6926</v>
      </c>
      <c r="M188" s="10" t="str">
        <f t="shared" si="12"/>
        <v>CMI01030300</v>
      </c>
      <c r="N188" s="10" t="str">
        <f t="shared" si="13"/>
        <v>MOB361000</v>
      </c>
      <c r="O188" s="10" t="str">
        <f t="shared" si="14"/>
        <v>E</v>
      </c>
      <c r="P188" s="10" t="str">
        <f t="shared" si="15"/>
        <v>50</v>
      </c>
      <c r="Q188" s="10" t="str">
        <f t="shared" si="16"/>
        <v>ZMOB</v>
      </c>
      <c r="R188" s="10" t="str">
        <f t="shared" si="17"/>
        <v>56112103</v>
      </c>
    </row>
    <row r="189" spans="1:18" ht="38.25" hidden="1" x14ac:dyDescent="0.2">
      <c r="A189" s="21" t="s">
        <v>3999</v>
      </c>
      <c r="B189" s="8" t="s">
        <v>3998</v>
      </c>
      <c r="C189" s="8" t="s">
        <v>40</v>
      </c>
      <c r="D189" s="8" t="s">
        <v>275</v>
      </c>
      <c r="E189" s="8" t="s">
        <v>40</v>
      </c>
      <c r="F189" s="8" t="s">
        <v>39</v>
      </c>
      <c r="G189" s="8" t="s">
        <v>69</v>
      </c>
      <c r="H189" s="8" t="s">
        <v>37</v>
      </c>
      <c r="I189" s="8" t="s">
        <v>53</v>
      </c>
      <c r="J189" s="8" t="s">
        <v>68</v>
      </c>
      <c r="K189" s="8" t="s">
        <v>2294</v>
      </c>
      <c r="L189" s="7">
        <v>6927</v>
      </c>
      <c r="M189" s="10" t="str">
        <f t="shared" si="12"/>
        <v>CMI01030300</v>
      </c>
      <c r="N189" s="10" t="str">
        <f t="shared" si="13"/>
        <v>MOB361000</v>
      </c>
      <c r="O189" s="10" t="str">
        <f t="shared" si="14"/>
        <v>E</v>
      </c>
      <c r="P189" s="10" t="str">
        <f t="shared" si="15"/>
        <v>50</v>
      </c>
      <c r="Q189" s="10" t="str">
        <f t="shared" si="16"/>
        <v>ZMOB</v>
      </c>
      <c r="R189" s="10" t="str">
        <f t="shared" si="17"/>
        <v>56101519</v>
      </c>
    </row>
    <row r="190" spans="1:18" ht="25.5" hidden="1" x14ac:dyDescent="0.2">
      <c r="A190" s="21" t="s">
        <v>3997</v>
      </c>
      <c r="B190" s="8" t="s">
        <v>3996</v>
      </c>
      <c r="C190" s="8" t="s">
        <v>40</v>
      </c>
      <c r="D190" s="8" t="s">
        <v>363</v>
      </c>
      <c r="E190" s="8" t="s">
        <v>40</v>
      </c>
      <c r="F190" s="8" t="s">
        <v>39</v>
      </c>
      <c r="G190" s="8" t="s">
        <v>69</v>
      </c>
      <c r="H190" s="8" t="s">
        <v>37</v>
      </c>
      <c r="I190" s="8" t="s">
        <v>53</v>
      </c>
      <c r="J190" s="8" t="s">
        <v>68</v>
      </c>
      <c r="K190" s="8" t="s">
        <v>3995</v>
      </c>
      <c r="L190" s="7">
        <v>6928</v>
      </c>
      <c r="M190" s="10" t="str">
        <f t="shared" si="12"/>
        <v>CMI02051300</v>
      </c>
      <c r="N190" s="10" t="str">
        <f t="shared" si="13"/>
        <v>MOB361000</v>
      </c>
      <c r="O190" s="10" t="str">
        <f t="shared" si="14"/>
        <v>E</v>
      </c>
      <c r="P190" s="10" t="str">
        <f t="shared" si="15"/>
        <v>50</v>
      </c>
      <c r="Q190" s="10" t="str">
        <f t="shared" si="16"/>
        <v>ZMOB</v>
      </c>
      <c r="R190" s="10" t="str">
        <f t="shared" si="17"/>
        <v>95131605</v>
      </c>
    </row>
    <row r="191" spans="1:18" ht="25.5" hidden="1" x14ac:dyDescent="0.2">
      <c r="A191" s="21" t="s">
        <v>3994</v>
      </c>
      <c r="B191" s="8" t="s">
        <v>3993</v>
      </c>
      <c r="C191" s="8" t="s">
        <v>40</v>
      </c>
      <c r="D191" s="8" t="s">
        <v>70</v>
      </c>
      <c r="E191" s="8" t="s">
        <v>40</v>
      </c>
      <c r="F191" s="8" t="s">
        <v>39</v>
      </c>
      <c r="G191" s="8" t="s">
        <v>69</v>
      </c>
      <c r="H191" s="8" t="s">
        <v>37</v>
      </c>
      <c r="I191" s="8" t="s">
        <v>53</v>
      </c>
      <c r="J191" s="8" t="s">
        <v>68</v>
      </c>
      <c r="K191" s="8" t="s">
        <v>2294</v>
      </c>
      <c r="L191" s="7">
        <v>6929</v>
      </c>
      <c r="M191" s="10" t="str">
        <f t="shared" si="12"/>
        <v>CMI01030400</v>
      </c>
      <c r="N191" s="10" t="str">
        <f t="shared" si="13"/>
        <v>MOB361000</v>
      </c>
      <c r="O191" s="10" t="str">
        <f t="shared" si="14"/>
        <v>E</v>
      </c>
      <c r="P191" s="10" t="str">
        <f t="shared" si="15"/>
        <v>50</v>
      </c>
      <c r="Q191" s="10" t="str">
        <f t="shared" si="16"/>
        <v>ZMOB</v>
      </c>
      <c r="R191" s="10" t="str">
        <f t="shared" si="17"/>
        <v>56101519</v>
      </c>
    </row>
    <row r="192" spans="1:18" ht="25.5" hidden="1" x14ac:dyDescent="0.2">
      <c r="A192" s="21" t="s">
        <v>3992</v>
      </c>
      <c r="B192" s="8" t="s">
        <v>3991</v>
      </c>
      <c r="C192" s="8" t="s">
        <v>40</v>
      </c>
      <c r="D192" s="8" t="s">
        <v>70</v>
      </c>
      <c r="E192" s="8" t="s">
        <v>40</v>
      </c>
      <c r="F192" s="8" t="s">
        <v>39</v>
      </c>
      <c r="G192" s="8" t="s">
        <v>69</v>
      </c>
      <c r="H192" s="8" t="s">
        <v>37</v>
      </c>
      <c r="I192" s="8" t="s">
        <v>53</v>
      </c>
      <c r="J192" s="8" t="s">
        <v>68</v>
      </c>
      <c r="K192" s="8" t="s">
        <v>3990</v>
      </c>
      <c r="L192" s="7">
        <v>6930</v>
      </c>
      <c r="M192" s="10" t="str">
        <f t="shared" si="12"/>
        <v>CMI01030400</v>
      </c>
      <c r="N192" s="10" t="str">
        <f t="shared" si="13"/>
        <v>MOB361000</v>
      </c>
      <c r="O192" s="10" t="str">
        <f t="shared" si="14"/>
        <v>E</v>
      </c>
      <c r="P192" s="10" t="str">
        <f t="shared" si="15"/>
        <v>50</v>
      </c>
      <c r="Q192" s="10" t="str">
        <f t="shared" si="16"/>
        <v>ZMOB</v>
      </c>
      <c r="R192" s="10" t="str">
        <f t="shared" si="17"/>
        <v>39111510</v>
      </c>
    </row>
    <row r="193" spans="1:18" ht="25.5" hidden="1" x14ac:dyDescent="0.2">
      <c r="A193" s="21" t="s">
        <v>3989</v>
      </c>
      <c r="B193" s="8" t="s">
        <v>3988</v>
      </c>
      <c r="C193" s="8" t="s">
        <v>40</v>
      </c>
      <c r="D193" s="8" t="s">
        <v>70</v>
      </c>
      <c r="E193" s="8" t="s">
        <v>40</v>
      </c>
      <c r="F193" s="8" t="s">
        <v>39</v>
      </c>
      <c r="G193" s="8" t="s">
        <v>69</v>
      </c>
      <c r="H193" s="8" t="s">
        <v>37</v>
      </c>
      <c r="I193" s="8" t="s">
        <v>53</v>
      </c>
      <c r="J193" s="8" t="s">
        <v>68</v>
      </c>
      <c r="K193" s="8" t="s">
        <v>3987</v>
      </c>
      <c r="L193" s="7">
        <v>6931</v>
      </c>
      <c r="M193" s="10" t="str">
        <f t="shared" si="12"/>
        <v>CMI01030400</v>
      </c>
      <c r="N193" s="10" t="str">
        <f t="shared" si="13"/>
        <v>MOB361000</v>
      </c>
      <c r="O193" s="10" t="str">
        <f t="shared" si="14"/>
        <v>E</v>
      </c>
      <c r="P193" s="10" t="str">
        <f t="shared" si="15"/>
        <v>50</v>
      </c>
      <c r="Q193" s="10" t="str">
        <f t="shared" si="16"/>
        <v>ZMOB</v>
      </c>
      <c r="R193" s="10" t="str">
        <f t="shared" si="17"/>
        <v>23152200</v>
      </c>
    </row>
    <row r="194" spans="1:18" ht="38.25" hidden="1" x14ac:dyDescent="0.2">
      <c r="A194" s="21" t="s">
        <v>3986</v>
      </c>
      <c r="B194" s="8" t="s">
        <v>3985</v>
      </c>
      <c r="C194" s="8" t="s">
        <v>40</v>
      </c>
      <c r="D194" s="8" t="s">
        <v>74</v>
      </c>
      <c r="E194" s="8" t="s">
        <v>40</v>
      </c>
      <c r="F194" s="8" t="s">
        <v>39</v>
      </c>
      <c r="G194" s="8" t="s">
        <v>123</v>
      </c>
      <c r="H194" s="8" t="s">
        <v>37</v>
      </c>
      <c r="I194" s="8" t="s">
        <v>53</v>
      </c>
      <c r="J194" s="8" t="s">
        <v>68</v>
      </c>
      <c r="K194" s="8" t="s">
        <v>121</v>
      </c>
      <c r="L194" s="7">
        <v>6932</v>
      </c>
      <c r="M194" s="10" t="str">
        <f t="shared" si="12"/>
        <v>CMI02170300</v>
      </c>
      <c r="N194" s="10" t="str">
        <f t="shared" si="13"/>
        <v>EQU341000</v>
      </c>
      <c r="O194" s="10" t="str">
        <f t="shared" si="14"/>
        <v>E</v>
      </c>
      <c r="P194" s="10" t="str">
        <f t="shared" si="15"/>
        <v>50</v>
      </c>
      <c r="Q194" s="10" t="str">
        <f t="shared" si="16"/>
        <v>ZMOB</v>
      </c>
      <c r="R194" s="10" t="str">
        <f t="shared" si="17"/>
        <v>60105622</v>
      </c>
    </row>
    <row r="195" spans="1:18" ht="38.25" hidden="1" x14ac:dyDescent="0.2">
      <c r="A195" s="21" t="s">
        <v>3984</v>
      </c>
      <c r="B195" s="8" t="s">
        <v>3983</v>
      </c>
      <c r="C195" s="8" t="s">
        <v>40</v>
      </c>
      <c r="D195" s="8" t="s">
        <v>3982</v>
      </c>
      <c r="E195" s="8" t="s">
        <v>40</v>
      </c>
      <c r="F195" s="8" t="s">
        <v>39</v>
      </c>
      <c r="G195" s="8" t="s">
        <v>69</v>
      </c>
      <c r="H195" s="8" t="s">
        <v>37</v>
      </c>
      <c r="I195" s="8" t="s">
        <v>53</v>
      </c>
      <c r="J195" s="8" t="s">
        <v>68</v>
      </c>
      <c r="K195" s="8" t="s">
        <v>3981</v>
      </c>
      <c r="L195" s="7">
        <v>6933</v>
      </c>
      <c r="M195" s="10" t="str">
        <f t="shared" ref="M195:M258" si="18">+LEFT(D195,11)</f>
        <v>CMI01020400</v>
      </c>
      <c r="N195" s="10" t="str">
        <f t="shared" ref="N195:N258" si="19">+LEFT(G195,9)</f>
        <v>MOB361000</v>
      </c>
      <c r="O195" s="10" t="str">
        <f t="shared" ref="O195:O258" si="20">+LEFT(H195,1)</f>
        <v>E</v>
      </c>
      <c r="P195" s="10" t="str">
        <f t="shared" ref="P195:P258" si="21">+LEFT(I195,2)</f>
        <v>50</v>
      </c>
      <c r="Q195" s="10" t="str">
        <f t="shared" ref="Q195:Q258" si="22">+LEFT(J195,4)</f>
        <v>ZMOB</v>
      </c>
      <c r="R195" s="10" t="str">
        <f t="shared" ref="R195:R258" si="23">+LEFT(K195,8)</f>
        <v>24131600</v>
      </c>
    </row>
    <row r="196" spans="1:18" ht="25.5" hidden="1" x14ac:dyDescent="0.2">
      <c r="A196" s="21" t="s">
        <v>3980</v>
      </c>
      <c r="B196" s="8" t="s">
        <v>3979</v>
      </c>
      <c r="C196" s="8" t="s">
        <v>40</v>
      </c>
      <c r="D196" s="8" t="s">
        <v>245</v>
      </c>
      <c r="E196" s="8" t="s">
        <v>40</v>
      </c>
      <c r="F196" s="8" t="s">
        <v>39</v>
      </c>
      <c r="G196" s="8" t="s">
        <v>624</v>
      </c>
      <c r="H196" s="8" t="s">
        <v>37</v>
      </c>
      <c r="I196" s="8" t="s">
        <v>53</v>
      </c>
      <c r="J196" s="8" t="s">
        <v>3905</v>
      </c>
      <c r="K196" s="8" t="s">
        <v>3978</v>
      </c>
      <c r="L196" s="7">
        <v>6934</v>
      </c>
      <c r="M196" s="10" t="str">
        <f t="shared" si="18"/>
        <v>CMI01020300</v>
      </c>
      <c r="N196" s="10" t="str">
        <f t="shared" si="19"/>
        <v>SUM231400</v>
      </c>
      <c r="O196" s="10" t="str">
        <f t="shared" si="20"/>
        <v>E</v>
      </c>
      <c r="P196" s="10" t="str">
        <f t="shared" si="21"/>
        <v>50</v>
      </c>
      <c r="Q196" s="10" t="str">
        <f t="shared" si="22"/>
        <v>ZOFI</v>
      </c>
      <c r="R196" s="10" t="str">
        <f t="shared" si="23"/>
        <v>23151601</v>
      </c>
    </row>
    <row r="197" spans="1:18" ht="25.5" hidden="1" x14ac:dyDescent="0.2">
      <c r="A197" s="21" t="s">
        <v>3977</v>
      </c>
      <c r="B197" s="8" t="s">
        <v>3976</v>
      </c>
      <c r="C197" s="8" t="s">
        <v>40</v>
      </c>
      <c r="D197" s="8" t="s">
        <v>386</v>
      </c>
      <c r="E197" s="8" t="s">
        <v>40</v>
      </c>
      <c r="F197" s="8" t="s">
        <v>39</v>
      </c>
      <c r="G197" s="8" t="s">
        <v>3906</v>
      </c>
      <c r="H197" s="8" t="s">
        <v>37</v>
      </c>
      <c r="I197" s="8" t="s">
        <v>53</v>
      </c>
      <c r="J197" s="8" t="s">
        <v>3905</v>
      </c>
      <c r="K197" s="8" t="s">
        <v>3975</v>
      </c>
      <c r="L197" s="7">
        <v>6935</v>
      </c>
      <c r="M197" s="10" t="str">
        <f t="shared" si="18"/>
        <v>CMI02140100</v>
      </c>
      <c r="N197" s="10" t="str">
        <f t="shared" si="19"/>
        <v>OFI311000</v>
      </c>
      <c r="O197" s="10" t="str">
        <f t="shared" si="20"/>
        <v>E</v>
      </c>
      <c r="P197" s="10" t="str">
        <f t="shared" si="21"/>
        <v>50</v>
      </c>
      <c r="Q197" s="10" t="str">
        <f t="shared" si="22"/>
        <v>ZOFI</v>
      </c>
      <c r="R197" s="10" t="str">
        <f t="shared" si="23"/>
        <v>47111502</v>
      </c>
    </row>
    <row r="198" spans="1:18" ht="25.5" hidden="1" x14ac:dyDescent="0.2">
      <c r="A198" s="21" t="s">
        <v>3974</v>
      </c>
      <c r="B198" s="8" t="s">
        <v>3973</v>
      </c>
      <c r="C198" s="8" t="s">
        <v>40</v>
      </c>
      <c r="D198" s="8" t="s">
        <v>3972</v>
      </c>
      <c r="E198" s="8" t="s">
        <v>40</v>
      </c>
      <c r="F198" s="8" t="s">
        <v>39</v>
      </c>
      <c r="G198" s="8" t="s">
        <v>3906</v>
      </c>
      <c r="H198" s="8" t="s">
        <v>37</v>
      </c>
      <c r="I198" s="8" t="s">
        <v>53</v>
      </c>
      <c r="J198" s="8" t="s">
        <v>3905</v>
      </c>
      <c r="K198" s="8" t="s">
        <v>3971</v>
      </c>
      <c r="L198" s="7">
        <v>6936</v>
      </c>
      <c r="M198" s="10" t="str">
        <f t="shared" si="18"/>
        <v>CMI01020500</v>
      </c>
      <c r="N198" s="10" t="str">
        <f t="shared" si="19"/>
        <v>OFI311000</v>
      </c>
      <c r="O198" s="10" t="str">
        <f t="shared" si="20"/>
        <v>E</v>
      </c>
      <c r="P198" s="10" t="str">
        <f t="shared" si="21"/>
        <v>50</v>
      </c>
      <c r="Q198" s="10" t="str">
        <f t="shared" si="22"/>
        <v>ZOFI</v>
      </c>
      <c r="R198" s="10" t="str">
        <f t="shared" si="23"/>
        <v>52141545</v>
      </c>
    </row>
    <row r="199" spans="1:18" ht="25.5" hidden="1" x14ac:dyDescent="0.2">
      <c r="A199" s="21" t="s">
        <v>3970</v>
      </c>
      <c r="B199" s="8" t="s">
        <v>3969</v>
      </c>
      <c r="C199" s="8" t="s">
        <v>40</v>
      </c>
      <c r="D199" s="8" t="s">
        <v>78</v>
      </c>
      <c r="E199" s="8" t="s">
        <v>40</v>
      </c>
      <c r="F199" s="8" t="s">
        <v>39</v>
      </c>
      <c r="G199" s="8" t="s">
        <v>3906</v>
      </c>
      <c r="H199" s="8" t="s">
        <v>37</v>
      </c>
      <c r="I199" s="8" t="s">
        <v>53</v>
      </c>
      <c r="J199" s="8" t="s">
        <v>3905</v>
      </c>
      <c r="K199" s="8" t="s">
        <v>3968</v>
      </c>
      <c r="L199" s="7">
        <v>6937</v>
      </c>
      <c r="M199" s="10" t="str">
        <f t="shared" si="18"/>
        <v>CMI02090400</v>
      </c>
      <c r="N199" s="10" t="str">
        <f t="shared" si="19"/>
        <v>OFI311000</v>
      </c>
      <c r="O199" s="10" t="str">
        <f t="shared" si="20"/>
        <v>E</v>
      </c>
      <c r="P199" s="10" t="str">
        <f t="shared" si="21"/>
        <v>50</v>
      </c>
      <c r="Q199" s="10" t="str">
        <f t="shared" si="22"/>
        <v>ZOFI</v>
      </c>
      <c r="R199" s="10" t="str">
        <f t="shared" si="23"/>
        <v>43191512</v>
      </c>
    </row>
    <row r="200" spans="1:18" ht="25.5" hidden="1" x14ac:dyDescent="0.2">
      <c r="A200" s="21" t="s">
        <v>3967</v>
      </c>
      <c r="B200" s="8" t="s">
        <v>3966</v>
      </c>
      <c r="C200" s="8" t="s">
        <v>40</v>
      </c>
      <c r="D200" s="8" t="s">
        <v>78</v>
      </c>
      <c r="E200" s="8" t="s">
        <v>40</v>
      </c>
      <c r="F200" s="8" t="s">
        <v>39</v>
      </c>
      <c r="G200" s="8" t="s">
        <v>3906</v>
      </c>
      <c r="H200" s="8" t="s">
        <v>37</v>
      </c>
      <c r="I200" s="8" t="s">
        <v>53</v>
      </c>
      <c r="J200" s="8" t="s">
        <v>3905</v>
      </c>
      <c r="K200" s="8" t="s">
        <v>3965</v>
      </c>
      <c r="L200" s="7">
        <v>6938</v>
      </c>
      <c r="M200" s="10" t="str">
        <f t="shared" si="18"/>
        <v>CMI02090400</v>
      </c>
      <c r="N200" s="10" t="str">
        <f t="shared" si="19"/>
        <v>OFI311000</v>
      </c>
      <c r="O200" s="10" t="str">
        <f t="shared" si="20"/>
        <v>E</v>
      </c>
      <c r="P200" s="10" t="str">
        <f t="shared" si="21"/>
        <v>50</v>
      </c>
      <c r="Q200" s="10" t="str">
        <f t="shared" si="22"/>
        <v>ZOFI</v>
      </c>
      <c r="R200" s="10" t="str">
        <f t="shared" si="23"/>
        <v>43191511</v>
      </c>
    </row>
    <row r="201" spans="1:18" ht="25.5" hidden="1" x14ac:dyDescent="0.2">
      <c r="A201" s="21" t="s">
        <v>3964</v>
      </c>
      <c r="B201" s="8" t="s">
        <v>3963</v>
      </c>
      <c r="C201" s="8" t="s">
        <v>40</v>
      </c>
      <c r="D201" s="8" t="s">
        <v>947</v>
      </c>
      <c r="E201" s="8" t="s">
        <v>40</v>
      </c>
      <c r="F201" s="8" t="s">
        <v>39</v>
      </c>
      <c r="G201" s="8" t="s">
        <v>3906</v>
      </c>
      <c r="H201" s="8" t="s">
        <v>37</v>
      </c>
      <c r="I201" s="8" t="s">
        <v>53</v>
      </c>
      <c r="J201" s="8" t="s">
        <v>3905</v>
      </c>
      <c r="K201" s="8" t="s">
        <v>1808</v>
      </c>
      <c r="L201" s="7">
        <v>6939</v>
      </c>
      <c r="M201" s="10" t="str">
        <f t="shared" si="18"/>
        <v>CMI02160200</v>
      </c>
      <c r="N201" s="10" t="str">
        <f t="shared" si="19"/>
        <v>OFI311000</v>
      </c>
      <c r="O201" s="10" t="str">
        <f t="shared" si="20"/>
        <v>E</v>
      </c>
      <c r="P201" s="10" t="str">
        <f t="shared" si="21"/>
        <v>50</v>
      </c>
      <c r="Q201" s="10" t="str">
        <f t="shared" si="22"/>
        <v>ZOFI</v>
      </c>
      <c r="R201" s="10" t="str">
        <f t="shared" si="23"/>
        <v>52161500</v>
      </c>
    </row>
    <row r="202" spans="1:18" ht="25.5" hidden="1" x14ac:dyDescent="0.2">
      <c r="A202" s="21" t="s">
        <v>3962</v>
      </c>
      <c r="B202" s="8" t="s">
        <v>3961</v>
      </c>
      <c r="C202" s="8" t="s">
        <v>40</v>
      </c>
      <c r="D202" s="8" t="s">
        <v>212</v>
      </c>
      <c r="E202" s="8" t="s">
        <v>40</v>
      </c>
      <c r="F202" s="8" t="s">
        <v>39</v>
      </c>
      <c r="G202" s="8" t="s">
        <v>3906</v>
      </c>
      <c r="H202" s="8" t="s">
        <v>37</v>
      </c>
      <c r="I202" s="8" t="s">
        <v>53</v>
      </c>
      <c r="J202" s="8" t="s">
        <v>3905</v>
      </c>
      <c r="K202" s="8" t="s">
        <v>3960</v>
      </c>
      <c r="L202" s="7">
        <v>6940</v>
      </c>
      <c r="M202" s="10" t="str">
        <f t="shared" si="18"/>
        <v>CMI01010500</v>
      </c>
      <c r="N202" s="10" t="str">
        <f t="shared" si="19"/>
        <v>OFI311000</v>
      </c>
      <c r="O202" s="10" t="str">
        <f t="shared" si="20"/>
        <v>E</v>
      </c>
      <c r="P202" s="10" t="str">
        <f t="shared" si="21"/>
        <v>50</v>
      </c>
      <c r="Q202" s="10" t="str">
        <f t="shared" si="22"/>
        <v>ZOFI</v>
      </c>
      <c r="R202" s="10" t="str">
        <f t="shared" si="23"/>
        <v>45111603</v>
      </c>
    </row>
    <row r="203" spans="1:18" ht="25.5" hidden="1" x14ac:dyDescent="0.2">
      <c r="A203" s="21" t="s">
        <v>3959</v>
      </c>
      <c r="B203" s="8" t="s">
        <v>3958</v>
      </c>
      <c r="C203" s="8" t="s">
        <v>40</v>
      </c>
      <c r="D203" s="8" t="s">
        <v>947</v>
      </c>
      <c r="E203" s="8" t="s">
        <v>40</v>
      </c>
      <c r="F203" s="8" t="s">
        <v>39</v>
      </c>
      <c r="G203" s="8" t="s">
        <v>3906</v>
      </c>
      <c r="H203" s="8" t="s">
        <v>37</v>
      </c>
      <c r="I203" s="8" t="s">
        <v>53</v>
      </c>
      <c r="J203" s="8" t="s">
        <v>3905</v>
      </c>
      <c r="K203" s="8" t="s">
        <v>3957</v>
      </c>
      <c r="L203" s="7">
        <v>6941</v>
      </c>
      <c r="M203" s="10" t="str">
        <f t="shared" si="18"/>
        <v>CMI02160200</v>
      </c>
      <c r="N203" s="10" t="str">
        <f t="shared" si="19"/>
        <v>OFI311000</v>
      </c>
      <c r="O203" s="10" t="str">
        <f t="shared" si="20"/>
        <v>E</v>
      </c>
      <c r="P203" s="10" t="str">
        <f t="shared" si="21"/>
        <v>50</v>
      </c>
      <c r="Q203" s="10" t="str">
        <f t="shared" si="22"/>
        <v>ZOFI</v>
      </c>
      <c r="R203" s="10" t="str">
        <f t="shared" si="23"/>
        <v>43202003</v>
      </c>
    </row>
    <row r="204" spans="1:18" ht="38.25" hidden="1" x14ac:dyDescent="0.2">
      <c r="A204" s="21" t="s">
        <v>3956</v>
      </c>
      <c r="B204" s="8" t="s">
        <v>3955</v>
      </c>
      <c r="C204" s="8" t="s">
        <v>40</v>
      </c>
      <c r="D204" s="8" t="s">
        <v>275</v>
      </c>
      <c r="E204" s="8" t="s">
        <v>40</v>
      </c>
      <c r="F204" s="8" t="s">
        <v>39</v>
      </c>
      <c r="G204" s="8" t="s">
        <v>69</v>
      </c>
      <c r="H204" s="8" t="s">
        <v>37</v>
      </c>
      <c r="I204" s="8" t="s">
        <v>53</v>
      </c>
      <c r="J204" s="8" t="s">
        <v>3905</v>
      </c>
      <c r="K204" s="8" t="s">
        <v>3954</v>
      </c>
      <c r="L204" s="7">
        <v>6942</v>
      </c>
      <c r="M204" s="10" t="str">
        <f t="shared" si="18"/>
        <v>CMI01030300</v>
      </c>
      <c r="N204" s="10" t="str">
        <f t="shared" si="19"/>
        <v>MOB361000</v>
      </c>
      <c r="O204" s="10" t="str">
        <f t="shared" si="20"/>
        <v>E</v>
      </c>
      <c r="P204" s="10" t="str">
        <f t="shared" si="21"/>
        <v>50</v>
      </c>
      <c r="Q204" s="10" t="str">
        <f t="shared" si="22"/>
        <v>ZOFI</v>
      </c>
      <c r="R204" s="10" t="str">
        <f t="shared" si="23"/>
        <v>56101520</v>
      </c>
    </row>
    <row r="205" spans="1:18" ht="38.25" hidden="1" x14ac:dyDescent="0.2">
      <c r="A205" s="21" t="s">
        <v>3953</v>
      </c>
      <c r="B205" s="8" t="s">
        <v>3952</v>
      </c>
      <c r="C205" s="8" t="s">
        <v>40</v>
      </c>
      <c r="D205" s="8" t="s">
        <v>275</v>
      </c>
      <c r="E205" s="8" t="s">
        <v>40</v>
      </c>
      <c r="F205" s="8" t="s">
        <v>39</v>
      </c>
      <c r="G205" s="8" t="s">
        <v>69</v>
      </c>
      <c r="H205" s="8" t="s">
        <v>37</v>
      </c>
      <c r="I205" s="8" t="s">
        <v>53</v>
      </c>
      <c r="J205" s="8" t="s">
        <v>3905</v>
      </c>
      <c r="K205" s="8" t="s">
        <v>3951</v>
      </c>
      <c r="L205" s="7">
        <v>6943</v>
      </c>
      <c r="M205" s="10" t="str">
        <f t="shared" si="18"/>
        <v>CMI01030300</v>
      </c>
      <c r="N205" s="10" t="str">
        <f t="shared" si="19"/>
        <v>MOB361000</v>
      </c>
      <c r="O205" s="10" t="str">
        <f t="shared" si="20"/>
        <v>E</v>
      </c>
      <c r="P205" s="10" t="str">
        <f t="shared" si="21"/>
        <v>50</v>
      </c>
      <c r="Q205" s="10" t="str">
        <f t="shared" si="22"/>
        <v>ZOFI</v>
      </c>
      <c r="R205" s="10" t="str">
        <f t="shared" si="23"/>
        <v>30151901</v>
      </c>
    </row>
    <row r="206" spans="1:18" ht="38.25" hidden="1" x14ac:dyDescent="0.2">
      <c r="A206" s="21" t="s">
        <v>3950</v>
      </c>
      <c r="B206" s="8" t="s">
        <v>3949</v>
      </c>
      <c r="C206" s="8" t="s">
        <v>40</v>
      </c>
      <c r="D206" s="8" t="s">
        <v>275</v>
      </c>
      <c r="E206" s="8" t="s">
        <v>40</v>
      </c>
      <c r="F206" s="8" t="s">
        <v>39</v>
      </c>
      <c r="G206" s="8" t="s">
        <v>3906</v>
      </c>
      <c r="H206" s="8" t="s">
        <v>37</v>
      </c>
      <c r="I206" s="8" t="s">
        <v>53</v>
      </c>
      <c r="J206" s="8" t="s">
        <v>3905</v>
      </c>
      <c r="K206" s="8" t="s">
        <v>3948</v>
      </c>
      <c r="L206" s="7">
        <v>6944</v>
      </c>
      <c r="M206" s="10" t="str">
        <f t="shared" si="18"/>
        <v>CMI01030300</v>
      </c>
      <c r="N206" s="10" t="str">
        <f t="shared" si="19"/>
        <v>OFI311000</v>
      </c>
      <c r="O206" s="10" t="str">
        <f t="shared" si="20"/>
        <v>E</v>
      </c>
      <c r="P206" s="10" t="str">
        <f t="shared" si="21"/>
        <v>50</v>
      </c>
      <c r="Q206" s="10" t="str">
        <f t="shared" si="22"/>
        <v>ZOFI</v>
      </c>
      <c r="R206" s="10" t="str">
        <f t="shared" si="23"/>
        <v>48101700</v>
      </c>
    </row>
    <row r="207" spans="1:18" ht="38.25" hidden="1" x14ac:dyDescent="0.2">
      <c r="A207" s="21" t="s">
        <v>3947</v>
      </c>
      <c r="B207" s="8" t="s">
        <v>3946</v>
      </c>
      <c r="C207" s="8" t="s">
        <v>40</v>
      </c>
      <c r="D207" s="8" t="s">
        <v>166</v>
      </c>
      <c r="E207" s="8" t="s">
        <v>40</v>
      </c>
      <c r="F207" s="8" t="s">
        <v>39</v>
      </c>
      <c r="G207" s="8" t="s">
        <v>3906</v>
      </c>
      <c r="H207" s="8" t="s">
        <v>37</v>
      </c>
      <c r="I207" s="8" t="s">
        <v>53</v>
      </c>
      <c r="J207" s="8" t="s">
        <v>3905</v>
      </c>
      <c r="K207" s="8" t="s">
        <v>3945</v>
      </c>
      <c r="L207" s="7">
        <v>6945</v>
      </c>
      <c r="M207" s="10" t="str">
        <f t="shared" si="18"/>
        <v>CMI02170200</v>
      </c>
      <c r="N207" s="10" t="str">
        <f t="shared" si="19"/>
        <v>OFI311000</v>
      </c>
      <c r="O207" s="10" t="str">
        <f t="shared" si="20"/>
        <v>E</v>
      </c>
      <c r="P207" s="10" t="str">
        <f t="shared" si="21"/>
        <v>50</v>
      </c>
      <c r="Q207" s="10" t="str">
        <f t="shared" si="22"/>
        <v>ZOFI</v>
      </c>
      <c r="R207" s="10" t="str">
        <f t="shared" si="23"/>
        <v>52141526</v>
      </c>
    </row>
    <row r="208" spans="1:18" ht="38.25" hidden="1" x14ac:dyDescent="0.2">
      <c r="A208" s="21" t="s">
        <v>3944</v>
      </c>
      <c r="B208" s="8" t="s">
        <v>3943</v>
      </c>
      <c r="C208" s="8" t="s">
        <v>40</v>
      </c>
      <c r="D208" s="8" t="s">
        <v>166</v>
      </c>
      <c r="E208" s="8" t="s">
        <v>40</v>
      </c>
      <c r="F208" s="8" t="s">
        <v>39</v>
      </c>
      <c r="G208" s="8" t="s">
        <v>3906</v>
      </c>
      <c r="H208" s="8" t="s">
        <v>37</v>
      </c>
      <c r="I208" s="8" t="s">
        <v>53</v>
      </c>
      <c r="J208" s="8" t="s">
        <v>3905</v>
      </c>
      <c r="K208" s="8" t="s">
        <v>3942</v>
      </c>
      <c r="L208" s="7">
        <v>6946</v>
      </c>
      <c r="M208" s="10" t="str">
        <f t="shared" si="18"/>
        <v>CMI02170200</v>
      </c>
      <c r="N208" s="10" t="str">
        <f t="shared" si="19"/>
        <v>OFI311000</v>
      </c>
      <c r="O208" s="10" t="str">
        <f t="shared" si="20"/>
        <v>E</v>
      </c>
      <c r="P208" s="10" t="str">
        <f t="shared" si="21"/>
        <v>50</v>
      </c>
      <c r="Q208" s="10" t="str">
        <f t="shared" si="22"/>
        <v>ZOFI</v>
      </c>
      <c r="R208" s="10" t="str">
        <f t="shared" si="23"/>
        <v>48101601</v>
      </c>
    </row>
    <row r="209" spans="1:18" ht="38.25" hidden="1" x14ac:dyDescent="0.2">
      <c r="A209" s="21" t="s">
        <v>3941</v>
      </c>
      <c r="B209" s="8" t="s">
        <v>3940</v>
      </c>
      <c r="C209" s="8" t="s">
        <v>40</v>
      </c>
      <c r="D209" s="8" t="s">
        <v>166</v>
      </c>
      <c r="E209" s="8" t="s">
        <v>40</v>
      </c>
      <c r="F209" s="8" t="s">
        <v>39</v>
      </c>
      <c r="G209" s="8" t="s">
        <v>3906</v>
      </c>
      <c r="H209" s="8" t="s">
        <v>37</v>
      </c>
      <c r="I209" s="8" t="s">
        <v>53</v>
      </c>
      <c r="J209" s="8" t="s">
        <v>3905</v>
      </c>
      <c r="K209" s="8" t="s">
        <v>3939</v>
      </c>
      <c r="L209" s="7">
        <v>6947</v>
      </c>
      <c r="M209" s="10" t="str">
        <f t="shared" si="18"/>
        <v>CMI02170200</v>
      </c>
      <c r="N209" s="10" t="str">
        <f t="shared" si="19"/>
        <v>OFI311000</v>
      </c>
      <c r="O209" s="10" t="str">
        <f t="shared" si="20"/>
        <v>E</v>
      </c>
      <c r="P209" s="10" t="str">
        <f t="shared" si="21"/>
        <v>50</v>
      </c>
      <c r="Q209" s="10" t="str">
        <f t="shared" si="22"/>
        <v>ZOFI</v>
      </c>
      <c r="R209" s="10" t="str">
        <f t="shared" si="23"/>
        <v>48101516</v>
      </c>
    </row>
    <row r="210" spans="1:18" ht="38.25" hidden="1" x14ac:dyDescent="0.2">
      <c r="A210" s="21" t="s">
        <v>3938</v>
      </c>
      <c r="B210" s="8" t="s">
        <v>3937</v>
      </c>
      <c r="C210" s="8" t="s">
        <v>40</v>
      </c>
      <c r="D210" s="8" t="s">
        <v>166</v>
      </c>
      <c r="E210" s="8" t="s">
        <v>40</v>
      </c>
      <c r="F210" s="8" t="s">
        <v>39</v>
      </c>
      <c r="G210" s="8" t="s">
        <v>3906</v>
      </c>
      <c r="H210" s="8" t="s">
        <v>37</v>
      </c>
      <c r="I210" s="8" t="s">
        <v>53</v>
      </c>
      <c r="J210" s="8" t="s">
        <v>3905</v>
      </c>
      <c r="K210" s="8" t="s">
        <v>3936</v>
      </c>
      <c r="L210" s="7">
        <v>6948</v>
      </c>
      <c r="M210" s="10" t="str">
        <f t="shared" si="18"/>
        <v>CMI02170200</v>
      </c>
      <c r="N210" s="10" t="str">
        <f t="shared" si="19"/>
        <v>OFI311000</v>
      </c>
      <c r="O210" s="10" t="str">
        <f t="shared" si="20"/>
        <v>E</v>
      </c>
      <c r="P210" s="10" t="str">
        <f t="shared" si="21"/>
        <v>50</v>
      </c>
      <c r="Q210" s="10" t="str">
        <f t="shared" si="22"/>
        <v>ZOFI</v>
      </c>
      <c r="R210" s="10" t="str">
        <f t="shared" si="23"/>
        <v>52141521</v>
      </c>
    </row>
    <row r="211" spans="1:18" ht="25.5" hidden="1" x14ac:dyDescent="0.2">
      <c r="A211" s="21" t="s">
        <v>3935</v>
      </c>
      <c r="B211" s="8" t="s">
        <v>3934</v>
      </c>
      <c r="C211" s="8" t="s">
        <v>40</v>
      </c>
      <c r="D211" s="8" t="s">
        <v>1508</v>
      </c>
      <c r="E211" s="8" t="s">
        <v>40</v>
      </c>
      <c r="F211" s="8" t="s">
        <v>39</v>
      </c>
      <c r="G211" s="8" t="s">
        <v>3906</v>
      </c>
      <c r="H211" s="8" t="s">
        <v>37</v>
      </c>
      <c r="I211" s="8" t="s">
        <v>53</v>
      </c>
      <c r="J211" s="8" t="s">
        <v>3905</v>
      </c>
      <c r="K211" s="8" t="s">
        <v>3933</v>
      </c>
      <c r="L211" s="7">
        <v>6949</v>
      </c>
      <c r="M211" s="10" t="str">
        <f t="shared" si="18"/>
        <v>CMI01030100</v>
      </c>
      <c r="N211" s="10" t="str">
        <f t="shared" si="19"/>
        <v>OFI311000</v>
      </c>
      <c r="O211" s="10" t="str">
        <f t="shared" si="20"/>
        <v>E</v>
      </c>
      <c r="P211" s="10" t="str">
        <f t="shared" si="21"/>
        <v>50</v>
      </c>
      <c r="Q211" s="10" t="str">
        <f t="shared" si="22"/>
        <v>ZOFI</v>
      </c>
      <c r="R211" s="10" t="str">
        <f t="shared" si="23"/>
        <v>52161505</v>
      </c>
    </row>
    <row r="212" spans="1:18" ht="25.5" hidden="1" x14ac:dyDescent="0.2">
      <c r="A212" s="21" t="s">
        <v>3932</v>
      </c>
      <c r="B212" s="8" t="s">
        <v>3931</v>
      </c>
      <c r="C212" s="8" t="s">
        <v>40</v>
      </c>
      <c r="D212" s="8" t="s">
        <v>74</v>
      </c>
      <c r="E212" s="8" t="s">
        <v>40</v>
      </c>
      <c r="F212" s="8" t="s">
        <v>39</v>
      </c>
      <c r="G212" s="8" t="s">
        <v>3906</v>
      </c>
      <c r="H212" s="8" t="s">
        <v>37</v>
      </c>
      <c r="I212" s="8" t="s">
        <v>53</v>
      </c>
      <c r="J212" s="8" t="s">
        <v>3905</v>
      </c>
      <c r="K212" s="8" t="s">
        <v>3930</v>
      </c>
      <c r="L212" s="7">
        <v>6950</v>
      </c>
      <c r="M212" s="10" t="str">
        <f t="shared" si="18"/>
        <v>CMI02170300</v>
      </c>
      <c r="N212" s="10" t="str">
        <f t="shared" si="19"/>
        <v>OFI311000</v>
      </c>
      <c r="O212" s="10" t="str">
        <f t="shared" si="20"/>
        <v>E</v>
      </c>
      <c r="P212" s="10" t="str">
        <f t="shared" si="21"/>
        <v>50</v>
      </c>
      <c r="Q212" s="10" t="str">
        <f t="shared" si="22"/>
        <v>ZOFI</v>
      </c>
      <c r="R212" s="10" t="str">
        <f t="shared" si="23"/>
        <v>52161533</v>
      </c>
    </row>
    <row r="213" spans="1:18" ht="25.5" hidden="1" x14ac:dyDescent="0.2">
      <c r="A213" s="21" t="s">
        <v>3929</v>
      </c>
      <c r="B213" s="8" t="s">
        <v>3928</v>
      </c>
      <c r="C213" s="8" t="s">
        <v>40</v>
      </c>
      <c r="D213" s="8" t="s">
        <v>947</v>
      </c>
      <c r="E213" s="8" t="s">
        <v>40</v>
      </c>
      <c r="F213" s="8" t="s">
        <v>39</v>
      </c>
      <c r="G213" s="8" t="s">
        <v>3906</v>
      </c>
      <c r="H213" s="8" t="s">
        <v>37</v>
      </c>
      <c r="I213" s="8" t="s">
        <v>53</v>
      </c>
      <c r="J213" s="8" t="s">
        <v>3905</v>
      </c>
      <c r="K213" s="8" t="s">
        <v>3927</v>
      </c>
      <c r="L213" s="7">
        <v>6951</v>
      </c>
      <c r="M213" s="10" t="str">
        <f t="shared" si="18"/>
        <v>CMI02160200</v>
      </c>
      <c r="N213" s="10" t="str">
        <f t="shared" si="19"/>
        <v>OFI311000</v>
      </c>
      <c r="O213" s="10" t="str">
        <f t="shared" si="20"/>
        <v>E</v>
      </c>
      <c r="P213" s="10" t="str">
        <f t="shared" si="21"/>
        <v>50</v>
      </c>
      <c r="Q213" s="10" t="str">
        <f t="shared" si="22"/>
        <v>ZOFI</v>
      </c>
      <c r="R213" s="10" t="str">
        <f t="shared" si="23"/>
        <v>52161509</v>
      </c>
    </row>
    <row r="214" spans="1:18" ht="25.5" hidden="1" x14ac:dyDescent="0.2">
      <c r="A214" s="21" t="s">
        <v>3926</v>
      </c>
      <c r="B214" s="8" t="s">
        <v>3925</v>
      </c>
      <c r="C214" s="8" t="s">
        <v>40</v>
      </c>
      <c r="D214" s="8" t="s">
        <v>947</v>
      </c>
      <c r="E214" s="8" t="s">
        <v>40</v>
      </c>
      <c r="F214" s="8" t="s">
        <v>39</v>
      </c>
      <c r="G214" s="8" t="s">
        <v>3906</v>
      </c>
      <c r="H214" s="8" t="s">
        <v>37</v>
      </c>
      <c r="I214" s="8" t="s">
        <v>53</v>
      </c>
      <c r="J214" s="8" t="s">
        <v>3905</v>
      </c>
      <c r="K214" s="8" t="s">
        <v>3924</v>
      </c>
      <c r="L214" s="7">
        <v>6952</v>
      </c>
      <c r="M214" s="10" t="str">
        <f t="shared" si="18"/>
        <v>CMI02160200</v>
      </c>
      <c r="N214" s="10" t="str">
        <f t="shared" si="19"/>
        <v>OFI311000</v>
      </c>
      <c r="O214" s="10" t="str">
        <f t="shared" si="20"/>
        <v>E</v>
      </c>
      <c r="P214" s="10" t="str">
        <f t="shared" si="21"/>
        <v>50</v>
      </c>
      <c r="Q214" s="10" t="str">
        <f t="shared" si="22"/>
        <v>ZOFI</v>
      </c>
      <c r="R214" s="10" t="str">
        <f t="shared" si="23"/>
        <v>52161510</v>
      </c>
    </row>
    <row r="215" spans="1:18" ht="38.25" hidden="1" x14ac:dyDescent="0.2">
      <c r="A215" s="21" t="s">
        <v>3923</v>
      </c>
      <c r="B215" s="8" t="s">
        <v>3922</v>
      </c>
      <c r="C215" s="8" t="s">
        <v>40</v>
      </c>
      <c r="D215" s="8" t="s">
        <v>212</v>
      </c>
      <c r="E215" s="8" t="s">
        <v>40</v>
      </c>
      <c r="F215" s="8" t="s">
        <v>39</v>
      </c>
      <c r="G215" s="8" t="s">
        <v>3906</v>
      </c>
      <c r="H215" s="8" t="s">
        <v>37</v>
      </c>
      <c r="I215" s="8" t="s">
        <v>53</v>
      </c>
      <c r="J215" s="8" t="s">
        <v>3905</v>
      </c>
      <c r="K215" s="8" t="s">
        <v>3921</v>
      </c>
      <c r="L215" s="7">
        <v>6953</v>
      </c>
      <c r="M215" s="10" t="str">
        <f t="shared" si="18"/>
        <v>CMI01010500</v>
      </c>
      <c r="N215" s="10" t="str">
        <f t="shared" si="19"/>
        <v>OFI311000</v>
      </c>
      <c r="O215" s="10" t="str">
        <f t="shared" si="20"/>
        <v>E</v>
      </c>
      <c r="P215" s="10" t="str">
        <f t="shared" si="21"/>
        <v>50</v>
      </c>
      <c r="Q215" s="10" t="str">
        <f t="shared" si="22"/>
        <v>ZOFI</v>
      </c>
      <c r="R215" s="10" t="str">
        <f t="shared" si="23"/>
        <v>52161547</v>
      </c>
    </row>
    <row r="216" spans="1:18" ht="25.5" hidden="1" x14ac:dyDescent="0.2">
      <c r="A216" s="21" t="s">
        <v>3920</v>
      </c>
      <c r="B216" s="8" t="s">
        <v>3919</v>
      </c>
      <c r="C216" s="8" t="s">
        <v>40</v>
      </c>
      <c r="D216" s="8" t="s">
        <v>1508</v>
      </c>
      <c r="E216" s="8" t="s">
        <v>40</v>
      </c>
      <c r="F216" s="8" t="s">
        <v>39</v>
      </c>
      <c r="G216" s="8" t="s">
        <v>3906</v>
      </c>
      <c r="H216" s="8" t="s">
        <v>37</v>
      </c>
      <c r="I216" s="8" t="s">
        <v>53</v>
      </c>
      <c r="J216" s="8" t="s">
        <v>3905</v>
      </c>
      <c r="K216" s="8" t="s">
        <v>3918</v>
      </c>
      <c r="L216" s="7">
        <v>6954</v>
      </c>
      <c r="M216" s="10" t="str">
        <f t="shared" si="18"/>
        <v>CMI01030100</v>
      </c>
      <c r="N216" s="10" t="str">
        <f t="shared" si="19"/>
        <v>OFI311000</v>
      </c>
      <c r="O216" s="10" t="str">
        <f t="shared" si="20"/>
        <v>E</v>
      </c>
      <c r="P216" s="10" t="str">
        <f t="shared" si="21"/>
        <v>50</v>
      </c>
      <c r="Q216" s="10" t="str">
        <f t="shared" si="22"/>
        <v>ZOFI</v>
      </c>
      <c r="R216" s="10" t="str">
        <f t="shared" si="23"/>
        <v>52161520</v>
      </c>
    </row>
    <row r="217" spans="1:18" ht="38.25" hidden="1" x14ac:dyDescent="0.2">
      <c r="A217" s="21" t="s">
        <v>3917</v>
      </c>
      <c r="B217" s="8" t="s">
        <v>3916</v>
      </c>
      <c r="C217" s="8" t="s">
        <v>40</v>
      </c>
      <c r="D217" s="8" t="s">
        <v>86</v>
      </c>
      <c r="E217" s="8" t="s">
        <v>40</v>
      </c>
      <c r="F217" s="8" t="s">
        <v>39</v>
      </c>
      <c r="G217" s="8" t="s">
        <v>3906</v>
      </c>
      <c r="H217" s="8" t="s">
        <v>37</v>
      </c>
      <c r="I217" s="8" t="s">
        <v>53</v>
      </c>
      <c r="J217" s="8" t="s">
        <v>3905</v>
      </c>
      <c r="K217" s="8" t="s">
        <v>3915</v>
      </c>
      <c r="L217" s="7">
        <v>6955</v>
      </c>
      <c r="M217" s="10" t="str">
        <f t="shared" si="18"/>
        <v>CMI02160300</v>
      </c>
      <c r="N217" s="10" t="str">
        <f t="shared" si="19"/>
        <v>OFI311000</v>
      </c>
      <c r="O217" s="10" t="str">
        <f t="shared" si="20"/>
        <v>E</v>
      </c>
      <c r="P217" s="10" t="str">
        <f t="shared" si="21"/>
        <v>50</v>
      </c>
      <c r="Q217" s="10" t="str">
        <f t="shared" si="22"/>
        <v>ZOFI</v>
      </c>
      <c r="R217" s="10" t="str">
        <f t="shared" si="23"/>
        <v>52161514</v>
      </c>
    </row>
    <row r="218" spans="1:18" ht="25.5" hidden="1" x14ac:dyDescent="0.2">
      <c r="A218" s="21" t="s">
        <v>3914</v>
      </c>
      <c r="B218" s="8" t="s">
        <v>3913</v>
      </c>
      <c r="C218" s="8" t="s">
        <v>40</v>
      </c>
      <c r="D218" s="8" t="s">
        <v>797</v>
      </c>
      <c r="E218" s="8" t="s">
        <v>40</v>
      </c>
      <c r="F218" s="8" t="s">
        <v>39</v>
      </c>
      <c r="G218" s="8" t="s">
        <v>3906</v>
      </c>
      <c r="H218" s="8" t="s">
        <v>37</v>
      </c>
      <c r="I218" s="8" t="s">
        <v>53</v>
      </c>
      <c r="J218" s="8" t="s">
        <v>3905</v>
      </c>
      <c r="K218" s="8" t="s">
        <v>3912</v>
      </c>
      <c r="L218" s="7">
        <v>6956</v>
      </c>
      <c r="M218" s="10" t="str">
        <f t="shared" si="18"/>
        <v>CMI02100200</v>
      </c>
      <c r="N218" s="10" t="str">
        <f t="shared" si="19"/>
        <v>OFI311000</v>
      </c>
      <c r="O218" s="10" t="str">
        <f t="shared" si="20"/>
        <v>E</v>
      </c>
      <c r="P218" s="10" t="str">
        <f t="shared" si="21"/>
        <v>50</v>
      </c>
      <c r="Q218" s="10" t="str">
        <f t="shared" si="22"/>
        <v>ZOFI</v>
      </c>
      <c r="R218" s="10" t="str">
        <f t="shared" si="23"/>
        <v>48101607</v>
      </c>
    </row>
    <row r="219" spans="1:18" ht="38.25" hidden="1" x14ac:dyDescent="0.2">
      <c r="A219" s="21" t="s">
        <v>3911</v>
      </c>
      <c r="B219" s="8" t="s">
        <v>3910</v>
      </c>
      <c r="C219" s="8" t="s">
        <v>40</v>
      </c>
      <c r="D219" s="8" t="s">
        <v>166</v>
      </c>
      <c r="E219" s="8" t="s">
        <v>40</v>
      </c>
      <c r="F219" s="8" t="s">
        <v>39</v>
      </c>
      <c r="G219" s="8" t="s">
        <v>3906</v>
      </c>
      <c r="H219" s="8" t="s">
        <v>37</v>
      </c>
      <c r="I219" s="8" t="s">
        <v>53</v>
      </c>
      <c r="J219" s="8" t="s">
        <v>3905</v>
      </c>
      <c r="K219" s="8" t="s">
        <v>3909</v>
      </c>
      <c r="L219" s="7">
        <v>6957</v>
      </c>
      <c r="M219" s="10" t="str">
        <f t="shared" si="18"/>
        <v>CMI02170200</v>
      </c>
      <c r="N219" s="10" t="str">
        <f t="shared" si="19"/>
        <v>OFI311000</v>
      </c>
      <c r="O219" s="10" t="str">
        <f t="shared" si="20"/>
        <v>E</v>
      </c>
      <c r="P219" s="10" t="str">
        <f t="shared" si="21"/>
        <v>50</v>
      </c>
      <c r="Q219" s="10" t="str">
        <f t="shared" si="22"/>
        <v>ZOFI</v>
      </c>
      <c r="R219" s="10" t="str">
        <f t="shared" si="23"/>
        <v>52141520</v>
      </c>
    </row>
    <row r="220" spans="1:18" ht="38.25" hidden="1" x14ac:dyDescent="0.2">
      <c r="A220" s="21" t="s">
        <v>3908</v>
      </c>
      <c r="B220" s="8" t="s">
        <v>3907</v>
      </c>
      <c r="C220" s="8" t="s">
        <v>40</v>
      </c>
      <c r="D220" s="8" t="s">
        <v>166</v>
      </c>
      <c r="E220" s="8" t="s">
        <v>40</v>
      </c>
      <c r="F220" s="8" t="s">
        <v>39</v>
      </c>
      <c r="G220" s="8" t="s">
        <v>3906</v>
      </c>
      <c r="H220" s="8" t="s">
        <v>37</v>
      </c>
      <c r="I220" s="8" t="s">
        <v>53</v>
      </c>
      <c r="J220" s="8" t="s">
        <v>3905</v>
      </c>
      <c r="K220" s="8" t="s">
        <v>3904</v>
      </c>
      <c r="L220" s="7">
        <v>6958</v>
      </c>
      <c r="M220" s="10" t="str">
        <f t="shared" si="18"/>
        <v>CMI02170200</v>
      </c>
      <c r="N220" s="10" t="str">
        <f t="shared" si="19"/>
        <v>OFI311000</v>
      </c>
      <c r="O220" s="10" t="str">
        <f t="shared" si="20"/>
        <v>E</v>
      </c>
      <c r="P220" s="10" t="str">
        <f t="shared" si="21"/>
        <v>50</v>
      </c>
      <c r="Q220" s="10" t="str">
        <f t="shared" si="22"/>
        <v>ZOFI</v>
      </c>
      <c r="R220" s="10" t="str">
        <f t="shared" si="23"/>
        <v>52141514</v>
      </c>
    </row>
    <row r="221" spans="1:18" ht="38.25" hidden="1" x14ac:dyDescent="0.2">
      <c r="A221" s="21" t="s">
        <v>3903</v>
      </c>
      <c r="B221" s="8" t="s">
        <v>3902</v>
      </c>
      <c r="C221" s="8" t="s">
        <v>40</v>
      </c>
      <c r="D221" s="8" t="s">
        <v>3871</v>
      </c>
      <c r="E221" s="8" t="s">
        <v>40</v>
      </c>
      <c r="F221" s="8" t="s">
        <v>39</v>
      </c>
      <c r="G221" s="8" t="s">
        <v>3870</v>
      </c>
      <c r="H221" s="8" t="s">
        <v>37</v>
      </c>
      <c r="I221" s="8" t="s">
        <v>53</v>
      </c>
      <c r="J221" s="8" t="s">
        <v>3851</v>
      </c>
      <c r="K221" s="8" t="s">
        <v>3901</v>
      </c>
      <c r="L221" s="7">
        <v>6959</v>
      </c>
      <c r="M221" s="10" t="str">
        <f t="shared" si="18"/>
        <v>CMI02180200</v>
      </c>
      <c r="N221" s="10" t="str">
        <f t="shared" si="19"/>
        <v>QUI281200</v>
      </c>
      <c r="O221" s="10" t="str">
        <f t="shared" si="20"/>
        <v>E</v>
      </c>
      <c r="P221" s="10" t="str">
        <f t="shared" si="21"/>
        <v>50</v>
      </c>
      <c r="Q221" s="10" t="str">
        <f t="shared" si="22"/>
        <v>ZQUI</v>
      </c>
      <c r="R221" s="10" t="str">
        <f t="shared" si="23"/>
        <v>10191508</v>
      </c>
    </row>
    <row r="222" spans="1:18" ht="38.25" hidden="1" x14ac:dyDescent="0.2">
      <c r="A222" s="21" t="s">
        <v>3900</v>
      </c>
      <c r="B222" s="8" t="s">
        <v>3899</v>
      </c>
      <c r="C222" s="8" t="s">
        <v>40</v>
      </c>
      <c r="D222" s="8" t="s">
        <v>3871</v>
      </c>
      <c r="E222" s="8" t="s">
        <v>40</v>
      </c>
      <c r="F222" s="8" t="s">
        <v>39</v>
      </c>
      <c r="G222" s="8" t="s">
        <v>3852</v>
      </c>
      <c r="H222" s="8" t="s">
        <v>37</v>
      </c>
      <c r="I222" s="8" t="s">
        <v>53</v>
      </c>
      <c r="J222" s="8" t="s">
        <v>3851</v>
      </c>
      <c r="K222" s="8" t="s">
        <v>3898</v>
      </c>
      <c r="L222" s="7">
        <v>6960</v>
      </c>
      <c r="M222" s="10" t="str">
        <f t="shared" si="18"/>
        <v>CMI02180200</v>
      </c>
      <c r="N222" s="10" t="str">
        <f t="shared" si="19"/>
        <v>QUI281000</v>
      </c>
      <c r="O222" s="10" t="str">
        <f t="shared" si="20"/>
        <v>E</v>
      </c>
      <c r="P222" s="10" t="str">
        <f t="shared" si="21"/>
        <v>50</v>
      </c>
      <c r="Q222" s="10" t="str">
        <f t="shared" si="22"/>
        <v>ZQUI</v>
      </c>
      <c r="R222" s="10" t="str">
        <f t="shared" si="23"/>
        <v>10171702</v>
      </c>
    </row>
    <row r="223" spans="1:18" ht="25.5" hidden="1" x14ac:dyDescent="0.2">
      <c r="A223" s="21" t="s">
        <v>3897</v>
      </c>
      <c r="B223" s="8" t="s">
        <v>3896</v>
      </c>
      <c r="C223" s="8" t="s">
        <v>40</v>
      </c>
      <c r="D223" s="8" t="s">
        <v>730</v>
      </c>
      <c r="E223" s="8" t="s">
        <v>40</v>
      </c>
      <c r="F223" s="8" t="s">
        <v>39</v>
      </c>
      <c r="G223" s="8" t="s">
        <v>3856</v>
      </c>
      <c r="H223" s="8" t="s">
        <v>37</v>
      </c>
      <c r="I223" s="8" t="s">
        <v>53</v>
      </c>
      <c r="J223" s="8" t="s">
        <v>3851</v>
      </c>
      <c r="K223" s="8" t="s">
        <v>1581</v>
      </c>
      <c r="L223" s="7">
        <v>6961</v>
      </c>
      <c r="M223" s="10" t="str">
        <f t="shared" si="18"/>
        <v>CMI02130200</v>
      </c>
      <c r="N223" s="10" t="str">
        <f t="shared" si="19"/>
        <v>QUI281300</v>
      </c>
      <c r="O223" s="10" t="str">
        <f t="shared" si="20"/>
        <v>E</v>
      </c>
      <c r="P223" s="10" t="str">
        <f t="shared" si="21"/>
        <v>50</v>
      </c>
      <c r="Q223" s="10" t="str">
        <f t="shared" si="22"/>
        <v>ZQUI</v>
      </c>
      <c r="R223" s="10" t="str">
        <f t="shared" si="23"/>
        <v>47131800</v>
      </c>
    </row>
    <row r="224" spans="1:18" ht="25.5" hidden="1" x14ac:dyDescent="0.2">
      <c r="A224" s="21" t="s">
        <v>3895</v>
      </c>
      <c r="B224" s="8" t="s">
        <v>3894</v>
      </c>
      <c r="C224" s="8" t="s">
        <v>40</v>
      </c>
      <c r="D224" s="8" t="s">
        <v>520</v>
      </c>
      <c r="E224" s="8" t="s">
        <v>40</v>
      </c>
      <c r="F224" s="8" t="s">
        <v>39</v>
      </c>
      <c r="G224" s="8" t="s">
        <v>3852</v>
      </c>
      <c r="H224" s="8" t="s">
        <v>37</v>
      </c>
      <c r="I224" s="8" t="s">
        <v>53</v>
      </c>
      <c r="J224" s="8" t="s">
        <v>3851</v>
      </c>
      <c r="K224" s="8" t="s">
        <v>3893</v>
      </c>
      <c r="L224" s="7">
        <v>6962</v>
      </c>
      <c r="M224" s="10" t="str">
        <f t="shared" si="18"/>
        <v>CMI02180300</v>
      </c>
      <c r="N224" s="10" t="str">
        <f t="shared" si="19"/>
        <v>QUI281000</v>
      </c>
      <c r="O224" s="10" t="str">
        <f t="shared" si="20"/>
        <v>E</v>
      </c>
      <c r="P224" s="10" t="str">
        <f t="shared" si="21"/>
        <v>50</v>
      </c>
      <c r="Q224" s="10" t="str">
        <f t="shared" si="22"/>
        <v>ZQUI</v>
      </c>
      <c r="R224" s="10" t="str">
        <f t="shared" si="23"/>
        <v>10171504</v>
      </c>
    </row>
    <row r="225" spans="1:18" ht="38.25" hidden="1" x14ac:dyDescent="0.2">
      <c r="A225" s="21" t="s">
        <v>3892</v>
      </c>
      <c r="B225" s="8" t="s">
        <v>3891</v>
      </c>
      <c r="C225" s="8" t="s">
        <v>40</v>
      </c>
      <c r="D225" s="8" t="s">
        <v>363</v>
      </c>
      <c r="E225" s="8" t="s">
        <v>40</v>
      </c>
      <c r="F225" s="8" t="s">
        <v>39</v>
      </c>
      <c r="G225" s="8" t="s">
        <v>3879</v>
      </c>
      <c r="H225" s="8" t="s">
        <v>37</v>
      </c>
      <c r="I225" s="8" t="s">
        <v>53</v>
      </c>
      <c r="J225" s="8" t="s">
        <v>3851</v>
      </c>
      <c r="K225" s="8" t="s">
        <v>3885</v>
      </c>
      <c r="L225" s="7">
        <v>6963</v>
      </c>
      <c r="M225" s="10" t="str">
        <f t="shared" si="18"/>
        <v>CMI02051300</v>
      </c>
      <c r="N225" s="10" t="str">
        <f t="shared" si="19"/>
        <v>QUI281100</v>
      </c>
      <c r="O225" s="10" t="str">
        <f t="shared" si="20"/>
        <v>E</v>
      </c>
      <c r="P225" s="10" t="str">
        <f t="shared" si="21"/>
        <v>50</v>
      </c>
      <c r="Q225" s="10" t="str">
        <f t="shared" si="22"/>
        <v>ZQUI</v>
      </c>
      <c r="R225" s="10" t="str">
        <f t="shared" si="23"/>
        <v>10171800</v>
      </c>
    </row>
    <row r="226" spans="1:18" ht="25.5" hidden="1" x14ac:dyDescent="0.2">
      <c r="A226" s="21" t="s">
        <v>3890</v>
      </c>
      <c r="B226" s="8" t="s">
        <v>3889</v>
      </c>
      <c r="C226" s="8" t="s">
        <v>40</v>
      </c>
      <c r="D226" s="8" t="s">
        <v>520</v>
      </c>
      <c r="E226" s="8" t="s">
        <v>40</v>
      </c>
      <c r="F226" s="8" t="s">
        <v>39</v>
      </c>
      <c r="G226" s="8" t="s">
        <v>3852</v>
      </c>
      <c r="H226" s="8" t="s">
        <v>37</v>
      </c>
      <c r="I226" s="8" t="s">
        <v>53</v>
      </c>
      <c r="J226" s="8" t="s">
        <v>3851</v>
      </c>
      <c r="K226" s="8" t="s">
        <v>3888</v>
      </c>
      <c r="L226" s="7">
        <v>6964</v>
      </c>
      <c r="M226" s="10" t="str">
        <f t="shared" si="18"/>
        <v>CMI02180300</v>
      </c>
      <c r="N226" s="10" t="str">
        <f t="shared" si="19"/>
        <v>QUI281000</v>
      </c>
      <c r="O226" s="10" t="str">
        <f t="shared" si="20"/>
        <v>E</v>
      </c>
      <c r="P226" s="10" t="str">
        <f t="shared" si="21"/>
        <v>50</v>
      </c>
      <c r="Q226" s="10" t="str">
        <f t="shared" si="22"/>
        <v>ZQUI</v>
      </c>
      <c r="R226" s="10" t="str">
        <f t="shared" si="23"/>
        <v>12352302</v>
      </c>
    </row>
    <row r="227" spans="1:18" ht="38.25" hidden="1" x14ac:dyDescent="0.2">
      <c r="A227" s="21" t="s">
        <v>3887</v>
      </c>
      <c r="B227" s="8" t="s">
        <v>3886</v>
      </c>
      <c r="C227" s="8" t="s">
        <v>40</v>
      </c>
      <c r="D227" s="8" t="s">
        <v>326</v>
      </c>
      <c r="E227" s="8" t="s">
        <v>40</v>
      </c>
      <c r="F227" s="8" t="s">
        <v>39</v>
      </c>
      <c r="G227" s="8" t="s">
        <v>3852</v>
      </c>
      <c r="H227" s="8" t="s">
        <v>37</v>
      </c>
      <c r="I227" s="8" t="s">
        <v>53</v>
      </c>
      <c r="J227" s="8" t="s">
        <v>3851</v>
      </c>
      <c r="K227" s="8" t="s">
        <v>3885</v>
      </c>
      <c r="L227" s="7">
        <v>6965</v>
      </c>
      <c r="M227" s="10" t="str">
        <f t="shared" si="18"/>
        <v>CMI02050400</v>
      </c>
      <c r="N227" s="10" t="str">
        <f t="shared" si="19"/>
        <v>QUI281000</v>
      </c>
      <c r="O227" s="10" t="str">
        <f t="shared" si="20"/>
        <v>E</v>
      </c>
      <c r="P227" s="10" t="str">
        <f t="shared" si="21"/>
        <v>50</v>
      </c>
      <c r="Q227" s="10" t="str">
        <f t="shared" si="22"/>
        <v>ZQUI</v>
      </c>
      <c r="R227" s="10" t="str">
        <f t="shared" si="23"/>
        <v>10171800</v>
      </c>
    </row>
    <row r="228" spans="1:18" ht="38.25" hidden="1" x14ac:dyDescent="0.2">
      <c r="A228" s="21" t="s">
        <v>3884</v>
      </c>
      <c r="B228" s="8" t="s">
        <v>3883</v>
      </c>
      <c r="C228" s="8" t="s">
        <v>40</v>
      </c>
      <c r="D228" s="8" t="s">
        <v>363</v>
      </c>
      <c r="E228" s="8" t="s">
        <v>40</v>
      </c>
      <c r="F228" s="8" t="s">
        <v>39</v>
      </c>
      <c r="G228" s="8" t="s">
        <v>3856</v>
      </c>
      <c r="H228" s="8" t="s">
        <v>37</v>
      </c>
      <c r="I228" s="8" t="s">
        <v>53</v>
      </c>
      <c r="J228" s="8" t="s">
        <v>3851</v>
      </c>
      <c r="K228" s="8" t="s">
        <v>3882</v>
      </c>
      <c r="L228" s="7">
        <v>6966</v>
      </c>
      <c r="M228" s="10" t="str">
        <f t="shared" si="18"/>
        <v>CMI02051300</v>
      </c>
      <c r="N228" s="10" t="str">
        <f t="shared" si="19"/>
        <v>QUI281300</v>
      </c>
      <c r="O228" s="10" t="str">
        <f t="shared" si="20"/>
        <v>E</v>
      </c>
      <c r="P228" s="10" t="str">
        <f t="shared" si="21"/>
        <v>50</v>
      </c>
      <c r="Q228" s="10" t="str">
        <f t="shared" si="22"/>
        <v>ZQUI</v>
      </c>
      <c r="R228" s="10" t="str">
        <f t="shared" si="23"/>
        <v>47101610</v>
      </c>
    </row>
    <row r="229" spans="1:18" ht="25.5" hidden="1" x14ac:dyDescent="0.2">
      <c r="A229" s="21" t="s">
        <v>3881</v>
      </c>
      <c r="B229" s="8" t="s">
        <v>3880</v>
      </c>
      <c r="C229" s="8" t="s">
        <v>40</v>
      </c>
      <c r="D229" s="8" t="s">
        <v>3875</v>
      </c>
      <c r="E229" s="8" t="s">
        <v>40</v>
      </c>
      <c r="F229" s="8" t="s">
        <v>39</v>
      </c>
      <c r="G229" s="8" t="s">
        <v>3879</v>
      </c>
      <c r="H229" s="8" t="s">
        <v>37</v>
      </c>
      <c r="I229" s="8" t="s">
        <v>53</v>
      </c>
      <c r="J229" s="8" t="s">
        <v>3851</v>
      </c>
      <c r="K229" s="8" t="s">
        <v>3878</v>
      </c>
      <c r="L229" s="7">
        <v>6967</v>
      </c>
      <c r="M229" s="10" t="str">
        <f t="shared" si="18"/>
        <v>CMI02180100</v>
      </c>
      <c r="N229" s="10" t="str">
        <f t="shared" si="19"/>
        <v>QUI281100</v>
      </c>
      <c r="O229" s="10" t="str">
        <f t="shared" si="20"/>
        <v>E</v>
      </c>
      <c r="P229" s="10" t="str">
        <f t="shared" si="21"/>
        <v>50</v>
      </c>
      <c r="Q229" s="10" t="str">
        <f t="shared" si="22"/>
        <v>ZQUI</v>
      </c>
      <c r="R229" s="10" t="str">
        <f t="shared" si="23"/>
        <v>10171700</v>
      </c>
    </row>
    <row r="230" spans="1:18" ht="25.5" hidden="1" x14ac:dyDescent="0.2">
      <c r="A230" s="21" t="s">
        <v>3877</v>
      </c>
      <c r="B230" s="8" t="s">
        <v>3876</v>
      </c>
      <c r="C230" s="8" t="s">
        <v>40</v>
      </c>
      <c r="D230" s="8" t="s">
        <v>3875</v>
      </c>
      <c r="E230" s="8" t="s">
        <v>40</v>
      </c>
      <c r="F230" s="8" t="s">
        <v>39</v>
      </c>
      <c r="G230" s="8" t="s">
        <v>3852</v>
      </c>
      <c r="H230" s="8" t="s">
        <v>37</v>
      </c>
      <c r="I230" s="8" t="s">
        <v>53</v>
      </c>
      <c r="J230" s="8" t="s">
        <v>3851</v>
      </c>
      <c r="K230" s="8" t="s">
        <v>3874</v>
      </c>
      <c r="L230" s="7">
        <v>6968</v>
      </c>
      <c r="M230" s="10" t="str">
        <f t="shared" si="18"/>
        <v>CMI02180100</v>
      </c>
      <c r="N230" s="10" t="str">
        <f t="shared" si="19"/>
        <v>QUI281000</v>
      </c>
      <c r="O230" s="10" t="str">
        <f t="shared" si="20"/>
        <v>E</v>
      </c>
      <c r="P230" s="10" t="str">
        <f t="shared" si="21"/>
        <v>50</v>
      </c>
      <c r="Q230" s="10" t="str">
        <f t="shared" si="22"/>
        <v>ZQUI</v>
      </c>
      <c r="R230" s="10" t="str">
        <f t="shared" si="23"/>
        <v>10191509</v>
      </c>
    </row>
    <row r="231" spans="1:18" ht="38.25" hidden="1" x14ac:dyDescent="0.2">
      <c r="A231" s="21" t="s">
        <v>3873</v>
      </c>
      <c r="B231" s="8" t="s">
        <v>3872</v>
      </c>
      <c r="C231" s="8" t="s">
        <v>40</v>
      </c>
      <c r="D231" s="8" t="s">
        <v>3871</v>
      </c>
      <c r="E231" s="8" t="s">
        <v>40</v>
      </c>
      <c r="F231" s="8" t="s">
        <v>39</v>
      </c>
      <c r="G231" s="8" t="s">
        <v>3870</v>
      </c>
      <c r="H231" s="8" t="s">
        <v>37</v>
      </c>
      <c r="I231" s="8" t="s">
        <v>53</v>
      </c>
      <c r="J231" s="8" t="s">
        <v>3851</v>
      </c>
      <c r="K231" s="8" t="s">
        <v>3869</v>
      </c>
      <c r="L231" s="7">
        <v>6969</v>
      </c>
      <c r="M231" s="10" t="str">
        <f t="shared" si="18"/>
        <v>CMI02180200</v>
      </c>
      <c r="N231" s="10" t="str">
        <f t="shared" si="19"/>
        <v>QUI281200</v>
      </c>
      <c r="O231" s="10" t="str">
        <f t="shared" si="20"/>
        <v>E</v>
      </c>
      <c r="P231" s="10" t="str">
        <f t="shared" si="21"/>
        <v>50</v>
      </c>
      <c r="Q231" s="10" t="str">
        <f t="shared" si="22"/>
        <v>ZQUI</v>
      </c>
      <c r="R231" s="10" t="str">
        <f t="shared" si="23"/>
        <v>10191500</v>
      </c>
    </row>
    <row r="232" spans="1:18" ht="25.5" hidden="1" x14ac:dyDescent="0.2">
      <c r="A232" s="21" t="s">
        <v>3868</v>
      </c>
      <c r="B232" s="8" t="s">
        <v>3867</v>
      </c>
      <c r="C232" s="8" t="s">
        <v>40</v>
      </c>
      <c r="D232" s="8" t="s">
        <v>520</v>
      </c>
      <c r="E232" s="8" t="s">
        <v>40</v>
      </c>
      <c r="F232" s="8" t="s">
        <v>39</v>
      </c>
      <c r="G232" s="8" t="s">
        <v>3852</v>
      </c>
      <c r="H232" s="8" t="s">
        <v>37</v>
      </c>
      <c r="I232" s="8" t="s">
        <v>53</v>
      </c>
      <c r="J232" s="8" t="s">
        <v>3851</v>
      </c>
      <c r="K232" s="8" t="s">
        <v>3866</v>
      </c>
      <c r="L232" s="7">
        <v>6970</v>
      </c>
      <c r="M232" s="10" t="str">
        <f t="shared" si="18"/>
        <v>CMI02180300</v>
      </c>
      <c r="N232" s="10" t="str">
        <f t="shared" si="19"/>
        <v>QUI281000</v>
      </c>
      <c r="O232" s="10" t="str">
        <f t="shared" si="20"/>
        <v>E</v>
      </c>
      <c r="P232" s="10" t="str">
        <f t="shared" si="21"/>
        <v>50</v>
      </c>
      <c r="Q232" s="10" t="str">
        <f t="shared" si="22"/>
        <v>ZQUI</v>
      </c>
      <c r="R232" s="10" t="str">
        <f t="shared" si="23"/>
        <v>10171505</v>
      </c>
    </row>
    <row r="233" spans="1:18" ht="25.5" hidden="1" x14ac:dyDescent="0.2">
      <c r="A233" s="21" t="s">
        <v>3865</v>
      </c>
      <c r="B233" s="8" t="s">
        <v>3864</v>
      </c>
      <c r="C233" s="8" t="s">
        <v>40</v>
      </c>
      <c r="D233" s="8" t="s">
        <v>520</v>
      </c>
      <c r="E233" s="8" t="s">
        <v>40</v>
      </c>
      <c r="F233" s="8" t="s">
        <v>39</v>
      </c>
      <c r="G233" s="8" t="s">
        <v>3856</v>
      </c>
      <c r="H233" s="8" t="s">
        <v>37</v>
      </c>
      <c r="I233" s="8" t="s">
        <v>53</v>
      </c>
      <c r="J233" s="8" t="s">
        <v>3851</v>
      </c>
      <c r="K233" s="8" t="s">
        <v>3863</v>
      </c>
      <c r="L233" s="7">
        <v>6971</v>
      </c>
      <c r="M233" s="10" t="str">
        <f t="shared" si="18"/>
        <v>CMI02180300</v>
      </c>
      <c r="N233" s="10" t="str">
        <f t="shared" si="19"/>
        <v>QUI281300</v>
      </c>
      <c r="O233" s="10" t="str">
        <f t="shared" si="20"/>
        <v>E</v>
      </c>
      <c r="P233" s="10" t="str">
        <f t="shared" si="21"/>
        <v>50</v>
      </c>
      <c r="Q233" s="10" t="str">
        <f t="shared" si="22"/>
        <v>ZQUI</v>
      </c>
      <c r="R233" s="10" t="str">
        <f t="shared" si="23"/>
        <v>31201601</v>
      </c>
    </row>
    <row r="234" spans="1:18" ht="25.5" hidden="1" x14ac:dyDescent="0.2">
      <c r="A234" s="21" t="s">
        <v>3862</v>
      </c>
      <c r="B234" s="8" t="s">
        <v>3861</v>
      </c>
      <c r="C234" s="8" t="s">
        <v>40</v>
      </c>
      <c r="D234" s="8" t="s">
        <v>3860</v>
      </c>
      <c r="E234" s="8" t="s">
        <v>40</v>
      </c>
      <c r="F234" s="8" t="s">
        <v>39</v>
      </c>
      <c r="G234" s="8" t="s">
        <v>3852</v>
      </c>
      <c r="H234" s="8" t="s">
        <v>37</v>
      </c>
      <c r="I234" s="8" t="s">
        <v>53</v>
      </c>
      <c r="J234" s="8" t="s">
        <v>3851</v>
      </c>
      <c r="K234" s="8" t="s">
        <v>3859</v>
      </c>
      <c r="L234" s="7">
        <v>6972</v>
      </c>
      <c r="M234" s="10" t="str">
        <f t="shared" si="18"/>
        <v>CMI02051500</v>
      </c>
      <c r="N234" s="10" t="str">
        <f t="shared" si="19"/>
        <v>QUI281000</v>
      </c>
      <c r="O234" s="10" t="str">
        <f t="shared" si="20"/>
        <v>E</v>
      </c>
      <c r="P234" s="10" t="str">
        <f t="shared" si="21"/>
        <v>50</v>
      </c>
      <c r="Q234" s="10" t="str">
        <f t="shared" si="22"/>
        <v>ZQUI</v>
      </c>
      <c r="R234" s="10" t="str">
        <f t="shared" si="23"/>
        <v>11111501</v>
      </c>
    </row>
    <row r="235" spans="1:18" ht="25.5" hidden="1" x14ac:dyDescent="0.2">
      <c r="A235" s="21" t="s">
        <v>3858</v>
      </c>
      <c r="B235" s="8" t="s">
        <v>3857</v>
      </c>
      <c r="C235" s="8" t="s">
        <v>40</v>
      </c>
      <c r="D235" s="8" t="s">
        <v>127</v>
      </c>
      <c r="E235" s="8" t="s">
        <v>40</v>
      </c>
      <c r="F235" s="8" t="s">
        <v>39</v>
      </c>
      <c r="G235" s="8" t="s">
        <v>3856</v>
      </c>
      <c r="H235" s="8" t="s">
        <v>37</v>
      </c>
      <c r="I235" s="8" t="s">
        <v>53</v>
      </c>
      <c r="J235" s="8" t="s">
        <v>3851</v>
      </c>
      <c r="K235" s="8" t="s">
        <v>3855</v>
      </c>
      <c r="L235" s="7">
        <v>6973</v>
      </c>
      <c r="M235" s="10" t="str">
        <f t="shared" si="18"/>
        <v>CMI02150100</v>
      </c>
      <c r="N235" s="10" t="str">
        <f t="shared" si="19"/>
        <v>QUI281300</v>
      </c>
      <c r="O235" s="10" t="str">
        <f t="shared" si="20"/>
        <v>E</v>
      </c>
      <c r="P235" s="10" t="str">
        <f t="shared" si="21"/>
        <v>50</v>
      </c>
      <c r="Q235" s="10" t="str">
        <f t="shared" si="22"/>
        <v>ZQUI</v>
      </c>
      <c r="R235" s="10" t="str">
        <f t="shared" si="23"/>
        <v>51211616</v>
      </c>
    </row>
    <row r="236" spans="1:18" ht="38.25" hidden="1" x14ac:dyDescent="0.2">
      <c r="A236" s="21" t="s">
        <v>3854</v>
      </c>
      <c r="B236" s="8" t="s">
        <v>3853</v>
      </c>
      <c r="C236" s="8" t="s">
        <v>40</v>
      </c>
      <c r="D236" s="8" t="s">
        <v>86</v>
      </c>
      <c r="E236" s="8" t="s">
        <v>40</v>
      </c>
      <c r="F236" s="8" t="s">
        <v>39</v>
      </c>
      <c r="G236" s="8" t="s">
        <v>3852</v>
      </c>
      <c r="H236" s="8" t="s">
        <v>37</v>
      </c>
      <c r="I236" s="8" t="s">
        <v>53</v>
      </c>
      <c r="J236" s="8" t="s">
        <v>3851</v>
      </c>
      <c r="K236" s="8" t="s">
        <v>3850</v>
      </c>
      <c r="L236" s="7">
        <v>6974</v>
      </c>
      <c r="M236" s="10" t="str">
        <f t="shared" si="18"/>
        <v>CMI02160300</v>
      </c>
      <c r="N236" s="10" t="str">
        <f t="shared" si="19"/>
        <v>QUI281000</v>
      </c>
      <c r="O236" s="10" t="str">
        <f t="shared" si="20"/>
        <v>E</v>
      </c>
      <c r="P236" s="10" t="str">
        <f t="shared" si="21"/>
        <v>50</v>
      </c>
      <c r="Q236" s="10" t="str">
        <f t="shared" si="22"/>
        <v>ZQUI</v>
      </c>
      <c r="R236" s="10" t="str">
        <f t="shared" si="23"/>
        <v>10150000</v>
      </c>
    </row>
    <row r="237" spans="1:18" ht="38.25" hidden="1" x14ac:dyDescent="0.2">
      <c r="A237" s="21" t="s">
        <v>3849</v>
      </c>
      <c r="B237" s="8" t="s">
        <v>3848</v>
      </c>
      <c r="C237" s="8" t="s">
        <v>40</v>
      </c>
      <c r="D237" s="8" t="s">
        <v>986</v>
      </c>
      <c r="E237" s="8" t="s">
        <v>40</v>
      </c>
      <c r="F237" s="8" t="s">
        <v>39</v>
      </c>
      <c r="G237" s="8" t="s">
        <v>54</v>
      </c>
      <c r="H237" s="8" t="s">
        <v>37</v>
      </c>
      <c r="I237" s="8" t="s">
        <v>53</v>
      </c>
      <c r="J237" s="8" t="s">
        <v>64</v>
      </c>
      <c r="K237" s="8" t="s">
        <v>3847</v>
      </c>
      <c r="L237" s="7">
        <v>6975</v>
      </c>
      <c r="M237" s="10" t="str">
        <f t="shared" si="18"/>
        <v>CMI02070300</v>
      </c>
      <c r="N237" s="10" t="str">
        <f t="shared" si="19"/>
        <v>REP201100</v>
      </c>
      <c r="O237" s="10" t="str">
        <f t="shared" si="20"/>
        <v>E</v>
      </c>
      <c r="P237" s="10" t="str">
        <f t="shared" si="21"/>
        <v>50</v>
      </c>
      <c r="Q237" s="10" t="str">
        <f t="shared" si="22"/>
        <v>ZRPA</v>
      </c>
      <c r="R237" s="10" t="str">
        <f t="shared" si="23"/>
        <v>25173800</v>
      </c>
    </row>
    <row r="238" spans="1:18" ht="38.25" hidden="1" x14ac:dyDescent="0.2">
      <c r="A238" s="21" t="s">
        <v>3846</v>
      </c>
      <c r="B238" s="8" t="s">
        <v>3726</v>
      </c>
      <c r="C238" s="8" t="s">
        <v>40</v>
      </c>
      <c r="D238" s="8" t="s">
        <v>986</v>
      </c>
      <c r="E238" s="8" t="s">
        <v>40</v>
      </c>
      <c r="F238" s="8" t="s">
        <v>39</v>
      </c>
      <c r="G238" s="8" t="s">
        <v>54</v>
      </c>
      <c r="H238" s="8" t="s">
        <v>37</v>
      </c>
      <c r="I238" s="8" t="s">
        <v>53</v>
      </c>
      <c r="J238" s="8" t="s">
        <v>64</v>
      </c>
      <c r="K238" s="8" t="s">
        <v>3845</v>
      </c>
      <c r="L238" s="7">
        <v>6976</v>
      </c>
      <c r="M238" s="10" t="str">
        <f t="shared" si="18"/>
        <v>CMI02070300</v>
      </c>
      <c r="N238" s="10" t="str">
        <f t="shared" si="19"/>
        <v>REP201100</v>
      </c>
      <c r="O238" s="10" t="str">
        <f t="shared" si="20"/>
        <v>E</v>
      </c>
      <c r="P238" s="10" t="str">
        <f t="shared" si="21"/>
        <v>50</v>
      </c>
      <c r="Q238" s="10" t="str">
        <f t="shared" si="22"/>
        <v>ZRPA</v>
      </c>
      <c r="R238" s="10" t="str">
        <f t="shared" si="23"/>
        <v>26101765</v>
      </c>
    </row>
    <row r="239" spans="1:18" ht="38.25" hidden="1" x14ac:dyDescent="0.2">
      <c r="A239" s="21" t="s">
        <v>3844</v>
      </c>
      <c r="B239" s="8" t="s">
        <v>3843</v>
      </c>
      <c r="C239" s="8" t="s">
        <v>40</v>
      </c>
      <c r="D239" s="8" t="s">
        <v>1648</v>
      </c>
      <c r="E239" s="8" t="s">
        <v>40</v>
      </c>
      <c r="F239" s="8" t="s">
        <v>39</v>
      </c>
      <c r="G239" s="8" t="s">
        <v>885</v>
      </c>
      <c r="H239" s="8" t="s">
        <v>37</v>
      </c>
      <c r="I239" s="8" t="s">
        <v>53</v>
      </c>
      <c r="J239" s="8" t="s">
        <v>64</v>
      </c>
      <c r="K239" s="8" t="s">
        <v>3842</v>
      </c>
      <c r="L239" s="7">
        <v>6977</v>
      </c>
      <c r="M239" s="10" t="str">
        <f t="shared" si="18"/>
        <v>CMI02070100</v>
      </c>
      <c r="N239" s="10" t="str">
        <f t="shared" si="19"/>
        <v>SUM231000</v>
      </c>
      <c r="O239" s="10" t="str">
        <f t="shared" si="20"/>
        <v>E</v>
      </c>
      <c r="P239" s="10" t="str">
        <f t="shared" si="21"/>
        <v>50</v>
      </c>
      <c r="Q239" s="10" t="str">
        <f t="shared" si="22"/>
        <v>ZRPA</v>
      </c>
      <c r="R239" s="10" t="str">
        <f t="shared" si="23"/>
        <v>25172901</v>
      </c>
    </row>
    <row r="240" spans="1:18" ht="38.25" hidden="1" x14ac:dyDescent="0.2">
      <c r="A240" s="21" t="s">
        <v>3841</v>
      </c>
      <c r="B240" s="8" t="s">
        <v>3840</v>
      </c>
      <c r="C240" s="8" t="s">
        <v>40</v>
      </c>
      <c r="D240" s="8" t="s">
        <v>1648</v>
      </c>
      <c r="E240" s="8" t="s">
        <v>40</v>
      </c>
      <c r="F240" s="8" t="s">
        <v>39</v>
      </c>
      <c r="G240" s="8" t="s">
        <v>240</v>
      </c>
      <c r="H240" s="8" t="s">
        <v>37</v>
      </c>
      <c r="I240" s="8" t="s">
        <v>53</v>
      </c>
      <c r="J240" s="8" t="s">
        <v>64</v>
      </c>
      <c r="K240" s="8" t="s">
        <v>3839</v>
      </c>
      <c r="L240" s="7">
        <v>6978</v>
      </c>
      <c r="M240" s="10" t="str">
        <f t="shared" si="18"/>
        <v>CMI02070100</v>
      </c>
      <c r="N240" s="10" t="str">
        <f t="shared" si="19"/>
        <v>REP201000</v>
      </c>
      <c r="O240" s="10" t="str">
        <f t="shared" si="20"/>
        <v>E</v>
      </c>
      <c r="P240" s="10" t="str">
        <f t="shared" si="21"/>
        <v>50</v>
      </c>
      <c r="Q240" s="10" t="str">
        <f t="shared" si="22"/>
        <v>ZRPA</v>
      </c>
      <c r="R240" s="10" t="str">
        <f t="shared" si="23"/>
        <v>25173900</v>
      </c>
    </row>
    <row r="241" spans="1:18" ht="38.25" hidden="1" x14ac:dyDescent="0.2">
      <c r="A241" s="21" t="s">
        <v>3838</v>
      </c>
      <c r="B241" s="8" t="s">
        <v>3837</v>
      </c>
      <c r="C241" s="8" t="s">
        <v>40</v>
      </c>
      <c r="D241" s="8" t="s">
        <v>256</v>
      </c>
      <c r="E241" s="8" t="s">
        <v>40</v>
      </c>
      <c r="F241" s="8" t="s">
        <v>39</v>
      </c>
      <c r="G241" s="8" t="s">
        <v>54</v>
      </c>
      <c r="H241" s="8" t="s">
        <v>37</v>
      </c>
      <c r="I241" s="8" t="s">
        <v>53</v>
      </c>
      <c r="J241" s="8" t="s">
        <v>64</v>
      </c>
      <c r="K241" s="8" t="s">
        <v>3836</v>
      </c>
      <c r="L241" s="7">
        <v>6979</v>
      </c>
      <c r="M241" s="10" t="str">
        <f t="shared" si="18"/>
        <v>CMI02090900</v>
      </c>
      <c r="N241" s="10" t="str">
        <f t="shared" si="19"/>
        <v>REP201100</v>
      </c>
      <c r="O241" s="10" t="str">
        <f t="shared" si="20"/>
        <v>E</v>
      </c>
      <c r="P241" s="10" t="str">
        <f t="shared" si="21"/>
        <v>50</v>
      </c>
      <c r="Q241" s="10" t="str">
        <f t="shared" si="22"/>
        <v>ZRPA</v>
      </c>
      <c r="R241" s="10" t="str">
        <f t="shared" si="23"/>
        <v>25171713</v>
      </c>
    </row>
    <row r="242" spans="1:18" ht="38.25" hidden="1" x14ac:dyDescent="0.2">
      <c r="A242" s="21" t="s">
        <v>3835</v>
      </c>
      <c r="B242" s="8" t="s">
        <v>3834</v>
      </c>
      <c r="C242" s="8" t="s">
        <v>40</v>
      </c>
      <c r="D242" s="8" t="s">
        <v>986</v>
      </c>
      <c r="E242" s="8" t="s">
        <v>40</v>
      </c>
      <c r="F242" s="8" t="s">
        <v>39</v>
      </c>
      <c r="G242" s="8" t="s">
        <v>2775</v>
      </c>
      <c r="H242" s="8" t="s">
        <v>37</v>
      </c>
      <c r="I242" s="8" t="s">
        <v>53</v>
      </c>
      <c r="J242" s="8" t="s">
        <v>64</v>
      </c>
      <c r="K242" s="8" t="s">
        <v>3833</v>
      </c>
      <c r="L242" s="7">
        <v>6980</v>
      </c>
      <c r="M242" s="10" t="str">
        <f t="shared" si="18"/>
        <v>CMI02070300</v>
      </c>
      <c r="N242" s="10" t="str">
        <f t="shared" si="19"/>
        <v>REP211100</v>
      </c>
      <c r="O242" s="10" t="str">
        <f t="shared" si="20"/>
        <v>E</v>
      </c>
      <c r="P242" s="10" t="str">
        <f t="shared" si="21"/>
        <v>50</v>
      </c>
      <c r="Q242" s="10" t="str">
        <f t="shared" si="22"/>
        <v>ZRPA</v>
      </c>
      <c r="R242" s="10" t="str">
        <f t="shared" si="23"/>
        <v>25174216</v>
      </c>
    </row>
    <row r="243" spans="1:18" ht="38.25" hidden="1" x14ac:dyDescent="0.2">
      <c r="A243" s="21" t="s">
        <v>3832</v>
      </c>
      <c r="B243" s="8" t="s">
        <v>3831</v>
      </c>
      <c r="C243" s="8" t="s">
        <v>40</v>
      </c>
      <c r="D243" s="8" t="s">
        <v>986</v>
      </c>
      <c r="E243" s="8" t="s">
        <v>40</v>
      </c>
      <c r="F243" s="8" t="s">
        <v>39</v>
      </c>
      <c r="G243" s="8" t="s">
        <v>2775</v>
      </c>
      <c r="H243" s="8" t="s">
        <v>37</v>
      </c>
      <c r="I243" s="8" t="s">
        <v>53</v>
      </c>
      <c r="J243" s="8" t="s">
        <v>64</v>
      </c>
      <c r="K243" s="8" t="s">
        <v>3830</v>
      </c>
      <c r="L243" s="7">
        <v>6981</v>
      </c>
      <c r="M243" s="10" t="str">
        <f t="shared" si="18"/>
        <v>CMI02070300</v>
      </c>
      <c r="N243" s="10" t="str">
        <f t="shared" si="19"/>
        <v>REP211100</v>
      </c>
      <c r="O243" s="10" t="str">
        <f t="shared" si="20"/>
        <v>E</v>
      </c>
      <c r="P243" s="10" t="str">
        <f t="shared" si="21"/>
        <v>50</v>
      </c>
      <c r="Q243" s="10" t="str">
        <f t="shared" si="22"/>
        <v>ZRPA</v>
      </c>
      <c r="R243" s="10" t="str">
        <f t="shared" si="23"/>
        <v>25172010</v>
      </c>
    </row>
    <row r="244" spans="1:18" ht="38.25" hidden="1" x14ac:dyDescent="0.2">
      <c r="A244" s="21" t="s">
        <v>3829</v>
      </c>
      <c r="B244" s="8" t="s">
        <v>3828</v>
      </c>
      <c r="C244" s="8" t="s">
        <v>40</v>
      </c>
      <c r="D244" s="8" t="s">
        <v>986</v>
      </c>
      <c r="E244" s="8" t="s">
        <v>40</v>
      </c>
      <c r="F244" s="8" t="s">
        <v>39</v>
      </c>
      <c r="G244" s="8" t="s">
        <v>2775</v>
      </c>
      <c r="H244" s="8" t="s">
        <v>37</v>
      </c>
      <c r="I244" s="8" t="s">
        <v>53</v>
      </c>
      <c r="J244" s="8" t="s">
        <v>64</v>
      </c>
      <c r="K244" s="8" t="s">
        <v>3827</v>
      </c>
      <c r="L244" s="7">
        <v>6982</v>
      </c>
      <c r="M244" s="10" t="str">
        <f t="shared" si="18"/>
        <v>CMI02070300</v>
      </c>
      <c r="N244" s="10" t="str">
        <f t="shared" si="19"/>
        <v>REP211100</v>
      </c>
      <c r="O244" s="10" t="str">
        <f t="shared" si="20"/>
        <v>E</v>
      </c>
      <c r="P244" s="10" t="str">
        <f t="shared" si="21"/>
        <v>50</v>
      </c>
      <c r="Q244" s="10" t="str">
        <f t="shared" si="22"/>
        <v>ZRPA</v>
      </c>
      <c r="R244" s="10" t="str">
        <f t="shared" si="23"/>
        <v>25171502</v>
      </c>
    </row>
    <row r="245" spans="1:18" ht="38.25" hidden="1" x14ac:dyDescent="0.2">
      <c r="A245" s="21" t="s">
        <v>3826</v>
      </c>
      <c r="B245" s="8" t="s">
        <v>3825</v>
      </c>
      <c r="C245" s="8" t="s">
        <v>40</v>
      </c>
      <c r="D245" s="8" t="s">
        <v>986</v>
      </c>
      <c r="E245" s="8" t="s">
        <v>40</v>
      </c>
      <c r="F245" s="8" t="s">
        <v>39</v>
      </c>
      <c r="G245" s="8" t="s">
        <v>2775</v>
      </c>
      <c r="H245" s="8" t="s">
        <v>37</v>
      </c>
      <c r="I245" s="8" t="s">
        <v>53</v>
      </c>
      <c r="J245" s="8" t="s">
        <v>64</v>
      </c>
      <c r="K245" s="8" t="s">
        <v>3824</v>
      </c>
      <c r="L245" s="7">
        <v>6983</v>
      </c>
      <c r="M245" s="10" t="str">
        <f t="shared" si="18"/>
        <v>CMI02070300</v>
      </c>
      <c r="N245" s="10" t="str">
        <f t="shared" si="19"/>
        <v>REP211100</v>
      </c>
      <c r="O245" s="10" t="str">
        <f t="shared" si="20"/>
        <v>E</v>
      </c>
      <c r="P245" s="10" t="str">
        <f t="shared" si="21"/>
        <v>50</v>
      </c>
      <c r="Q245" s="10" t="str">
        <f t="shared" si="22"/>
        <v>ZRPA</v>
      </c>
      <c r="R245" s="10" t="str">
        <f t="shared" si="23"/>
        <v>25172603</v>
      </c>
    </row>
    <row r="246" spans="1:18" ht="38.25" hidden="1" x14ac:dyDescent="0.2">
      <c r="A246" s="21" t="s">
        <v>3823</v>
      </c>
      <c r="B246" s="8" t="s">
        <v>3822</v>
      </c>
      <c r="C246" s="8" t="s">
        <v>40</v>
      </c>
      <c r="D246" s="8" t="s">
        <v>986</v>
      </c>
      <c r="E246" s="8" t="s">
        <v>40</v>
      </c>
      <c r="F246" s="8" t="s">
        <v>39</v>
      </c>
      <c r="G246" s="8" t="s">
        <v>2775</v>
      </c>
      <c r="H246" s="8" t="s">
        <v>37</v>
      </c>
      <c r="I246" s="8" t="s">
        <v>53</v>
      </c>
      <c r="J246" s="8" t="s">
        <v>64</v>
      </c>
      <c r="K246" s="8" t="s">
        <v>3821</v>
      </c>
      <c r="L246" s="7">
        <v>6984</v>
      </c>
      <c r="M246" s="10" t="str">
        <f t="shared" si="18"/>
        <v>CMI02070300</v>
      </c>
      <c r="N246" s="10" t="str">
        <f t="shared" si="19"/>
        <v>REP211100</v>
      </c>
      <c r="O246" s="10" t="str">
        <f t="shared" si="20"/>
        <v>E</v>
      </c>
      <c r="P246" s="10" t="str">
        <f t="shared" si="21"/>
        <v>50</v>
      </c>
      <c r="Q246" s="10" t="str">
        <f t="shared" si="22"/>
        <v>ZRPA</v>
      </c>
      <c r="R246" s="10" t="str">
        <f t="shared" si="23"/>
        <v>25174807</v>
      </c>
    </row>
    <row r="247" spans="1:18" ht="25.5" hidden="1" x14ac:dyDescent="0.2">
      <c r="A247" s="21" t="s">
        <v>3820</v>
      </c>
      <c r="B247" s="8" t="s">
        <v>3819</v>
      </c>
      <c r="C247" s="8" t="s">
        <v>40</v>
      </c>
      <c r="D247" s="8" t="s">
        <v>1648</v>
      </c>
      <c r="E247" s="8" t="s">
        <v>40</v>
      </c>
      <c r="F247" s="8" t="s">
        <v>39</v>
      </c>
      <c r="G247" s="8" t="s">
        <v>2806</v>
      </c>
      <c r="H247" s="8" t="s">
        <v>37</v>
      </c>
      <c r="I247" s="8" t="s">
        <v>53</v>
      </c>
      <c r="J247" s="8" t="s">
        <v>64</v>
      </c>
      <c r="K247" s="8" t="s">
        <v>3818</v>
      </c>
      <c r="L247" s="7">
        <v>6985</v>
      </c>
      <c r="M247" s="10" t="str">
        <f t="shared" si="18"/>
        <v>CMI02070100</v>
      </c>
      <c r="N247" s="10" t="str">
        <f t="shared" si="19"/>
        <v>REP211000</v>
      </c>
      <c r="O247" s="10" t="str">
        <f t="shared" si="20"/>
        <v>E</v>
      </c>
      <c r="P247" s="10" t="str">
        <f t="shared" si="21"/>
        <v>50</v>
      </c>
      <c r="Q247" s="10" t="str">
        <f t="shared" si="22"/>
        <v>ZRPA</v>
      </c>
      <c r="R247" s="10" t="str">
        <f t="shared" si="23"/>
        <v>25172110</v>
      </c>
    </row>
    <row r="248" spans="1:18" ht="38.25" hidden="1" x14ac:dyDescent="0.2">
      <c r="A248" s="21" t="s">
        <v>3817</v>
      </c>
      <c r="B248" s="8" t="s">
        <v>3816</v>
      </c>
      <c r="C248" s="8" t="s">
        <v>40</v>
      </c>
      <c r="D248" s="8" t="s">
        <v>986</v>
      </c>
      <c r="E248" s="8" t="s">
        <v>40</v>
      </c>
      <c r="F248" s="8" t="s">
        <v>39</v>
      </c>
      <c r="G248" s="8" t="s">
        <v>2775</v>
      </c>
      <c r="H248" s="8" t="s">
        <v>37</v>
      </c>
      <c r="I248" s="8" t="s">
        <v>53</v>
      </c>
      <c r="J248" s="8" t="s">
        <v>64</v>
      </c>
      <c r="K248" s="8" t="s">
        <v>3813</v>
      </c>
      <c r="L248" s="7">
        <v>6986</v>
      </c>
      <c r="M248" s="10" t="str">
        <f t="shared" si="18"/>
        <v>CMI02070300</v>
      </c>
      <c r="N248" s="10" t="str">
        <f t="shared" si="19"/>
        <v>REP211100</v>
      </c>
      <c r="O248" s="10" t="str">
        <f t="shared" si="20"/>
        <v>E</v>
      </c>
      <c r="P248" s="10" t="str">
        <f t="shared" si="21"/>
        <v>50</v>
      </c>
      <c r="Q248" s="10" t="str">
        <f t="shared" si="22"/>
        <v>ZRPA</v>
      </c>
      <c r="R248" s="10" t="str">
        <f t="shared" si="23"/>
        <v>25172600</v>
      </c>
    </row>
    <row r="249" spans="1:18" ht="38.25" hidden="1" x14ac:dyDescent="0.2">
      <c r="A249" s="21" t="s">
        <v>3815</v>
      </c>
      <c r="B249" s="8" t="s">
        <v>3814</v>
      </c>
      <c r="C249" s="8" t="s">
        <v>40</v>
      </c>
      <c r="D249" s="8" t="s">
        <v>986</v>
      </c>
      <c r="E249" s="8" t="s">
        <v>40</v>
      </c>
      <c r="F249" s="8" t="s">
        <v>39</v>
      </c>
      <c r="G249" s="8" t="s">
        <v>2775</v>
      </c>
      <c r="H249" s="8" t="s">
        <v>37</v>
      </c>
      <c r="I249" s="8" t="s">
        <v>53</v>
      </c>
      <c r="J249" s="8" t="s">
        <v>64</v>
      </c>
      <c r="K249" s="8" t="s">
        <v>3813</v>
      </c>
      <c r="L249" s="7">
        <v>6987</v>
      </c>
      <c r="M249" s="10" t="str">
        <f t="shared" si="18"/>
        <v>CMI02070300</v>
      </c>
      <c r="N249" s="10" t="str">
        <f t="shared" si="19"/>
        <v>REP211100</v>
      </c>
      <c r="O249" s="10" t="str">
        <f t="shared" si="20"/>
        <v>E</v>
      </c>
      <c r="P249" s="10" t="str">
        <f t="shared" si="21"/>
        <v>50</v>
      </c>
      <c r="Q249" s="10" t="str">
        <f t="shared" si="22"/>
        <v>ZRPA</v>
      </c>
      <c r="R249" s="10" t="str">
        <f t="shared" si="23"/>
        <v>25172600</v>
      </c>
    </row>
    <row r="250" spans="1:18" ht="38.25" hidden="1" x14ac:dyDescent="0.2">
      <c r="A250" s="21" t="s">
        <v>3812</v>
      </c>
      <c r="B250" s="8" t="s">
        <v>3811</v>
      </c>
      <c r="C250" s="8" t="s">
        <v>40</v>
      </c>
      <c r="D250" s="8" t="s">
        <v>986</v>
      </c>
      <c r="E250" s="8" t="s">
        <v>40</v>
      </c>
      <c r="F250" s="8" t="s">
        <v>39</v>
      </c>
      <c r="G250" s="8" t="s">
        <v>2775</v>
      </c>
      <c r="H250" s="8" t="s">
        <v>37</v>
      </c>
      <c r="I250" s="8" t="s">
        <v>53</v>
      </c>
      <c r="J250" s="8" t="s">
        <v>64</v>
      </c>
      <c r="K250" s="8" t="s">
        <v>3805</v>
      </c>
      <c r="L250" s="7">
        <v>6988</v>
      </c>
      <c r="M250" s="10" t="str">
        <f t="shared" si="18"/>
        <v>CMI02070300</v>
      </c>
      <c r="N250" s="10" t="str">
        <f t="shared" si="19"/>
        <v>REP211100</v>
      </c>
      <c r="O250" s="10" t="str">
        <f t="shared" si="20"/>
        <v>E</v>
      </c>
      <c r="P250" s="10" t="str">
        <f t="shared" si="21"/>
        <v>50</v>
      </c>
      <c r="Q250" s="10" t="str">
        <f t="shared" si="22"/>
        <v>ZRPA</v>
      </c>
      <c r="R250" s="10" t="str">
        <f t="shared" si="23"/>
        <v>25174200</v>
      </c>
    </row>
    <row r="251" spans="1:18" ht="38.25" hidden="1" x14ac:dyDescent="0.2">
      <c r="A251" s="21" t="s">
        <v>3810</v>
      </c>
      <c r="B251" s="8" t="s">
        <v>3809</v>
      </c>
      <c r="C251" s="8" t="s">
        <v>40</v>
      </c>
      <c r="D251" s="8" t="s">
        <v>986</v>
      </c>
      <c r="E251" s="8" t="s">
        <v>40</v>
      </c>
      <c r="F251" s="8" t="s">
        <v>39</v>
      </c>
      <c r="G251" s="8" t="s">
        <v>2775</v>
      </c>
      <c r="H251" s="8" t="s">
        <v>37</v>
      </c>
      <c r="I251" s="8" t="s">
        <v>53</v>
      </c>
      <c r="J251" s="8" t="s">
        <v>64</v>
      </c>
      <c r="K251" s="8" t="s">
        <v>3808</v>
      </c>
      <c r="L251" s="7">
        <v>6989</v>
      </c>
      <c r="M251" s="10" t="str">
        <f t="shared" si="18"/>
        <v>CMI02070300</v>
      </c>
      <c r="N251" s="10" t="str">
        <f t="shared" si="19"/>
        <v>REP211100</v>
      </c>
      <c r="O251" s="10" t="str">
        <f t="shared" si="20"/>
        <v>E</v>
      </c>
      <c r="P251" s="10" t="str">
        <f t="shared" si="21"/>
        <v>50</v>
      </c>
      <c r="Q251" s="10" t="str">
        <f t="shared" si="22"/>
        <v>ZRPA</v>
      </c>
      <c r="R251" s="10" t="str">
        <f t="shared" si="23"/>
        <v>25172304</v>
      </c>
    </row>
    <row r="252" spans="1:18" ht="38.25" hidden="1" x14ac:dyDescent="0.2">
      <c r="A252" s="21" t="s">
        <v>3807</v>
      </c>
      <c r="B252" s="8" t="s">
        <v>3806</v>
      </c>
      <c r="C252" s="8" t="s">
        <v>40</v>
      </c>
      <c r="D252" s="8" t="s">
        <v>986</v>
      </c>
      <c r="E252" s="8" t="s">
        <v>40</v>
      </c>
      <c r="F252" s="8" t="s">
        <v>39</v>
      </c>
      <c r="G252" s="8" t="s">
        <v>2775</v>
      </c>
      <c r="H252" s="8" t="s">
        <v>37</v>
      </c>
      <c r="I252" s="8" t="s">
        <v>53</v>
      </c>
      <c r="J252" s="8" t="s">
        <v>64</v>
      </c>
      <c r="K252" s="8" t="s">
        <v>3805</v>
      </c>
      <c r="L252" s="7">
        <v>6990</v>
      </c>
      <c r="M252" s="10" t="str">
        <f t="shared" si="18"/>
        <v>CMI02070300</v>
      </c>
      <c r="N252" s="10" t="str">
        <f t="shared" si="19"/>
        <v>REP211100</v>
      </c>
      <c r="O252" s="10" t="str">
        <f t="shared" si="20"/>
        <v>E</v>
      </c>
      <c r="P252" s="10" t="str">
        <f t="shared" si="21"/>
        <v>50</v>
      </c>
      <c r="Q252" s="10" t="str">
        <f t="shared" si="22"/>
        <v>ZRPA</v>
      </c>
      <c r="R252" s="10" t="str">
        <f t="shared" si="23"/>
        <v>25174200</v>
      </c>
    </row>
    <row r="253" spans="1:18" ht="38.25" hidden="1" x14ac:dyDescent="0.2">
      <c r="A253" s="21" t="s">
        <v>3804</v>
      </c>
      <c r="B253" s="8" t="s">
        <v>3803</v>
      </c>
      <c r="C253" s="8" t="s">
        <v>40</v>
      </c>
      <c r="D253" s="8" t="s">
        <v>986</v>
      </c>
      <c r="E253" s="8" t="s">
        <v>40</v>
      </c>
      <c r="F253" s="8" t="s">
        <v>39</v>
      </c>
      <c r="G253" s="8" t="s">
        <v>2775</v>
      </c>
      <c r="H253" s="8" t="s">
        <v>37</v>
      </c>
      <c r="I253" s="8" t="s">
        <v>53</v>
      </c>
      <c r="J253" s="8" t="s">
        <v>64</v>
      </c>
      <c r="K253" s="8" t="s">
        <v>3802</v>
      </c>
      <c r="L253" s="7">
        <v>6991</v>
      </c>
      <c r="M253" s="10" t="str">
        <f t="shared" si="18"/>
        <v>CMI02070300</v>
      </c>
      <c r="N253" s="10" t="str">
        <f t="shared" si="19"/>
        <v>REP211100</v>
      </c>
      <c r="O253" s="10" t="str">
        <f t="shared" si="20"/>
        <v>E</v>
      </c>
      <c r="P253" s="10" t="str">
        <f t="shared" si="21"/>
        <v>50</v>
      </c>
      <c r="Q253" s="10" t="str">
        <f t="shared" si="22"/>
        <v>ZRPA</v>
      </c>
      <c r="R253" s="10" t="str">
        <f t="shared" si="23"/>
        <v>25173812</v>
      </c>
    </row>
    <row r="254" spans="1:18" ht="38.25" hidden="1" x14ac:dyDescent="0.2">
      <c r="A254" s="21" t="s">
        <v>3801</v>
      </c>
      <c r="B254" s="8" t="s">
        <v>3800</v>
      </c>
      <c r="C254" s="8" t="s">
        <v>40</v>
      </c>
      <c r="D254" s="8" t="s">
        <v>986</v>
      </c>
      <c r="E254" s="8" t="s">
        <v>40</v>
      </c>
      <c r="F254" s="8" t="s">
        <v>39</v>
      </c>
      <c r="G254" s="8" t="s">
        <v>2775</v>
      </c>
      <c r="H254" s="8" t="s">
        <v>37</v>
      </c>
      <c r="I254" s="8" t="s">
        <v>53</v>
      </c>
      <c r="J254" s="8" t="s">
        <v>64</v>
      </c>
      <c r="K254" s="8" t="s">
        <v>3799</v>
      </c>
      <c r="L254" s="7">
        <v>6992</v>
      </c>
      <c r="M254" s="10" t="str">
        <f t="shared" si="18"/>
        <v>CMI02070300</v>
      </c>
      <c r="N254" s="10" t="str">
        <f t="shared" si="19"/>
        <v>REP211100</v>
      </c>
      <c r="O254" s="10" t="str">
        <f t="shared" si="20"/>
        <v>E</v>
      </c>
      <c r="P254" s="10" t="str">
        <f t="shared" si="21"/>
        <v>50</v>
      </c>
      <c r="Q254" s="10" t="str">
        <f t="shared" si="22"/>
        <v>ZRPA</v>
      </c>
      <c r="R254" s="10" t="str">
        <f t="shared" si="23"/>
        <v>25173810</v>
      </c>
    </row>
    <row r="255" spans="1:18" ht="38.25" hidden="1" x14ac:dyDescent="0.2">
      <c r="A255" s="21" t="s">
        <v>3798</v>
      </c>
      <c r="B255" s="8" t="s">
        <v>3797</v>
      </c>
      <c r="C255" s="8" t="s">
        <v>40</v>
      </c>
      <c r="D255" s="8" t="s">
        <v>986</v>
      </c>
      <c r="E255" s="8" t="s">
        <v>40</v>
      </c>
      <c r="F255" s="8" t="s">
        <v>39</v>
      </c>
      <c r="G255" s="8" t="s">
        <v>2775</v>
      </c>
      <c r="H255" s="8" t="s">
        <v>37</v>
      </c>
      <c r="I255" s="8" t="s">
        <v>53</v>
      </c>
      <c r="J255" s="8" t="s">
        <v>64</v>
      </c>
      <c r="K255" s="8" t="s">
        <v>3796</v>
      </c>
      <c r="L255" s="7">
        <v>6993</v>
      </c>
      <c r="M255" s="10" t="str">
        <f t="shared" si="18"/>
        <v>CMI02070300</v>
      </c>
      <c r="N255" s="10" t="str">
        <f t="shared" si="19"/>
        <v>REP211100</v>
      </c>
      <c r="O255" s="10" t="str">
        <f t="shared" si="20"/>
        <v>E</v>
      </c>
      <c r="P255" s="10" t="str">
        <f t="shared" si="21"/>
        <v>50</v>
      </c>
      <c r="Q255" s="10" t="str">
        <f t="shared" si="22"/>
        <v>ZRPA</v>
      </c>
      <c r="R255" s="10" t="str">
        <f t="shared" si="23"/>
        <v>25172303</v>
      </c>
    </row>
    <row r="256" spans="1:18" ht="38.25" hidden="1" x14ac:dyDescent="0.2">
      <c r="A256" s="21" t="s">
        <v>3795</v>
      </c>
      <c r="B256" s="8" t="s">
        <v>3794</v>
      </c>
      <c r="C256" s="8" t="s">
        <v>40</v>
      </c>
      <c r="D256" s="8" t="s">
        <v>2240</v>
      </c>
      <c r="E256" s="8" t="s">
        <v>40</v>
      </c>
      <c r="F256" s="8" t="s">
        <v>39</v>
      </c>
      <c r="G256" s="8" t="s">
        <v>3725</v>
      </c>
      <c r="H256" s="8" t="s">
        <v>37</v>
      </c>
      <c r="I256" s="8" t="s">
        <v>53</v>
      </c>
      <c r="J256" s="8" t="s">
        <v>64</v>
      </c>
      <c r="K256" s="8" t="s">
        <v>3793</v>
      </c>
      <c r="L256" s="7">
        <v>6994</v>
      </c>
      <c r="M256" s="10" t="str">
        <f t="shared" si="18"/>
        <v>CMI02070200</v>
      </c>
      <c r="N256" s="10" t="str">
        <f t="shared" si="19"/>
        <v>REP211200</v>
      </c>
      <c r="O256" s="10" t="str">
        <f t="shared" si="20"/>
        <v>E</v>
      </c>
      <c r="P256" s="10" t="str">
        <f t="shared" si="21"/>
        <v>50</v>
      </c>
      <c r="Q256" s="10" t="str">
        <f t="shared" si="22"/>
        <v>ZRPA</v>
      </c>
      <c r="R256" s="10" t="str">
        <f t="shared" si="23"/>
        <v>25172509</v>
      </c>
    </row>
    <row r="257" spans="1:18" ht="38.25" hidden="1" x14ac:dyDescent="0.2">
      <c r="A257" s="21" t="s">
        <v>3792</v>
      </c>
      <c r="B257" s="8" t="s">
        <v>3791</v>
      </c>
      <c r="C257" s="8" t="s">
        <v>40</v>
      </c>
      <c r="D257" s="8" t="s">
        <v>986</v>
      </c>
      <c r="E257" s="8" t="s">
        <v>40</v>
      </c>
      <c r="F257" s="8" t="s">
        <v>39</v>
      </c>
      <c r="G257" s="8" t="s">
        <v>2806</v>
      </c>
      <c r="H257" s="8" t="s">
        <v>37</v>
      </c>
      <c r="I257" s="8" t="s">
        <v>53</v>
      </c>
      <c r="J257" s="8" t="s">
        <v>64</v>
      </c>
      <c r="K257" s="8" t="s">
        <v>3790</v>
      </c>
      <c r="L257" s="7">
        <v>6995</v>
      </c>
      <c r="M257" s="10" t="str">
        <f t="shared" si="18"/>
        <v>CMI02070300</v>
      </c>
      <c r="N257" s="10" t="str">
        <f t="shared" si="19"/>
        <v>REP211000</v>
      </c>
      <c r="O257" s="10" t="str">
        <f t="shared" si="20"/>
        <v>E</v>
      </c>
      <c r="P257" s="10" t="str">
        <f t="shared" si="21"/>
        <v>50</v>
      </c>
      <c r="Q257" s="10" t="str">
        <f t="shared" si="22"/>
        <v>ZRPA</v>
      </c>
      <c r="R257" s="10" t="str">
        <f t="shared" si="23"/>
        <v>26101504</v>
      </c>
    </row>
    <row r="258" spans="1:18" ht="38.25" hidden="1" x14ac:dyDescent="0.2">
      <c r="A258" s="21" t="s">
        <v>3789</v>
      </c>
      <c r="B258" s="8" t="s">
        <v>3788</v>
      </c>
      <c r="C258" s="8" t="s">
        <v>40</v>
      </c>
      <c r="D258" s="8" t="s">
        <v>986</v>
      </c>
      <c r="E258" s="8" t="s">
        <v>40</v>
      </c>
      <c r="F258" s="8" t="s">
        <v>39</v>
      </c>
      <c r="G258" s="8" t="s">
        <v>2775</v>
      </c>
      <c r="H258" s="8" t="s">
        <v>37</v>
      </c>
      <c r="I258" s="8" t="s">
        <v>53</v>
      </c>
      <c r="J258" s="8" t="s">
        <v>64</v>
      </c>
      <c r="K258" s="8" t="s">
        <v>3787</v>
      </c>
      <c r="L258" s="7">
        <v>6996</v>
      </c>
      <c r="M258" s="10" t="str">
        <f t="shared" si="18"/>
        <v>CMI02070300</v>
      </c>
      <c r="N258" s="10" t="str">
        <f t="shared" si="19"/>
        <v>REP211100</v>
      </c>
      <c r="O258" s="10" t="str">
        <f t="shared" si="20"/>
        <v>E</v>
      </c>
      <c r="P258" s="10" t="str">
        <f t="shared" si="21"/>
        <v>50</v>
      </c>
      <c r="Q258" s="10" t="str">
        <f t="shared" si="22"/>
        <v>ZRPA</v>
      </c>
      <c r="R258" s="10" t="str">
        <f t="shared" si="23"/>
        <v>26101755</v>
      </c>
    </row>
    <row r="259" spans="1:18" ht="38.25" hidden="1" x14ac:dyDescent="0.2">
      <c r="A259" s="21" t="s">
        <v>3786</v>
      </c>
      <c r="B259" s="8" t="s">
        <v>3785</v>
      </c>
      <c r="C259" s="8" t="s">
        <v>40</v>
      </c>
      <c r="D259" s="8" t="s">
        <v>986</v>
      </c>
      <c r="E259" s="8" t="s">
        <v>40</v>
      </c>
      <c r="F259" s="8" t="s">
        <v>39</v>
      </c>
      <c r="G259" s="8" t="s">
        <v>2775</v>
      </c>
      <c r="H259" s="8" t="s">
        <v>37</v>
      </c>
      <c r="I259" s="8" t="s">
        <v>53</v>
      </c>
      <c r="J259" s="8" t="s">
        <v>64</v>
      </c>
      <c r="K259" s="8" t="s">
        <v>3538</v>
      </c>
      <c r="L259" s="7">
        <v>6997</v>
      </c>
      <c r="M259" s="10" t="str">
        <f t="shared" ref="M259:M322" si="24">+LEFT(D259,11)</f>
        <v>CMI02070300</v>
      </c>
      <c r="N259" s="10" t="str">
        <f t="shared" ref="N259:N322" si="25">+LEFT(G259,9)</f>
        <v>REP211100</v>
      </c>
      <c r="O259" s="10" t="str">
        <f t="shared" ref="O259:O322" si="26">+LEFT(H259,1)</f>
        <v>E</v>
      </c>
      <c r="P259" s="10" t="str">
        <f t="shared" ref="P259:P322" si="27">+LEFT(I259,2)</f>
        <v>50</v>
      </c>
      <c r="Q259" s="10" t="str">
        <f t="shared" ref="Q259:Q322" si="28">+LEFT(J259,4)</f>
        <v>ZRPA</v>
      </c>
      <c r="R259" s="10" t="str">
        <f t="shared" ref="R259:R322" si="29">+LEFT(K259,8)</f>
        <v>26111800</v>
      </c>
    </row>
    <row r="260" spans="1:18" ht="38.25" hidden="1" x14ac:dyDescent="0.2">
      <c r="A260" s="21" t="s">
        <v>3784</v>
      </c>
      <c r="B260" s="8" t="s">
        <v>3783</v>
      </c>
      <c r="C260" s="8" t="s">
        <v>40</v>
      </c>
      <c r="D260" s="8" t="s">
        <v>986</v>
      </c>
      <c r="E260" s="8" t="s">
        <v>40</v>
      </c>
      <c r="F260" s="8" t="s">
        <v>39</v>
      </c>
      <c r="G260" s="8" t="s">
        <v>2775</v>
      </c>
      <c r="H260" s="8" t="s">
        <v>37</v>
      </c>
      <c r="I260" s="8" t="s">
        <v>53</v>
      </c>
      <c r="J260" s="8" t="s">
        <v>64</v>
      </c>
      <c r="K260" s="8" t="s">
        <v>2828</v>
      </c>
      <c r="L260" s="7">
        <v>6998</v>
      </c>
      <c r="M260" s="10" t="str">
        <f t="shared" si="24"/>
        <v>CMI02070300</v>
      </c>
      <c r="N260" s="10" t="str">
        <f t="shared" si="25"/>
        <v>REP211100</v>
      </c>
      <c r="O260" s="10" t="str">
        <f t="shared" si="26"/>
        <v>E</v>
      </c>
      <c r="P260" s="10" t="str">
        <f t="shared" si="27"/>
        <v>50</v>
      </c>
      <c r="Q260" s="10" t="str">
        <f t="shared" si="28"/>
        <v>ZRPA</v>
      </c>
      <c r="R260" s="10" t="str">
        <f t="shared" si="29"/>
        <v>26101904</v>
      </c>
    </row>
    <row r="261" spans="1:18" ht="38.25" hidden="1" x14ac:dyDescent="0.2">
      <c r="A261" s="21" t="s">
        <v>3782</v>
      </c>
      <c r="B261" s="8" t="s">
        <v>3781</v>
      </c>
      <c r="C261" s="8" t="s">
        <v>40</v>
      </c>
      <c r="D261" s="8" t="s">
        <v>986</v>
      </c>
      <c r="E261" s="8" t="s">
        <v>40</v>
      </c>
      <c r="F261" s="8" t="s">
        <v>39</v>
      </c>
      <c r="G261" s="8" t="s">
        <v>2775</v>
      </c>
      <c r="H261" s="8" t="s">
        <v>37</v>
      </c>
      <c r="I261" s="8" t="s">
        <v>53</v>
      </c>
      <c r="J261" s="8" t="s">
        <v>64</v>
      </c>
      <c r="K261" s="8" t="s">
        <v>3780</v>
      </c>
      <c r="L261" s="7">
        <v>6999</v>
      </c>
      <c r="M261" s="10" t="str">
        <f t="shared" si="24"/>
        <v>CMI02070300</v>
      </c>
      <c r="N261" s="10" t="str">
        <f t="shared" si="25"/>
        <v>REP211100</v>
      </c>
      <c r="O261" s="10" t="str">
        <f t="shared" si="26"/>
        <v>E</v>
      </c>
      <c r="P261" s="10" t="str">
        <f t="shared" si="27"/>
        <v>50</v>
      </c>
      <c r="Q261" s="10" t="str">
        <f t="shared" si="28"/>
        <v>ZRPA</v>
      </c>
      <c r="R261" s="10" t="str">
        <f t="shared" si="29"/>
        <v>40151524</v>
      </c>
    </row>
    <row r="262" spans="1:18" ht="25.5" hidden="1" x14ac:dyDescent="0.2">
      <c r="A262" s="21" t="s">
        <v>3779</v>
      </c>
      <c r="B262" s="8" t="s">
        <v>3778</v>
      </c>
      <c r="C262" s="8" t="s">
        <v>40</v>
      </c>
      <c r="D262" s="8" t="s">
        <v>3777</v>
      </c>
      <c r="E262" s="8" t="s">
        <v>40</v>
      </c>
      <c r="F262" s="8" t="s">
        <v>39</v>
      </c>
      <c r="G262" s="8" t="s">
        <v>2775</v>
      </c>
      <c r="H262" s="8" t="s">
        <v>37</v>
      </c>
      <c r="I262" s="8" t="s">
        <v>53</v>
      </c>
      <c r="J262" s="8" t="s">
        <v>64</v>
      </c>
      <c r="K262" s="8" t="s">
        <v>2882</v>
      </c>
      <c r="L262" s="7">
        <v>7000</v>
      </c>
      <c r="M262" s="10" t="str">
        <f t="shared" si="24"/>
        <v>CMI05010600</v>
      </c>
      <c r="N262" s="10" t="str">
        <f t="shared" si="25"/>
        <v>REP211100</v>
      </c>
      <c r="O262" s="10" t="str">
        <f t="shared" si="26"/>
        <v>E</v>
      </c>
      <c r="P262" s="10" t="str">
        <f t="shared" si="27"/>
        <v>50</v>
      </c>
      <c r="Q262" s="10" t="str">
        <f t="shared" si="28"/>
        <v>ZRPA</v>
      </c>
      <c r="R262" s="10" t="str">
        <f t="shared" si="29"/>
        <v>26101700</v>
      </c>
    </row>
    <row r="263" spans="1:18" ht="38.25" hidden="1" x14ac:dyDescent="0.2">
      <c r="A263" s="21" t="s">
        <v>3776</v>
      </c>
      <c r="B263" s="8" t="s">
        <v>3775</v>
      </c>
      <c r="C263" s="8" t="s">
        <v>40</v>
      </c>
      <c r="D263" s="8" t="s">
        <v>986</v>
      </c>
      <c r="E263" s="8" t="s">
        <v>40</v>
      </c>
      <c r="F263" s="8" t="s">
        <v>39</v>
      </c>
      <c r="G263" s="8" t="s">
        <v>2775</v>
      </c>
      <c r="H263" s="8" t="s">
        <v>37</v>
      </c>
      <c r="I263" s="8" t="s">
        <v>53</v>
      </c>
      <c r="J263" s="8" t="s">
        <v>64</v>
      </c>
      <c r="K263" s="8" t="s">
        <v>3774</v>
      </c>
      <c r="L263" s="7">
        <v>7001</v>
      </c>
      <c r="M263" s="10" t="str">
        <f t="shared" si="24"/>
        <v>CMI02070300</v>
      </c>
      <c r="N263" s="10" t="str">
        <f t="shared" si="25"/>
        <v>REP211100</v>
      </c>
      <c r="O263" s="10" t="str">
        <f t="shared" si="26"/>
        <v>E</v>
      </c>
      <c r="P263" s="10" t="str">
        <f t="shared" si="27"/>
        <v>50</v>
      </c>
      <c r="Q263" s="10" t="str">
        <f t="shared" si="28"/>
        <v>ZRPA</v>
      </c>
      <c r="R263" s="10" t="str">
        <f t="shared" si="29"/>
        <v>26111530</v>
      </c>
    </row>
    <row r="264" spans="1:18" ht="38.25" hidden="1" x14ac:dyDescent="0.2">
      <c r="A264" s="21" t="s">
        <v>3773</v>
      </c>
      <c r="B264" s="8" t="s">
        <v>3772</v>
      </c>
      <c r="C264" s="8" t="s">
        <v>40</v>
      </c>
      <c r="D264" s="8" t="s">
        <v>986</v>
      </c>
      <c r="E264" s="8" t="s">
        <v>40</v>
      </c>
      <c r="F264" s="8" t="s">
        <v>39</v>
      </c>
      <c r="G264" s="8" t="s">
        <v>2775</v>
      </c>
      <c r="H264" s="8" t="s">
        <v>37</v>
      </c>
      <c r="I264" s="8" t="s">
        <v>53</v>
      </c>
      <c r="J264" s="8" t="s">
        <v>64</v>
      </c>
      <c r="K264" s="8" t="s">
        <v>3771</v>
      </c>
      <c r="L264" s="7">
        <v>7002</v>
      </c>
      <c r="M264" s="10" t="str">
        <f t="shared" si="24"/>
        <v>CMI02070300</v>
      </c>
      <c r="N264" s="10" t="str">
        <f t="shared" si="25"/>
        <v>REP211100</v>
      </c>
      <c r="O264" s="10" t="str">
        <f t="shared" si="26"/>
        <v>E</v>
      </c>
      <c r="P264" s="10" t="str">
        <f t="shared" si="27"/>
        <v>50</v>
      </c>
      <c r="Q264" s="10" t="str">
        <f t="shared" si="28"/>
        <v>ZRPA</v>
      </c>
      <c r="R264" s="10" t="str">
        <f t="shared" si="29"/>
        <v>31171509</v>
      </c>
    </row>
    <row r="265" spans="1:18" ht="38.25" hidden="1" x14ac:dyDescent="0.2">
      <c r="A265" s="21" t="s">
        <v>3770</v>
      </c>
      <c r="B265" s="8" t="s">
        <v>3769</v>
      </c>
      <c r="C265" s="8" t="s">
        <v>40</v>
      </c>
      <c r="D265" s="8" t="s">
        <v>986</v>
      </c>
      <c r="E265" s="8" t="s">
        <v>40</v>
      </c>
      <c r="F265" s="8" t="s">
        <v>39</v>
      </c>
      <c r="G265" s="8" t="s">
        <v>2775</v>
      </c>
      <c r="H265" s="8" t="s">
        <v>37</v>
      </c>
      <c r="I265" s="8" t="s">
        <v>53</v>
      </c>
      <c r="J265" s="8" t="s">
        <v>64</v>
      </c>
      <c r="K265" s="8" t="s">
        <v>2188</v>
      </c>
      <c r="L265" s="7">
        <v>7003</v>
      </c>
      <c r="M265" s="10" t="str">
        <f t="shared" si="24"/>
        <v>CMI02070300</v>
      </c>
      <c r="N265" s="10" t="str">
        <f t="shared" si="25"/>
        <v>REP211100</v>
      </c>
      <c r="O265" s="10" t="str">
        <f t="shared" si="26"/>
        <v>E</v>
      </c>
      <c r="P265" s="10" t="str">
        <f t="shared" si="27"/>
        <v>50</v>
      </c>
      <c r="Q265" s="10" t="str">
        <f t="shared" si="28"/>
        <v>ZRPA</v>
      </c>
      <c r="R265" s="10" t="str">
        <f t="shared" si="29"/>
        <v>24112400</v>
      </c>
    </row>
    <row r="266" spans="1:18" ht="38.25" hidden="1" x14ac:dyDescent="0.2">
      <c r="A266" s="21" t="s">
        <v>3768</v>
      </c>
      <c r="B266" s="8" t="s">
        <v>3767</v>
      </c>
      <c r="C266" s="8" t="s">
        <v>40</v>
      </c>
      <c r="D266" s="8" t="s">
        <v>986</v>
      </c>
      <c r="E266" s="8" t="s">
        <v>40</v>
      </c>
      <c r="F266" s="8" t="s">
        <v>39</v>
      </c>
      <c r="G266" s="8" t="s">
        <v>2775</v>
      </c>
      <c r="H266" s="8" t="s">
        <v>37</v>
      </c>
      <c r="I266" s="8" t="s">
        <v>53</v>
      </c>
      <c r="J266" s="8" t="s">
        <v>64</v>
      </c>
      <c r="K266" s="8" t="s">
        <v>3766</v>
      </c>
      <c r="L266" s="7">
        <v>7004</v>
      </c>
      <c r="M266" s="10" t="str">
        <f t="shared" si="24"/>
        <v>CMI02070300</v>
      </c>
      <c r="N266" s="10" t="str">
        <f t="shared" si="25"/>
        <v>REP211100</v>
      </c>
      <c r="O266" s="10" t="str">
        <f t="shared" si="26"/>
        <v>E</v>
      </c>
      <c r="P266" s="10" t="str">
        <f t="shared" si="27"/>
        <v>50</v>
      </c>
      <c r="Q266" s="10" t="str">
        <f t="shared" si="28"/>
        <v>ZRPA</v>
      </c>
      <c r="R266" s="10" t="str">
        <f t="shared" si="29"/>
        <v>25174003</v>
      </c>
    </row>
    <row r="267" spans="1:18" ht="38.25" hidden="1" x14ac:dyDescent="0.2">
      <c r="A267" s="21" t="s">
        <v>3765</v>
      </c>
      <c r="B267" s="8" t="s">
        <v>3764</v>
      </c>
      <c r="C267" s="8" t="s">
        <v>40</v>
      </c>
      <c r="D267" s="8" t="s">
        <v>986</v>
      </c>
      <c r="E267" s="8" t="s">
        <v>40</v>
      </c>
      <c r="F267" s="8" t="s">
        <v>39</v>
      </c>
      <c r="G267" s="8" t="s">
        <v>2775</v>
      </c>
      <c r="H267" s="8" t="s">
        <v>37</v>
      </c>
      <c r="I267" s="8" t="s">
        <v>53</v>
      </c>
      <c r="J267" s="8" t="s">
        <v>64</v>
      </c>
      <c r="K267" s="8" t="s">
        <v>3763</v>
      </c>
      <c r="L267" s="7">
        <v>7005</v>
      </c>
      <c r="M267" s="10" t="str">
        <f t="shared" si="24"/>
        <v>CMI02070300</v>
      </c>
      <c r="N267" s="10" t="str">
        <f t="shared" si="25"/>
        <v>REP211100</v>
      </c>
      <c r="O267" s="10" t="str">
        <f t="shared" si="26"/>
        <v>E</v>
      </c>
      <c r="P267" s="10" t="str">
        <f t="shared" si="27"/>
        <v>50</v>
      </c>
      <c r="Q267" s="10" t="str">
        <f t="shared" si="28"/>
        <v>ZRPA</v>
      </c>
      <c r="R267" s="10" t="str">
        <f t="shared" si="29"/>
        <v>25172009</v>
      </c>
    </row>
    <row r="268" spans="1:18" ht="38.25" hidden="1" x14ac:dyDescent="0.2">
      <c r="A268" s="21" t="s">
        <v>3762</v>
      </c>
      <c r="B268" s="8" t="s">
        <v>3761</v>
      </c>
      <c r="C268" s="8" t="s">
        <v>40</v>
      </c>
      <c r="D268" s="8" t="s">
        <v>986</v>
      </c>
      <c r="E268" s="8" t="s">
        <v>40</v>
      </c>
      <c r="F268" s="8" t="s">
        <v>39</v>
      </c>
      <c r="G268" s="8" t="s">
        <v>2775</v>
      </c>
      <c r="H268" s="8" t="s">
        <v>37</v>
      </c>
      <c r="I268" s="8" t="s">
        <v>53</v>
      </c>
      <c r="J268" s="8" t="s">
        <v>64</v>
      </c>
      <c r="K268" s="8" t="s">
        <v>3760</v>
      </c>
      <c r="L268" s="7">
        <v>7006</v>
      </c>
      <c r="M268" s="10" t="str">
        <f t="shared" si="24"/>
        <v>CMI02070300</v>
      </c>
      <c r="N268" s="10" t="str">
        <f t="shared" si="25"/>
        <v>REP211100</v>
      </c>
      <c r="O268" s="10" t="str">
        <f t="shared" si="26"/>
        <v>E</v>
      </c>
      <c r="P268" s="10" t="str">
        <f t="shared" si="27"/>
        <v>50</v>
      </c>
      <c r="Q268" s="10" t="str">
        <f t="shared" si="28"/>
        <v>ZRPA</v>
      </c>
      <c r="R268" s="10" t="str">
        <f t="shared" si="29"/>
        <v>31401507</v>
      </c>
    </row>
    <row r="269" spans="1:18" ht="38.25" hidden="1" x14ac:dyDescent="0.2">
      <c r="A269" s="21" t="s">
        <v>3759</v>
      </c>
      <c r="B269" s="8" t="s">
        <v>3758</v>
      </c>
      <c r="C269" s="8" t="s">
        <v>40</v>
      </c>
      <c r="D269" s="8" t="s">
        <v>986</v>
      </c>
      <c r="E269" s="8" t="s">
        <v>40</v>
      </c>
      <c r="F269" s="8" t="s">
        <v>39</v>
      </c>
      <c r="G269" s="8" t="s">
        <v>2775</v>
      </c>
      <c r="H269" s="8" t="s">
        <v>37</v>
      </c>
      <c r="I269" s="8" t="s">
        <v>53</v>
      </c>
      <c r="J269" s="8" t="s">
        <v>64</v>
      </c>
      <c r="K269" s="8" t="s">
        <v>3673</v>
      </c>
      <c r="L269" s="7">
        <v>7007</v>
      </c>
      <c r="M269" s="10" t="str">
        <f t="shared" si="24"/>
        <v>CMI02070300</v>
      </c>
      <c r="N269" s="10" t="str">
        <f t="shared" si="25"/>
        <v>REP211100</v>
      </c>
      <c r="O269" s="10" t="str">
        <f t="shared" si="26"/>
        <v>E</v>
      </c>
      <c r="P269" s="10" t="str">
        <f t="shared" si="27"/>
        <v>50</v>
      </c>
      <c r="Q269" s="10" t="str">
        <f t="shared" si="28"/>
        <v>ZRPA</v>
      </c>
      <c r="R269" s="10" t="str">
        <f t="shared" si="29"/>
        <v>31163200</v>
      </c>
    </row>
    <row r="270" spans="1:18" ht="38.25" hidden="1" x14ac:dyDescent="0.2">
      <c r="A270" s="21" t="s">
        <v>3757</v>
      </c>
      <c r="B270" s="8" t="s">
        <v>3756</v>
      </c>
      <c r="C270" s="8" t="s">
        <v>40</v>
      </c>
      <c r="D270" s="8" t="s">
        <v>986</v>
      </c>
      <c r="E270" s="8" t="s">
        <v>40</v>
      </c>
      <c r="F270" s="8" t="s">
        <v>39</v>
      </c>
      <c r="G270" s="8" t="s">
        <v>2775</v>
      </c>
      <c r="H270" s="8" t="s">
        <v>37</v>
      </c>
      <c r="I270" s="8" t="s">
        <v>53</v>
      </c>
      <c r="J270" s="8" t="s">
        <v>64</v>
      </c>
      <c r="K270" s="8" t="s">
        <v>3755</v>
      </c>
      <c r="L270" s="7">
        <v>7008</v>
      </c>
      <c r="M270" s="10" t="str">
        <f t="shared" si="24"/>
        <v>CMI02070300</v>
      </c>
      <c r="N270" s="10" t="str">
        <f t="shared" si="25"/>
        <v>REP211100</v>
      </c>
      <c r="O270" s="10" t="str">
        <f t="shared" si="26"/>
        <v>E</v>
      </c>
      <c r="P270" s="10" t="str">
        <f t="shared" si="27"/>
        <v>50</v>
      </c>
      <c r="Q270" s="10" t="str">
        <f t="shared" si="28"/>
        <v>ZRPA</v>
      </c>
      <c r="R270" s="10" t="str">
        <f t="shared" si="29"/>
        <v>31161902</v>
      </c>
    </row>
    <row r="271" spans="1:18" ht="25.5" hidden="1" x14ac:dyDescent="0.2">
      <c r="A271" s="21" t="s">
        <v>3754</v>
      </c>
      <c r="B271" s="8" t="s">
        <v>3753</v>
      </c>
      <c r="C271" s="8" t="s">
        <v>40</v>
      </c>
      <c r="D271" s="8" t="s">
        <v>969</v>
      </c>
      <c r="E271" s="8" t="s">
        <v>40</v>
      </c>
      <c r="F271" s="8" t="s">
        <v>39</v>
      </c>
      <c r="G271" s="8" t="s">
        <v>2775</v>
      </c>
      <c r="H271" s="8" t="s">
        <v>37</v>
      </c>
      <c r="I271" s="8" t="s">
        <v>53</v>
      </c>
      <c r="J271" s="8" t="s">
        <v>64</v>
      </c>
      <c r="K271" s="8" t="s">
        <v>3752</v>
      </c>
      <c r="L271" s="7">
        <v>7009</v>
      </c>
      <c r="M271" s="10" t="str">
        <f t="shared" si="24"/>
        <v>CMI02051200</v>
      </c>
      <c r="N271" s="10" t="str">
        <f t="shared" si="25"/>
        <v>REP211100</v>
      </c>
      <c r="O271" s="10" t="str">
        <f t="shared" si="26"/>
        <v>E</v>
      </c>
      <c r="P271" s="10" t="str">
        <f t="shared" si="27"/>
        <v>50</v>
      </c>
      <c r="Q271" s="10" t="str">
        <f t="shared" si="28"/>
        <v>ZRPA</v>
      </c>
      <c r="R271" s="10" t="str">
        <f t="shared" si="29"/>
        <v>39121612</v>
      </c>
    </row>
    <row r="272" spans="1:18" ht="25.5" hidden="1" x14ac:dyDescent="0.2">
      <c r="A272" s="21" t="s">
        <v>3751</v>
      </c>
      <c r="B272" s="8" t="s">
        <v>3750</v>
      </c>
      <c r="C272" s="8" t="s">
        <v>40</v>
      </c>
      <c r="D272" s="8" t="s">
        <v>947</v>
      </c>
      <c r="E272" s="8" t="s">
        <v>40</v>
      </c>
      <c r="F272" s="8" t="s">
        <v>39</v>
      </c>
      <c r="G272" s="8" t="s">
        <v>2806</v>
      </c>
      <c r="H272" s="8" t="s">
        <v>37</v>
      </c>
      <c r="I272" s="8" t="s">
        <v>53</v>
      </c>
      <c r="J272" s="8" t="s">
        <v>64</v>
      </c>
      <c r="K272" s="8" t="s">
        <v>2411</v>
      </c>
      <c r="L272" s="7">
        <v>7010</v>
      </c>
      <c r="M272" s="10" t="str">
        <f t="shared" si="24"/>
        <v>CMI02160200</v>
      </c>
      <c r="N272" s="10" t="str">
        <f t="shared" si="25"/>
        <v>REP211000</v>
      </c>
      <c r="O272" s="10" t="str">
        <f t="shared" si="26"/>
        <v>E</v>
      </c>
      <c r="P272" s="10" t="str">
        <f t="shared" si="27"/>
        <v>50</v>
      </c>
      <c r="Q272" s="10" t="str">
        <f t="shared" si="28"/>
        <v>ZRPA</v>
      </c>
      <c r="R272" s="10" t="str">
        <f t="shared" si="29"/>
        <v>26111701</v>
      </c>
    </row>
    <row r="273" spans="1:18" ht="25.5" hidden="1" x14ac:dyDescent="0.2">
      <c r="A273" s="21" t="s">
        <v>3749</v>
      </c>
      <c r="B273" s="8" t="s">
        <v>3748</v>
      </c>
      <c r="C273" s="8" t="s">
        <v>40</v>
      </c>
      <c r="D273" s="8" t="s">
        <v>1648</v>
      </c>
      <c r="E273" s="8" t="s">
        <v>40</v>
      </c>
      <c r="F273" s="8" t="s">
        <v>39</v>
      </c>
      <c r="G273" s="8" t="s">
        <v>2775</v>
      </c>
      <c r="H273" s="8" t="s">
        <v>37</v>
      </c>
      <c r="I273" s="8" t="s">
        <v>53</v>
      </c>
      <c r="J273" s="8" t="s">
        <v>64</v>
      </c>
      <c r="K273" s="8" t="s">
        <v>2882</v>
      </c>
      <c r="L273" s="7">
        <v>7011</v>
      </c>
      <c r="M273" s="10" t="str">
        <f t="shared" si="24"/>
        <v>CMI02070100</v>
      </c>
      <c r="N273" s="10" t="str">
        <f t="shared" si="25"/>
        <v>REP211100</v>
      </c>
      <c r="O273" s="10" t="str">
        <f t="shared" si="26"/>
        <v>E</v>
      </c>
      <c r="P273" s="10" t="str">
        <f t="shared" si="27"/>
        <v>50</v>
      </c>
      <c r="Q273" s="10" t="str">
        <f t="shared" si="28"/>
        <v>ZRPA</v>
      </c>
      <c r="R273" s="10" t="str">
        <f t="shared" si="29"/>
        <v>26101700</v>
      </c>
    </row>
    <row r="274" spans="1:18" ht="38.25" hidden="1" x14ac:dyDescent="0.2">
      <c r="A274" s="21" t="s">
        <v>3747</v>
      </c>
      <c r="B274" s="8" t="s">
        <v>3746</v>
      </c>
      <c r="C274" s="8" t="s">
        <v>40</v>
      </c>
      <c r="D274" s="8" t="s">
        <v>1648</v>
      </c>
      <c r="E274" s="8" t="s">
        <v>40</v>
      </c>
      <c r="F274" s="8" t="s">
        <v>39</v>
      </c>
      <c r="G274" s="8" t="s">
        <v>2806</v>
      </c>
      <c r="H274" s="8" t="s">
        <v>37</v>
      </c>
      <c r="I274" s="8" t="s">
        <v>53</v>
      </c>
      <c r="J274" s="8" t="s">
        <v>64</v>
      </c>
      <c r="K274" s="8" t="s">
        <v>3745</v>
      </c>
      <c r="L274" s="7">
        <v>7012</v>
      </c>
      <c r="M274" s="10" t="str">
        <f t="shared" si="24"/>
        <v>CMI02070100</v>
      </c>
      <c r="N274" s="10" t="str">
        <f t="shared" si="25"/>
        <v>REP211000</v>
      </c>
      <c r="O274" s="10" t="str">
        <f t="shared" si="26"/>
        <v>E</v>
      </c>
      <c r="P274" s="10" t="str">
        <f t="shared" si="27"/>
        <v>50</v>
      </c>
      <c r="Q274" s="10" t="str">
        <f t="shared" si="28"/>
        <v>ZRPA</v>
      </c>
      <c r="R274" s="10" t="str">
        <f t="shared" si="29"/>
        <v>25172907</v>
      </c>
    </row>
    <row r="275" spans="1:18" ht="25.5" hidden="1" x14ac:dyDescent="0.2">
      <c r="A275" s="21" t="s">
        <v>3744</v>
      </c>
      <c r="B275" s="8" t="s">
        <v>3743</v>
      </c>
      <c r="C275" s="8" t="s">
        <v>40</v>
      </c>
      <c r="D275" s="8" t="s">
        <v>1648</v>
      </c>
      <c r="E275" s="8" t="s">
        <v>40</v>
      </c>
      <c r="F275" s="8" t="s">
        <v>39</v>
      </c>
      <c r="G275" s="8" t="s">
        <v>2806</v>
      </c>
      <c r="H275" s="8" t="s">
        <v>37</v>
      </c>
      <c r="I275" s="8" t="s">
        <v>53</v>
      </c>
      <c r="J275" s="8" t="s">
        <v>64</v>
      </c>
      <c r="K275" s="8" t="s">
        <v>3742</v>
      </c>
      <c r="L275" s="7">
        <v>7013</v>
      </c>
      <c r="M275" s="10" t="str">
        <f t="shared" si="24"/>
        <v>CMI02070100</v>
      </c>
      <c r="N275" s="10" t="str">
        <f t="shared" si="25"/>
        <v>REP211000</v>
      </c>
      <c r="O275" s="10" t="str">
        <f t="shared" si="26"/>
        <v>E</v>
      </c>
      <c r="P275" s="10" t="str">
        <f t="shared" si="27"/>
        <v>50</v>
      </c>
      <c r="Q275" s="10" t="str">
        <f t="shared" si="28"/>
        <v>ZRPA</v>
      </c>
      <c r="R275" s="10" t="str">
        <f t="shared" si="29"/>
        <v>25172908</v>
      </c>
    </row>
    <row r="276" spans="1:18" ht="25.5" hidden="1" x14ac:dyDescent="0.2">
      <c r="A276" s="21" t="s">
        <v>3741</v>
      </c>
      <c r="B276" s="8" t="s">
        <v>3740</v>
      </c>
      <c r="C276" s="8" t="s">
        <v>40</v>
      </c>
      <c r="D276" s="8" t="s">
        <v>730</v>
      </c>
      <c r="E276" s="8" t="s">
        <v>40</v>
      </c>
      <c r="F276" s="8" t="s">
        <v>39</v>
      </c>
      <c r="G276" s="8" t="s">
        <v>2775</v>
      </c>
      <c r="H276" s="8" t="s">
        <v>37</v>
      </c>
      <c r="I276" s="8" t="s">
        <v>53</v>
      </c>
      <c r="J276" s="8" t="s">
        <v>64</v>
      </c>
      <c r="K276" s="8" t="s">
        <v>3739</v>
      </c>
      <c r="L276" s="7">
        <v>7014</v>
      </c>
      <c r="M276" s="10" t="str">
        <f t="shared" si="24"/>
        <v>CMI02130200</v>
      </c>
      <c r="N276" s="10" t="str">
        <f t="shared" si="25"/>
        <v>REP211100</v>
      </c>
      <c r="O276" s="10" t="str">
        <f t="shared" si="26"/>
        <v>E</v>
      </c>
      <c r="P276" s="10" t="str">
        <f t="shared" si="27"/>
        <v>50</v>
      </c>
      <c r="Q276" s="10" t="str">
        <f t="shared" si="28"/>
        <v>ZRPA</v>
      </c>
      <c r="R276" s="10" t="str">
        <f t="shared" si="29"/>
        <v>47131817</v>
      </c>
    </row>
    <row r="277" spans="1:18" ht="25.5" hidden="1" x14ac:dyDescent="0.2">
      <c r="A277" s="21" t="s">
        <v>3738</v>
      </c>
      <c r="B277" s="8" t="s">
        <v>3737</v>
      </c>
      <c r="C277" s="8" t="s">
        <v>40</v>
      </c>
      <c r="D277" s="8" t="s">
        <v>1648</v>
      </c>
      <c r="E277" s="8" t="s">
        <v>40</v>
      </c>
      <c r="F277" s="8" t="s">
        <v>39</v>
      </c>
      <c r="G277" s="8" t="s">
        <v>240</v>
      </c>
      <c r="H277" s="8" t="s">
        <v>37</v>
      </c>
      <c r="I277" s="8" t="s">
        <v>53</v>
      </c>
      <c r="J277" s="8" t="s">
        <v>64</v>
      </c>
      <c r="K277" s="8" t="s">
        <v>3736</v>
      </c>
      <c r="L277" s="7">
        <v>7015</v>
      </c>
      <c r="M277" s="10" t="str">
        <f t="shared" si="24"/>
        <v>CMI02070100</v>
      </c>
      <c r="N277" s="10" t="str">
        <f t="shared" si="25"/>
        <v>REP201000</v>
      </c>
      <c r="O277" s="10" t="str">
        <f t="shared" si="26"/>
        <v>E</v>
      </c>
      <c r="P277" s="10" t="str">
        <f t="shared" si="27"/>
        <v>50</v>
      </c>
      <c r="Q277" s="10" t="str">
        <f t="shared" si="28"/>
        <v>ZRPA</v>
      </c>
      <c r="R277" s="10" t="str">
        <f t="shared" si="29"/>
        <v>41111926</v>
      </c>
    </row>
    <row r="278" spans="1:18" ht="38.25" hidden="1" x14ac:dyDescent="0.2">
      <c r="A278" s="21" t="s">
        <v>3735</v>
      </c>
      <c r="B278" s="8" t="s">
        <v>3734</v>
      </c>
      <c r="C278" s="8" t="s">
        <v>40</v>
      </c>
      <c r="D278" s="8" t="s">
        <v>2240</v>
      </c>
      <c r="E278" s="8" t="s">
        <v>40</v>
      </c>
      <c r="F278" s="8" t="s">
        <v>39</v>
      </c>
      <c r="G278" s="8" t="s">
        <v>3725</v>
      </c>
      <c r="H278" s="8" t="s">
        <v>37</v>
      </c>
      <c r="I278" s="8" t="s">
        <v>53</v>
      </c>
      <c r="J278" s="8" t="s">
        <v>64</v>
      </c>
      <c r="K278" s="8" t="s">
        <v>3733</v>
      </c>
      <c r="L278" s="7">
        <v>7016</v>
      </c>
      <c r="M278" s="10" t="str">
        <f t="shared" si="24"/>
        <v>CMI02070200</v>
      </c>
      <c r="N278" s="10" t="str">
        <f t="shared" si="25"/>
        <v>REP211200</v>
      </c>
      <c r="O278" s="10" t="str">
        <f t="shared" si="26"/>
        <v>E</v>
      </c>
      <c r="P278" s="10" t="str">
        <f t="shared" si="27"/>
        <v>50</v>
      </c>
      <c r="Q278" s="10" t="str">
        <f t="shared" si="28"/>
        <v>ZRPA</v>
      </c>
      <c r="R278" s="10" t="str">
        <f t="shared" si="29"/>
        <v>25172504</v>
      </c>
    </row>
    <row r="279" spans="1:18" ht="25.5" hidden="1" x14ac:dyDescent="0.2">
      <c r="A279" s="21" t="s">
        <v>3732</v>
      </c>
      <c r="B279" s="8" t="s">
        <v>3731</v>
      </c>
      <c r="C279" s="8" t="s">
        <v>40</v>
      </c>
      <c r="D279" s="8" t="s">
        <v>1648</v>
      </c>
      <c r="E279" s="8" t="s">
        <v>40</v>
      </c>
      <c r="F279" s="8" t="s">
        <v>39</v>
      </c>
      <c r="G279" s="8" t="s">
        <v>2806</v>
      </c>
      <c r="H279" s="8" t="s">
        <v>37</v>
      </c>
      <c r="I279" s="8" t="s">
        <v>53</v>
      </c>
      <c r="J279" s="8" t="s">
        <v>64</v>
      </c>
      <c r="K279" s="8" t="s">
        <v>3730</v>
      </c>
      <c r="L279" s="7">
        <v>7017</v>
      </c>
      <c r="M279" s="10" t="str">
        <f t="shared" si="24"/>
        <v>CMI02070100</v>
      </c>
      <c r="N279" s="10" t="str">
        <f t="shared" si="25"/>
        <v>REP211000</v>
      </c>
      <c r="O279" s="10" t="str">
        <f t="shared" si="26"/>
        <v>E</v>
      </c>
      <c r="P279" s="10" t="str">
        <f t="shared" si="27"/>
        <v>50</v>
      </c>
      <c r="Q279" s="10" t="str">
        <f t="shared" si="28"/>
        <v>ZRPA</v>
      </c>
      <c r="R279" s="10" t="str">
        <f t="shared" si="29"/>
        <v>46171604</v>
      </c>
    </row>
    <row r="280" spans="1:18" ht="38.25" hidden="1" x14ac:dyDescent="0.2">
      <c r="A280" s="21" t="s">
        <v>3729</v>
      </c>
      <c r="B280" s="8" t="s">
        <v>3728</v>
      </c>
      <c r="C280" s="8" t="s">
        <v>40</v>
      </c>
      <c r="D280" s="8" t="s">
        <v>986</v>
      </c>
      <c r="E280" s="8" t="s">
        <v>40</v>
      </c>
      <c r="F280" s="8" t="s">
        <v>39</v>
      </c>
      <c r="G280" s="8" t="s">
        <v>2775</v>
      </c>
      <c r="H280" s="8" t="s">
        <v>37</v>
      </c>
      <c r="I280" s="8" t="s">
        <v>53</v>
      </c>
      <c r="J280" s="8" t="s">
        <v>64</v>
      </c>
      <c r="K280" s="8" t="s">
        <v>2969</v>
      </c>
      <c r="L280" s="7">
        <v>7018</v>
      </c>
      <c r="M280" s="10" t="str">
        <f t="shared" si="24"/>
        <v>CMI02070300</v>
      </c>
      <c r="N280" s="10" t="str">
        <f t="shared" si="25"/>
        <v>REP211100</v>
      </c>
      <c r="O280" s="10" t="str">
        <f t="shared" si="26"/>
        <v>E</v>
      </c>
      <c r="P280" s="10" t="str">
        <f t="shared" si="27"/>
        <v>50</v>
      </c>
      <c r="Q280" s="10" t="str">
        <f t="shared" si="28"/>
        <v>ZRPA</v>
      </c>
      <c r="R280" s="10" t="str">
        <f t="shared" si="29"/>
        <v>31161716</v>
      </c>
    </row>
    <row r="281" spans="1:18" ht="38.25" hidden="1" x14ac:dyDescent="0.2">
      <c r="A281" s="21" t="s">
        <v>3727</v>
      </c>
      <c r="B281" s="8" t="s">
        <v>3726</v>
      </c>
      <c r="C281" s="8" t="s">
        <v>40</v>
      </c>
      <c r="D281" s="8" t="s">
        <v>986</v>
      </c>
      <c r="E281" s="8" t="s">
        <v>40</v>
      </c>
      <c r="F281" s="8" t="s">
        <v>39</v>
      </c>
      <c r="G281" s="8" t="s">
        <v>3725</v>
      </c>
      <c r="H281" s="8" t="s">
        <v>37</v>
      </c>
      <c r="I281" s="8" t="s">
        <v>53</v>
      </c>
      <c r="J281" s="8" t="s">
        <v>64</v>
      </c>
      <c r="K281" s="8" t="s">
        <v>3724</v>
      </c>
      <c r="L281" s="7">
        <v>7019</v>
      </c>
      <c r="M281" s="10" t="str">
        <f t="shared" si="24"/>
        <v>CMI02070300</v>
      </c>
      <c r="N281" s="10" t="str">
        <f t="shared" si="25"/>
        <v>REP211200</v>
      </c>
      <c r="O281" s="10" t="str">
        <f t="shared" si="26"/>
        <v>E</v>
      </c>
      <c r="P281" s="10" t="str">
        <f t="shared" si="27"/>
        <v>50</v>
      </c>
      <c r="Q281" s="10" t="str">
        <f t="shared" si="28"/>
        <v>ZRPA</v>
      </c>
      <c r="R281" s="10" t="str">
        <f t="shared" si="29"/>
        <v>25172004</v>
      </c>
    </row>
    <row r="282" spans="1:18" ht="25.5" hidden="1" x14ac:dyDescent="0.2">
      <c r="A282" s="21" t="s">
        <v>3723</v>
      </c>
      <c r="B282" s="8" t="s">
        <v>3722</v>
      </c>
      <c r="C282" s="8" t="s">
        <v>40</v>
      </c>
      <c r="D282" s="8" t="s">
        <v>1648</v>
      </c>
      <c r="E282" s="8" t="s">
        <v>40</v>
      </c>
      <c r="F282" s="8" t="s">
        <v>39</v>
      </c>
      <c r="G282" s="8" t="s">
        <v>2806</v>
      </c>
      <c r="H282" s="8" t="s">
        <v>37</v>
      </c>
      <c r="I282" s="8" t="s">
        <v>53</v>
      </c>
      <c r="J282" s="8" t="s">
        <v>64</v>
      </c>
      <c r="K282" s="8" t="s">
        <v>2874</v>
      </c>
      <c r="L282" s="7">
        <v>7020</v>
      </c>
      <c r="M282" s="10" t="str">
        <f t="shared" si="24"/>
        <v>CMI02070100</v>
      </c>
      <c r="N282" s="10" t="str">
        <f t="shared" si="25"/>
        <v>REP211000</v>
      </c>
      <c r="O282" s="10" t="str">
        <f t="shared" si="26"/>
        <v>E</v>
      </c>
      <c r="P282" s="10" t="str">
        <f t="shared" si="27"/>
        <v>50</v>
      </c>
      <c r="Q282" s="10" t="str">
        <f t="shared" si="28"/>
        <v>ZRPA</v>
      </c>
      <c r="R282" s="10" t="str">
        <f t="shared" si="29"/>
        <v>41112209</v>
      </c>
    </row>
    <row r="283" spans="1:18" ht="25.5" hidden="1" x14ac:dyDescent="0.2">
      <c r="A283" s="22" t="s">
        <v>3721</v>
      </c>
      <c r="B283" s="8" t="s">
        <v>3720</v>
      </c>
      <c r="C283" s="8" t="s">
        <v>40</v>
      </c>
      <c r="D283" s="8" t="s">
        <v>520</v>
      </c>
      <c r="E283" s="8" t="s">
        <v>40</v>
      </c>
      <c r="F283" s="8" t="s">
        <v>39</v>
      </c>
      <c r="G283" s="8" t="s">
        <v>2806</v>
      </c>
      <c r="H283" s="8" t="s">
        <v>37</v>
      </c>
      <c r="I283" s="8" t="s">
        <v>53</v>
      </c>
      <c r="J283" s="8" t="s">
        <v>64</v>
      </c>
      <c r="K283" s="8" t="s">
        <v>2859</v>
      </c>
      <c r="L283" s="7">
        <v>7021</v>
      </c>
      <c r="M283" s="10" t="str">
        <f t="shared" si="24"/>
        <v>CMI02180300</v>
      </c>
      <c r="N283" s="10" t="str">
        <f t="shared" si="25"/>
        <v>REP211000</v>
      </c>
      <c r="O283" s="10" t="str">
        <f t="shared" si="26"/>
        <v>E</v>
      </c>
      <c r="P283" s="10" t="str">
        <f t="shared" si="27"/>
        <v>50</v>
      </c>
      <c r="Q283" s="10" t="str">
        <f t="shared" si="28"/>
        <v>ZRPA</v>
      </c>
      <c r="R283" s="10" t="str">
        <f t="shared" si="29"/>
        <v>26111700</v>
      </c>
    </row>
    <row r="284" spans="1:18" ht="38.25" hidden="1" x14ac:dyDescent="0.2">
      <c r="A284" s="22" t="s">
        <v>3719</v>
      </c>
      <c r="B284" s="8" t="s">
        <v>3718</v>
      </c>
      <c r="C284" s="8" t="s">
        <v>40</v>
      </c>
      <c r="D284" s="8" t="s">
        <v>986</v>
      </c>
      <c r="E284" s="8" t="s">
        <v>40</v>
      </c>
      <c r="F284" s="8" t="s">
        <v>39</v>
      </c>
      <c r="G284" s="8" t="s">
        <v>2775</v>
      </c>
      <c r="H284" s="8" t="s">
        <v>37</v>
      </c>
      <c r="I284" s="8" t="s">
        <v>53</v>
      </c>
      <c r="J284" s="8" t="s">
        <v>64</v>
      </c>
      <c r="K284" s="8" t="s">
        <v>3717</v>
      </c>
      <c r="L284" s="7">
        <v>7022</v>
      </c>
      <c r="M284" s="10" t="str">
        <f t="shared" si="24"/>
        <v>CMI02070300</v>
      </c>
      <c r="N284" s="10" t="str">
        <f t="shared" si="25"/>
        <v>REP211100</v>
      </c>
      <c r="O284" s="10" t="str">
        <f t="shared" si="26"/>
        <v>E</v>
      </c>
      <c r="P284" s="10" t="str">
        <f t="shared" si="27"/>
        <v>50</v>
      </c>
      <c r="Q284" s="10" t="str">
        <f t="shared" si="28"/>
        <v>ZRPA</v>
      </c>
      <c r="R284" s="10" t="str">
        <f t="shared" si="29"/>
        <v>26111532</v>
      </c>
    </row>
    <row r="285" spans="1:18" ht="38.25" hidden="1" x14ac:dyDescent="0.2">
      <c r="A285" s="22" t="s">
        <v>3716</v>
      </c>
      <c r="B285" s="8" t="s">
        <v>3715</v>
      </c>
      <c r="C285" s="8" t="s">
        <v>40</v>
      </c>
      <c r="D285" s="8" t="s">
        <v>986</v>
      </c>
      <c r="E285" s="8" t="s">
        <v>40</v>
      </c>
      <c r="F285" s="8" t="s">
        <v>39</v>
      </c>
      <c r="G285" s="8" t="s">
        <v>2775</v>
      </c>
      <c r="H285" s="8" t="s">
        <v>37</v>
      </c>
      <c r="I285" s="8" t="s">
        <v>53</v>
      </c>
      <c r="J285" s="8" t="s">
        <v>64</v>
      </c>
      <c r="K285" s="8" t="s">
        <v>2882</v>
      </c>
      <c r="L285" s="7">
        <v>7023</v>
      </c>
      <c r="M285" s="10" t="str">
        <f t="shared" si="24"/>
        <v>CMI02070300</v>
      </c>
      <c r="N285" s="10" t="str">
        <f t="shared" si="25"/>
        <v>REP211100</v>
      </c>
      <c r="O285" s="10" t="str">
        <f t="shared" si="26"/>
        <v>E</v>
      </c>
      <c r="P285" s="10" t="str">
        <f t="shared" si="27"/>
        <v>50</v>
      </c>
      <c r="Q285" s="10" t="str">
        <f t="shared" si="28"/>
        <v>ZRPA</v>
      </c>
      <c r="R285" s="10" t="str">
        <f t="shared" si="29"/>
        <v>26101700</v>
      </c>
    </row>
    <row r="286" spans="1:18" ht="38.25" hidden="1" x14ac:dyDescent="0.2">
      <c r="A286" s="22" t="s">
        <v>3714</v>
      </c>
      <c r="B286" s="8" t="s">
        <v>3713</v>
      </c>
      <c r="C286" s="8" t="s">
        <v>40</v>
      </c>
      <c r="D286" s="8" t="s">
        <v>986</v>
      </c>
      <c r="E286" s="8" t="s">
        <v>40</v>
      </c>
      <c r="F286" s="8" t="s">
        <v>39</v>
      </c>
      <c r="G286" s="8" t="s">
        <v>2775</v>
      </c>
      <c r="H286" s="8" t="s">
        <v>37</v>
      </c>
      <c r="I286" s="8" t="s">
        <v>53</v>
      </c>
      <c r="J286" s="8" t="s">
        <v>64</v>
      </c>
      <c r="K286" s="8" t="s">
        <v>3712</v>
      </c>
      <c r="L286" s="7">
        <v>7024</v>
      </c>
      <c r="M286" s="10" t="str">
        <f t="shared" si="24"/>
        <v>CMI02070300</v>
      </c>
      <c r="N286" s="10" t="str">
        <f t="shared" si="25"/>
        <v>REP211100</v>
      </c>
      <c r="O286" s="10" t="str">
        <f t="shared" si="26"/>
        <v>E</v>
      </c>
      <c r="P286" s="10" t="str">
        <f t="shared" si="27"/>
        <v>50</v>
      </c>
      <c r="Q286" s="10" t="str">
        <f t="shared" si="28"/>
        <v>ZRPA</v>
      </c>
      <c r="R286" s="10" t="str">
        <f t="shared" si="29"/>
        <v>26101731</v>
      </c>
    </row>
    <row r="287" spans="1:18" ht="38.25" hidden="1" x14ac:dyDescent="0.2">
      <c r="A287" s="21" t="s">
        <v>3711</v>
      </c>
      <c r="B287" s="8" t="s">
        <v>3710</v>
      </c>
      <c r="C287" s="8" t="s">
        <v>40</v>
      </c>
      <c r="D287" s="8" t="s">
        <v>986</v>
      </c>
      <c r="E287" s="8" t="s">
        <v>40</v>
      </c>
      <c r="F287" s="8" t="s">
        <v>39</v>
      </c>
      <c r="G287" s="8" t="s">
        <v>2775</v>
      </c>
      <c r="H287" s="8" t="s">
        <v>37</v>
      </c>
      <c r="I287" s="8" t="s">
        <v>53</v>
      </c>
      <c r="J287" s="8" t="s">
        <v>64</v>
      </c>
      <c r="K287" s="8" t="s">
        <v>3709</v>
      </c>
      <c r="L287" s="7">
        <v>7025</v>
      </c>
      <c r="M287" s="10" t="str">
        <f t="shared" si="24"/>
        <v>CMI02070300</v>
      </c>
      <c r="N287" s="10" t="str">
        <f t="shared" si="25"/>
        <v>REP211100</v>
      </c>
      <c r="O287" s="10" t="str">
        <f t="shared" si="26"/>
        <v>E</v>
      </c>
      <c r="P287" s="10" t="str">
        <f t="shared" si="27"/>
        <v>50</v>
      </c>
      <c r="Q287" s="10" t="str">
        <f t="shared" si="28"/>
        <v>ZRPA</v>
      </c>
      <c r="R287" s="10" t="str">
        <f t="shared" si="29"/>
        <v>25174211</v>
      </c>
    </row>
    <row r="288" spans="1:18" ht="38.25" hidden="1" x14ac:dyDescent="0.2">
      <c r="A288" s="21" t="s">
        <v>3708</v>
      </c>
      <c r="B288" s="8" t="s">
        <v>3707</v>
      </c>
      <c r="C288" s="8" t="s">
        <v>40</v>
      </c>
      <c r="D288" s="8" t="s">
        <v>986</v>
      </c>
      <c r="E288" s="8" t="s">
        <v>40</v>
      </c>
      <c r="F288" s="8" t="s">
        <v>39</v>
      </c>
      <c r="G288" s="8" t="s">
        <v>54</v>
      </c>
      <c r="H288" s="8" t="s">
        <v>37</v>
      </c>
      <c r="I288" s="8" t="s">
        <v>53</v>
      </c>
      <c r="J288" s="8" t="s">
        <v>46</v>
      </c>
      <c r="K288" s="8" t="s">
        <v>3706</v>
      </c>
      <c r="L288" s="7">
        <v>7026</v>
      </c>
      <c r="M288" s="10" t="str">
        <f t="shared" si="24"/>
        <v>CMI02070300</v>
      </c>
      <c r="N288" s="10" t="str">
        <f t="shared" si="25"/>
        <v>REP201100</v>
      </c>
      <c r="O288" s="10" t="str">
        <f t="shared" si="26"/>
        <v>E</v>
      </c>
      <c r="P288" s="10" t="str">
        <f t="shared" si="27"/>
        <v>50</v>
      </c>
      <c r="Q288" s="10" t="str">
        <f t="shared" si="28"/>
        <v>ZRPI</v>
      </c>
      <c r="R288" s="10" t="str">
        <f t="shared" si="29"/>
        <v>40161504</v>
      </c>
    </row>
    <row r="289" spans="1:18" ht="25.5" hidden="1" x14ac:dyDescent="0.2">
      <c r="A289" s="21" t="s">
        <v>3705</v>
      </c>
      <c r="B289" s="8" t="s">
        <v>3704</v>
      </c>
      <c r="C289" s="8" t="s">
        <v>40</v>
      </c>
      <c r="D289" s="8" t="s">
        <v>3532</v>
      </c>
      <c r="E289" s="8" t="s">
        <v>40</v>
      </c>
      <c r="F289" s="8" t="s">
        <v>39</v>
      </c>
      <c r="G289" s="8" t="s">
        <v>54</v>
      </c>
      <c r="H289" s="8" t="s">
        <v>37</v>
      </c>
      <c r="I289" s="8" t="s">
        <v>53</v>
      </c>
      <c r="J289" s="8" t="s">
        <v>46</v>
      </c>
      <c r="K289" s="8" t="s">
        <v>3703</v>
      </c>
      <c r="L289" s="7">
        <v>7027</v>
      </c>
      <c r="M289" s="10" t="str">
        <f t="shared" si="24"/>
        <v>CMI02090100</v>
      </c>
      <c r="N289" s="10" t="str">
        <f t="shared" si="25"/>
        <v>REP201100</v>
      </c>
      <c r="O289" s="10" t="str">
        <f t="shared" si="26"/>
        <v>E</v>
      </c>
      <c r="P289" s="10" t="str">
        <f t="shared" si="27"/>
        <v>50</v>
      </c>
      <c r="Q289" s="10" t="str">
        <f t="shared" si="28"/>
        <v>ZRPI</v>
      </c>
      <c r="R289" s="10" t="str">
        <f t="shared" si="29"/>
        <v>26111801</v>
      </c>
    </row>
    <row r="290" spans="1:18" ht="25.5" hidden="1" x14ac:dyDescent="0.2">
      <c r="A290" s="21" t="s">
        <v>3702</v>
      </c>
      <c r="B290" s="8" t="s">
        <v>3701</v>
      </c>
      <c r="C290" s="8" t="s">
        <v>40</v>
      </c>
      <c r="D290" s="8" t="s">
        <v>249</v>
      </c>
      <c r="E290" s="8" t="s">
        <v>40</v>
      </c>
      <c r="F290" s="8" t="s">
        <v>39</v>
      </c>
      <c r="G290" s="8" t="s">
        <v>54</v>
      </c>
      <c r="H290" s="8" t="s">
        <v>37</v>
      </c>
      <c r="I290" s="8" t="s">
        <v>53</v>
      </c>
      <c r="J290" s="8" t="s">
        <v>46</v>
      </c>
      <c r="K290" s="8" t="s">
        <v>3700</v>
      </c>
      <c r="L290" s="7">
        <v>7028</v>
      </c>
      <c r="M290" s="10" t="str">
        <f t="shared" si="24"/>
        <v>CMI02090700</v>
      </c>
      <c r="N290" s="10" t="str">
        <f t="shared" si="25"/>
        <v>REP201100</v>
      </c>
      <c r="O290" s="10" t="str">
        <f t="shared" si="26"/>
        <v>E</v>
      </c>
      <c r="P290" s="10" t="str">
        <f t="shared" si="27"/>
        <v>50</v>
      </c>
      <c r="Q290" s="10" t="str">
        <f t="shared" si="28"/>
        <v>ZRPI</v>
      </c>
      <c r="R290" s="10" t="str">
        <f t="shared" si="29"/>
        <v>31171519</v>
      </c>
    </row>
    <row r="291" spans="1:18" ht="25.5" hidden="1" x14ac:dyDescent="0.2">
      <c r="A291" s="21" t="s">
        <v>3699</v>
      </c>
      <c r="B291" s="8" t="s">
        <v>3698</v>
      </c>
      <c r="C291" s="8" t="s">
        <v>40</v>
      </c>
      <c r="D291" s="8" t="s">
        <v>245</v>
      </c>
      <c r="E291" s="8" t="s">
        <v>40</v>
      </c>
      <c r="F291" s="8" t="s">
        <v>39</v>
      </c>
      <c r="G291" s="8" t="s">
        <v>240</v>
      </c>
      <c r="H291" s="8" t="s">
        <v>37</v>
      </c>
      <c r="I291" s="8" t="s">
        <v>53</v>
      </c>
      <c r="J291" s="8" t="s">
        <v>46</v>
      </c>
      <c r="K291" s="8" t="s">
        <v>2458</v>
      </c>
      <c r="L291" s="7">
        <v>7029</v>
      </c>
      <c r="M291" s="10" t="str">
        <f t="shared" si="24"/>
        <v>CMI01020300</v>
      </c>
      <c r="N291" s="10" t="str">
        <f t="shared" si="25"/>
        <v>REP201000</v>
      </c>
      <c r="O291" s="10" t="str">
        <f t="shared" si="26"/>
        <v>E</v>
      </c>
      <c r="P291" s="10" t="str">
        <f t="shared" si="27"/>
        <v>50</v>
      </c>
      <c r="Q291" s="10" t="str">
        <f t="shared" si="28"/>
        <v>ZRPI</v>
      </c>
      <c r="R291" s="10" t="str">
        <f t="shared" si="29"/>
        <v>40101604</v>
      </c>
    </row>
    <row r="292" spans="1:18" ht="25.5" hidden="1" x14ac:dyDescent="0.2">
      <c r="A292" s="21" t="s">
        <v>3697</v>
      </c>
      <c r="B292" s="8" t="s">
        <v>3696</v>
      </c>
      <c r="C292" s="8" t="s">
        <v>40</v>
      </c>
      <c r="D292" s="8" t="s">
        <v>321</v>
      </c>
      <c r="E292" s="8" t="s">
        <v>40</v>
      </c>
      <c r="F292" s="8" t="s">
        <v>39</v>
      </c>
      <c r="G292" s="8" t="s">
        <v>54</v>
      </c>
      <c r="H292" s="8" t="s">
        <v>37</v>
      </c>
      <c r="I292" s="8" t="s">
        <v>53</v>
      </c>
      <c r="J292" s="8" t="s">
        <v>46</v>
      </c>
      <c r="K292" s="8" t="s">
        <v>3695</v>
      </c>
      <c r="L292" s="7">
        <v>7030</v>
      </c>
      <c r="M292" s="10" t="str">
        <f t="shared" si="24"/>
        <v>CMI02050100</v>
      </c>
      <c r="N292" s="10" t="str">
        <f t="shared" si="25"/>
        <v>REP201100</v>
      </c>
      <c r="O292" s="10" t="str">
        <f t="shared" si="26"/>
        <v>E</v>
      </c>
      <c r="P292" s="10" t="str">
        <f t="shared" si="27"/>
        <v>50</v>
      </c>
      <c r="Q292" s="10" t="str">
        <f t="shared" si="28"/>
        <v>ZRPI</v>
      </c>
      <c r="R292" s="10" t="str">
        <f t="shared" si="29"/>
        <v>40161502</v>
      </c>
    </row>
    <row r="293" spans="1:18" ht="38.25" hidden="1" x14ac:dyDescent="0.2">
      <c r="A293" s="21" t="s">
        <v>3694</v>
      </c>
      <c r="B293" s="8" t="s">
        <v>3693</v>
      </c>
      <c r="C293" s="8" t="s">
        <v>40</v>
      </c>
      <c r="D293" s="8" t="s">
        <v>310</v>
      </c>
      <c r="E293" s="7">
        <v>6</v>
      </c>
      <c r="F293" s="8" t="s">
        <v>39</v>
      </c>
      <c r="G293" s="8" t="s">
        <v>54</v>
      </c>
      <c r="H293" s="8" t="s">
        <v>37</v>
      </c>
      <c r="I293" s="8" t="s">
        <v>53</v>
      </c>
      <c r="J293" s="8" t="s">
        <v>46</v>
      </c>
      <c r="K293" s="8" t="s">
        <v>3692</v>
      </c>
      <c r="L293" s="7">
        <v>7031</v>
      </c>
      <c r="M293" s="10" t="str">
        <f t="shared" si="24"/>
        <v>CMI02200100</v>
      </c>
      <c r="N293" s="10" t="str">
        <f t="shared" si="25"/>
        <v>REP201100</v>
      </c>
      <c r="O293" s="10" t="str">
        <f t="shared" si="26"/>
        <v>E</v>
      </c>
      <c r="P293" s="10" t="str">
        <f t="shared" si="27"/>
        <v>50</v>
      </c>
      <c r="Q293" s="10" t="str">
        <f t="shared" si="28"/>
        <v>ZRPI</v>
      </c>
      <c r="R293" s="10" t="str">
        <f t="shared" si="29"/>
        <v>40141607</v>
      </c>
    </row>
    <row r="294" spans="1:18" ht="38.25" hidden="1" x14ac:dyDescent="0.2">
      <c r="A294" s="21" t="s">
        <v>3691</v>
      </c>
      <c r="B294" s="8" t="s">
        <v>3690</v>
      </c>
      <c r="C294" s="8" t="s">
        <v>40</v>
      </c>
      <c r="D294" s="8" t="s">
        <v>1059</v>
      </c>
      <c r="E294" s="8" t="s">
        <v>40</v>
      </c>
      <c r="F294" s="8" t="s">
        <v>39</v>
      </c>
      <c r="G294" s="8" t="s">
        <v>54</v>
      </c>
      <c r="H294" s="8" t="s">
        <v>37</v>
      </c>
      <c r="I294" s="8" t="s">
        <v>53</v>
      </c>
      <c r="J294" s="8" t="s">
        <v>46</v>
      </c>
      <c r="K294" s="8" t="s">
        <v>3689</v>
      </c>
      <c r="L294" s="7">
        <v>7032</v>
      </c>
      <c r="M294" s="10" t="str">
        <f t="shared" si="24"/>
        <v>CMI02090600</v>
      </c>
      <c r="N294" s="10" t="str">
        <f t="shared" si="25"/>
        <v>REP201100</v>
      </c>
      <c r="O294" s="10" t="str">
        <f t="shared" si="26"/>
        <v>E</v>
      </c>
      <c r="P294" s="10" t="str">
        <f t="shared" si="27"/>
        <v>50</v>
      </c>
      <c r="Q294" s="10" t="str">
        <f t="shared" si="28"/>
        <v>ZRPI</v>
      </c>
      <c r="R294" s="10" t="str">
        <f t="shared" si="29"/>
        <v>40141654</v>
      </c>
    </row>
    <row r="295" spans="1:18" ht="38.25" hidden="1" x14ac:dyDescent="0.2">
      <c r="A295" s="21" t="s">
        <v>3688</v>
      </c>
      <c r="B295" s="8" t="s">
        <v>3687</v>
      </c>
      <c r="C295" s="8" t="s">
        <v>40</v>
      </c>
      <c r="D295" s="8" t="s">
        <v>1059</v>
      </c>
      <c r="E295" s="8" t="s">
        <v>40</v>
      </c>
      <c r="F295" s="8" t="s">
        <v>39</v>
      </c>
      <c r="G295" s="8" t="s">
        <v>54</v>
      </c>
      <c r="H295" s="8" t="s">
        <v>37</v>
      </c>
      <c r="I295" s="8" t="s">
        <v>36</v>
      </c>
      <c r="J295" s="8" t="s">
        <v>46</v>
      </c>
      <c r="K295" s="8" t="s">
        <v>2124</v>
      </c>
      <c r="L295" s="7">
        <v>7033</v>
      </c>
      <c r="M295" s="10" t="str">
        <f t="shared" si="24"/>
        <v>CMI02090600</v>
      </c>
      <c r="N295" s="10" t="str">
        <f t="shared" si="25"/>
        <v>REP201100</v>
      </c>
      <c r="O295" s="10" t="str">
        <f t="shared" si="26"/>
        <v>E</v>
      </c>
      <c r="P295" s="10" t="str">
        <f t="shared" si="27"/>
        <v>10</v>
      </c>
      <c r="Q295" s="10" t="str">
        <f t="shared" si="28"/>
        <v>ZRPI</v>
      </c>
      <c r="R295" s="10" t="str">
        <f t="shared" si="29"/>
        <v>40141600</v>
      </c>
    </row>
    <row r="296" spans="1:18" ht="25.5" hidden="1" x14ac:dyDescent="0.2">
      <c r="A296" s="21" t="s">
        <v>3686</v>
      </c>
      <c r="B296" s="8" t="s">
        <v>3685</v>
      </c>
      <c r="C296" s="8" t="s">
        <v>40</v>
      </c>
      <c r="D296" s="8" t="s">
        <v>256</v>
      </c>
      <c r="E296" s="8" t="s">
        <v>40</v>
      </c>
      <c r="F296" s="8" t="s">
        <v>39</v>
      </c>
      <c r="G296" s="8" t="s">
        <v>54</v>
      </c>
      <c r="H296" s="8" t="s">
        <v>37</v>
      </c>
      <c r="I296" s="8" t="s">
        <v>53</v>
      </c>
      <c r="J296" s="8" t="s">
        <v>46</v>
      </c>
      <c r="K296" s="8" t="s">
        <v>3684</v>
      </c>
      <c r="L296" s="7">
        <v>7034</v>
      </c>
      <c r="M296" s="10" t="str">
        <f t="shared" si="24"/>
        <v>CMI02090900</v>
      </c>
      <c r="N296" s="10" t="str">
        <f t="shared" si="25"/>
        <v>REP201100</v>
      </c>
      <c r="O296" s="10" t="str">
        <f t="shared" si="26"/>
        <v>E</v>
      </c>
      <c r="P296" s="10" t="str">
        <f t="shared" si="27"/>
        <v>50</v>
      </c>
      <c r="Q296" s="10" t="str">
        <f t="shared" si="28"/>
        <v>ZRPI</v>
      </c>
      <c r="R296" s="10" t="str">
        <f t="shared" si="29"/>
        <v>27112504</v>
      </c>
    </row>
    <row r="297" spans="1:18" ht="25.5" hidden="1" x14ac:dyDescent="0.2">
      <c r="A297" s="21" t="s">
        <v>3683</v>
      </c>
      <c r="B297" s="8" t="s">
        <v>3682</v>
      </c>
      <c r="C297" s="8" t="s">
        <v>40</v>
      </c>
      <c r="D297" s="8" t="s">
        <v>321</v>
      </c>
      <c r="E297" s="8" t="s">
        <v>40</v>
      </c>
      <c r="F297" s="8" t="s">
        <v>39</v>
      </c>
      <c r="G297" s="8" t="s">
        <v>54</v>
      </c>
      <c r="H297" s="8" t="s">
        <v>37</v>
      </c>
      <c r="I297" s="8" t="s">
        <v>53</v>
      </c>
      <c r="J297" s="8" t="s">
        <v>46</v>
      </c>
      <c r="K297" s="8" t="s">
        <v>1234</v>
      </c>
      <c r="L297" s="7">
        <v>7035</v>
      </c>
      <c r="M297" s="10" t="str">
        <f t="shared" si="24"/>
        <v>CMI02050100</v>
      </c>
      <c r="N297" s="10" t="str">
        <f t="shared" si="25"/>
        <v>REP201100</v>
      </c>
      <c r="O297" s="10" t="str">
        <f t="shared" si="26"/>
        <v>E</v>
      </c>
      <c r="P297" s="10" t="str">
        <f t="shared" si="27"/>
        <v>50</v>
      </c>
      <c r="Q297" s="10" t="str">
        <f t="shared" si="28"/>
        <v>ZRPI</v>
      </c>
      <c r="R297" s="10" t="str">
        <f t="shared" si="29"/>
        <v>31162500</v>
      </c>
    </row>
    <row r="298" spans="1:18" ht="25.5" hidden="1" x14ac:dyDescent="0.2">
      <c r="A298" s="21" t="s">
        <v>3681</v>
      </c>
      <c r="B298" s="8" t="s">
        <v>3680</v>
      </c>
      <c r="C298" s="8" t="s">
        <v>40</v>
      </c>
      <c r="D298" s="8" t="s">
        <v>249</v>
      </c>
      <c r="E298" s="8" t="s">
        <v>40</v>
      </c>
      <c r="F298" s="8" t="s">
        <v>39</v>
      </c>
      <c r="G298" s="8" t="s">
        <v>54</v>
      </c>
      <c r="H298" s="8" t="s">
        <v>37</v>
      </c>
      <c r="I298" s="8" t="s">
        <v>53</v>
      </c>
      <c r="J298" s="8" t="s">
        <v>46</v>
      </c>
      <c r="K298" s="8" t="s">
        <v>3679</v>
      </c>
      <c r="L298" s="7">
        <v>7036</v>
      </c>
      <c r="M298" s="10" t="str">
        <f t="shared" si="24"/>
        <v>CMI02090700</v>
      </c>
      <c r="N298" s="10" t="str">
        <f t="shared" si="25"/>
        <v>REP201100</v>
      </c>
      <c r="O298" s="10" t="str">
        <f t="shared" si="26"/>
        <v>E</v>
      </c>
      <c r="P298" s="10" t="str">
        <f t="shared" si="27"/>
        <v>50</v>
      </c>
      <c r="Q298" s="10" t="str">
        <f t="shared" si="28"/>
        <v>ZRPI</v>
      </c>
      <c r="R298" s="10" t="str">
        <f t="shared" si="29"/>
        <v>31400000</v>
      </c>
    </row>
    <row r="299" spans="1:18" ht="25.5" hidden="1" x14ac:dyDescent="0.2">
      <c r="A299" s="21" t="s">
        <v>3678</v>
      </c>
      <c r="B299" s="8" t="s">
        <v>3677</v>
      </c>
      <c r="C299" s="8" t="s">
        <v>40</v>
      </c>
      <c r="D299" s="8" t="s">
        <v>256</v>
      </c>
      <c r="E299" s="8" t="s">
        <v>40</v>
      </c>
      <c r="F299" s="8" t="s">
        <v>39</v>
      </c>
      <c r="G299" s="8" t="s">
        <v>54</v>
      </c>
      <c r="H299" s="8" t="s">
        <v>37</v>
      </c>
      <c r="I299" s="8" t="s">
        <v>53</v>
      </c>
      <c r="J299" s="8" t="s">
        <v>46</v>
      </c>
      <c r="K299" s="8" t="s">
        <v>3676</v>
      </c>
      <c r="L299" s="7">
        <v>7037</v>
      </c>
      <c r="M299" s="10" t="str">
        <f t="shared" si="24"/>
        <v>CMI02090900</v>
      </c>
      <c r="N299" s="10" t="str">
        <f t="shared" si="25"/>
        <v>REP201100</v>
      </c>
      <c r="O299" s="10" t="str">
        <f t="shared" si="26"/>
        <v>E</v>
      </c>
      <c r="P299" s="10" t="str">
        <f t="shared" si="27"/>
        <v>50</v>
      </c>
      <c r="Q299" s="10" t="str">
        <f t="shared" si="28"/>
        <v>ZRPI</v>
      </c>
      <c r="R299" s="10" t="str">
        <f t="shared" si="29"/>
        <v>31401503</v>
      </c>
    </row>
    <row r="300" spans="1:18" ht="25.5" hidden="1" x14ac:dyDescent="0.2">
      <c r="A300" s="21" t="s">
        <v>3675</v>
      </c>
      <c r="B300" s="8" t="s">
        <v>3674</v>
      </c>
      <c r="C300" s="8" t="s">
        <v>40</v>
      </c>
      <c r="D300" s="8" t="s">
        <v>249</v>
      </c>
      <c r="E300" s="8" t="s">
        <v>40</v>
      </c>
      <c r="F300" s="8" t="s">
        <v>39</v>
      </c>
      <c r="G300" s="8" t="s">
        <v>54</v>
      </c>
      <c r="H300" s="8" t="s">
        <v>37</v>
      </c>
      <c r="I300" s="8" t="s">
        <v>53</v>
      </c>
      <c r="J300" s="8" t="s">
        <v>46</v>
      </c>
      <c r="K300" s="8" t="s">
        <v>3673</v>
      </c>
      <c r="L300" s="7">
        <v>7038</v>
      </c>
      <c r="M300" s="10" t="str">
        <f t="shared" si="24"/>
        <v>CMI02090700</v>
      </c>
      <c r="N300" s="10" t="str">
        <f t="shared" si="25"/>
        <v>REP201100</v>
      </c>
      <c r="O300" s="10" t="str">
        <f t="shared" si="26"/>
        <v>E</v>
      </c>
      <c r="P300" s="10" t="str">
        <f t="shared" si="27"/>
        <v>50</v>
      </c>
      <c r="Q300" s="10" t="str">
        <f t="shared" si="28"/>
        <v>ZRPI</v>
      </c>
      <c r="R300" s="10" t="str">
        <f t="shared" si="29"/>
        <v>31163200</v>
      </c>
    </row>
    <row r="301" spans="1:18" ht="25.5" hidden="1" x14ac:dyDescent="0.2">
      <c r="A301" s="21" t="s">
        <v>3672</v>
      </c>
      <c r="B301" s="8" t="s">
        <v>3671</v>
      </c>
      <c r="C301" s="8" t="s">
        <v>40</v>
      </c>
      <c r="D301" s="8" t="s">
        <v>249</v>
      </c>
      <c r="E301" s="8" t="s">
        <v>40</v>
      </c>
      <c r="F301" s="8" t="s">
        <v>39</v>
      </c>
      <c r="G301" s="8" t="s">
        <v>54</v>
      </c>
      <c r="H301" s="8" t="s">
        <v>37</v>
      </c>
      <c r="I301" s="8" t="s">
        <v>53</v>
      </c>
      <c r="J301" s="8" t="s">
        <v>46</v>
      </c>
      <c r="K301" s="8" t="s">
        <v>3670</v>
      </c>
      <c r="L301" s="7">
        <v>7039</v>
      </c>
      <c r="M301" s="10" t="str">
        <f t="shared" si="24"/>
        <v>CMI02090700</v>
      </c>
      <c r="N301" s="10" t="str">
        <f t="shared" si="25"/>
        <v>REP201100</v>
      </c>
      <c r="O301" s="10" t="str">
        <f t="shared" si="26"/>
        <v>E</v>
      </c>
      <c r="P301" s="10" t="str">
        <f t="shared" si="27"/>
        <v>50</v>
      </c>
      <c r="Q301" s="10" t="str">
        <f t="shared" si="28"/>
        <v>ZRPI</v>
      </c>
      <c r="R301" s="10" t="str">
        <f t="shared" si="29"/>
        <v>31162405</v>
      </c>
    </row>
    <row r="302" spans="1:18" ht="38.25" hidden="1" x14ac:dyDescent="0.2">
      <c r="A302" s="21" t="s">
        <v>3669</v>
      </c>
      <c r="B302" s="8" t="s">
        <v>3668</v>
      </c>
      <c r="C302" s="8" t="s">
        <v>40</v>
      </c>
      <c r="D302" s="8" t="s">
        <v>241</v>
      </c>
      <c r="E302" s="8" t="s">
        <v>40</v>
      </c>
      <c r="F302" s="8" t="s">
        <v>39</v>
      </c>
      <c r="G302" s="8" t="s">
        <v>54</v>
      </c>
      <c r="H302" s="8" t="s">
        <v>37</v>
      </c>
      <c r="I302" s="8" t="s">
        <v>53</v>
      </c>
      <c r="J302" s="8" t="s">
        <v>46</v>
      </c>
      <c r="K302" s="8" t="s">
        <v>3667</v>
      </c>
      <c r="L302" s="7">
        <v>7040</v>
      </c>
      <c r="M302" s="10" t="str">
        <f t="shared" si="24"/>
        <v>CMI02090300</v>
      </c>
      <c r="N302" s="10" t="str">
        <f t="shared" si="25"/>
        <v>REP201100</v>
      </c>
      <c r="O302" s="10" t="str">
        <f t="shared" si="26"/>
        <v>E</v>
      </c>
      <c r="P302" s="10" t="str">
        <f t="shared" si="27"/>
        <v>50</v>
      </c>
      <c r="Q302" s="10" t="str">
        <f t="shared" si="28"/>
        <v>ZRPI</v>
      </c>
      <c r="R302" s="10" t="str">
        <f t="shared" si="29"/>
        <v>32131000</v>
      </c>
    </row>
    <row r="303" spans="1:18" ht="25.5" hidden="1" x14ac:dyDescent="0.2">
      <c r="A303" s="21" t="s">
        <v>3666</v>
      </c>
      <c r="B303" s="8" t="s">
        <v>3665</v>
      </c>
      <c r="C303" s="8" t="s">
        <v>40</v>
      </c>
      <c r="D303" s="8" t="s">
        <v>241</v>
      </c>
      <c r="E303" s="8" t="s">
        <v>40</v>
      </c>
      <c r="F303" s="8" t="s">
        <v>39</v>
      </c>
      <c r="G303" s="8" t="s">
        <v>54</v>
      </c>
      <c r="H303" s="8" t="s">
        <v>37</v>
      </c>
      <c r="I303" s="8" t="s">
        <v>53</v>
      </c>
      <c r="J303" s="8" t="s">
        <v>46</v>
      </c>
      <c r="K303" s="8" t="s">
        <v>3664</v>
      </c>
      <c r="L303" s="7">
        <v>7041</v>
      </c>
      <c r="M303" s="10" t="str">
        <f t="shared" si="24"/>
        <v>CMI02090300</v>
      </c>
      <c r="N303" s="10" t="str">
        <f t="shared" si="25"/>
        <v>REP201100</v>
      </c>
      <c r="O303" s="10" t="str">
        <f t="shared" si="26"/>
        <v>E</v>
      </c>
      <c r="P303" s="10" t="str">
        <f t="shared" si="27"/>
        <v>50</v>
      </c>
      <c r="Q303" s="10" t="str">
        <f t="shared" si="28"/>
        <v>ZRPI</v>
      </c>
      <c r="R303" s="10" t="str">
        <f t="shared" si="29"/>
        <v>39121601</v>
      </c>
    </row>
    <row r="304" spans="1:18" ht="25.5" hidden="1" x14ac:dyDescent="0.2">
      <c r="A304" s="21" t="s">
        <v>3663</v>
      </c>
      <c r="B304" s="8" t="s">
        <v>3662</v>
      </c>
      <c r="C304" s="8" t="s">
        <v>40</v>
      </c>
      <c r="D304" s="8" t="s">
        <v>241</v>
      </c>
      <c r="E304" s="8" t="s">
        <v>40</v>
      </c>
      <c r="F304" s="8" t="s">
        <v>39</v>
      </c>
      <c r="G304" s="8" t="s">
        <v>54</v>
      </c>
      <c r="H304" s="8" t="s">
        <v>37</v>
      </c>
      <c r="I304" s="8" t="s">
        <v>53</v>
      </c>
      <c r="J304" s="8" t="s">
        <v>46</v>
      </c>
      <c r="K304" s="8" t="s">
        <v>3661</v>
      </c>
      <c r="L304" s="7">
        <v>7042</v>
      </c>
      <c r="M304" s="10" t="str">
        <f t="shared" si="24"/>
        <v>CMI02090300</v>
      </c>
      <c r="N304" s="10" t="str">
        <f t="shared" si="25"/>
        <v>REP201100</v>
      </c>
      <c r="O304" s="10" t="str">
        <f t="shared" si="26"/>
        <v>E</v>
      </c>
      <c r="P304" s="10" t="str">
        <f t="shared" si="27"/>
        <v>50</v>
      </c>
      <c r="Q304" s="10" t="str">
        <f t="shared" si="28"/>
        <v>ZRPI</v>
      </c>
      <c r="R304" s="10" t="str">
        <f t="shared" si="29"/>
        <v>39121010</v>
      </c>
    </row>
    <row r="305" spans="1:18" ht="25.5" hidden="1" x14ac:dyDescent="0.2">
      <c r="A305" s="21" t="s">
        <v>3660</v>
      </c>
      <c r="B305" s="8" t="s">
        <v>3659</v>
      </c>
      <c r="C305" s="8" t="s">
        <v>40</v>
      </c>
      <c r="D305" s="8" t="s">
        <v>969</v>
      </c>
      <c r="E305" s="8" t="s">
        <v>40</v>
      </c>
      <c r="F305" s="8" t="s">
        <v>39</v>
      </c>
      <c r="G305" s="8" t="s">
        <v>54</v>
      </c>
      <c r="H305" s="8" t="s">
        <v>37</v>
      </c>
      <c r="I305" s="8" t="s">
        <v>53</v>
      </c>
      <c r="J305" s="8" t="s">
        <v>46</v>
      </c>
      <c r="K305" s="8" t="s">
        <v>3143</v>
      </c>
      <c r="L305" s="7">
        <v>7043</v>
      </c>
      <c r="M305" s="10" t="str">
        <f t="shared" si="24"/>
        <v>CMI02051200</v>
      </c>
      <c r="N305" s="10" t="str">
        <f t="shared" si="25"/>
        <v>REP201100</v>
      </c>
      <c r="O305" s="10" t="str">
        <f t="shared" si="26"/>
        <v>E</v>
      </c>
      <c r="P305" s="10" t="str">
        <f t="shared" si="27"/>
        <v>50</v>
      </c>
      <c r="Q305" s="10" t="str">
        <f t="shared" si="28"/>
        <v>ZRPI</v>
      </c>
      <c r="R305" s="10" t="str">
        <f t="shared" si="29"/>
        <v>39121721</v>
      </c>
    </row>
    <row r="306" spans="1:18" ht="25.5" hidden="1" x14ac:dyDescent="0.2">
      <c r="A306" s="21" t="s">
        <v>3658</v>
      </c>
      <c r="B306" s="8" t="s">
        <v>3657</v>
      </c>
      <c r="C306" s="8" t="s">
        <v>40</v>
      </c>
      <c r="D306" s="8" t="s">
        <v>969</v>
      </c>
      <c r="E306" s="8" t="s">
        <v>40</v>
      </c>
      <c r="F306" s="8" t="s">
        <v>39</v>
      </c>
      <c r="G306" s="8" t="s">
        <v>54</v>
      </c>
      <c r="H306" s="8" t="s">
        <v>37</v>
      </c>
      <c r="I306" s="8" t="s">
        <v>53</v>
      </c>
      <c r="J306" s="8" t="s">
        <v>46</v>
      </c>
      <c r="K306" s="8" t="s">
        <v>3378</v>
      </c>
      <c r="L306" s="7">
        <v>7044</v>
      </c>
      <c r="M306" s="10" t="str">
        <f t="shared" si="24"/>
        <v>CMI02051200</v>
      </c>
      <c r="N306" s="10" t="str">
        <f t="shared" si="25"/>
        <v>REP201100</v>
      </c>
      <c r="O306" s="10" t="str">
        <f t="shared" si="26"/>
        <v>E</v>
      </c>
      <c r="P306" s="10" t="str">
        <f t="shared" si="27"/>
        <v>50</v>
      </c>
      <c r="Q306" s="10" t="str">
        <f t="shared" si="28"/>
        <v>ZRPI</v>
      </c>
      <c r="R306" s="10" t="str">
        <f t="shared" si="29"/>
        <v>39121610</v>
      </c>
    </row>
    <row r="307" spans="1:18" ht="25.5" hidden="1" x14ac:dyDescent="0.2">
      <c r="A307" s="21" t="s">
        <v>3656</v>
      </c>
      <c r="B307" s="8" t="s">
        <v>3655</v>
      </c>
      <c r="C307" s="8" t="s">
        <v>40</v>
      </c>
      <c r="D307" s="8" t="s">
        <v>969</v>
      </c>
      <c r="E307" s="8" t="s">
        <v>40</v>
      </c>
      <c r="F307" s="8" t="s">
        <v>39</v>
      </c>
      <c r="G307" s="8" t="s">
        <v>54</v>
      </c>
      <c r="H307" s="8" t="s">
        <v>37</v>
      </c>
      <c r="I307" s="8" t="s">
        <v>53</v>
      </c>
      <c r="J307" s="8" t="s">
        <v>46</v>
      </c>
      <c r="K307" s="8" t="s">
        <v>2825</v>
      </c>
      <c r="L307" s="7">
        <v>7045</v>
      </c>
      <c r="M307" s="10" t="str">
        <f t="shared" si="24"/>
        <v>CMI02051200</v>
      </c>
      <c r="N307" s="10" t="str">
        <f t="shared" si="25"/>
        <v>REP201100</v>
      </c>
      <c r="O307" s="10" t="str">
        <f t="shared" si="26"/>
        <v>E</v>
      </c>
      <c r="P307" s="10" t="str">
        <f t="shared" si="27"/>
        <v>50</v>
      </c>
      <c r="Q307" s="10" t="str">
        <f t="shared" si="28"/>
        <v>ZRPI</v>
      </c>
      <c r="R307" s="10" t="str">
        <f t="shared" si="29"/>
        <v>39121103</v>
      </c>
    </row>
    <row r="308" spans="1:18" ht="25.5" hidden="1" x14ac:dyDescent="0.2">
      <c r="A308" s="21" t="s">
        <v>3654</v>
      </c>
      <c r="B308" s="8" t="s">
        <v>3653</v>
      </c>
      <c r="C308" s="8" t="s">
        <v>40</v>
      </c>
      <c r="D308" s="8" t="s">
        <v>969</v>
      </c>
      <c r="E308" s="8" t="s">
        <v>40</v>
      </c>
      <c r="F308" s="8" t="s">
        <v>39</v>
      </c>
      <c r="G308" s="8" t="s">
        <v>54</v>
      </c>
      <c r="H308" s="8" t="s">
        <v>37</v>
      </c>
      <c r="I308" s="8" t="s">
        <v>53</v>
      </c>
      <c r="J308" s="8" t="s">
        <v>46</v>
      </c>
      <c r="K308" s="8" t="s">
        <v>3652</v>
      </c>
      <c r="L308" s="7">
        <v>7046</v>
      </c>
      <c r="M308" s="10" t="str">
        <f t="shared" si="24"/>
        <v>CMI02051200</v>
      </c>
      <c r="N308" s="10" t="str">
        <f t="shared" si="25"/>
        <v>REP201100</v>
      </c>
      <c r="O308" s="10" t="str">
        <f t="shared" si="26"/>
        <v>E</v>
      </c>
      <c r="P308" s="10" t="str">
        <f t="shared" si="27"/>
        <v>50</v>
      </c>
      <c r="Q308" s="10" t="str">
        <f t="shared" si="28"/>
        <v>ZRPI</v>
      </c>
      <c r="R308" s="10" t="str">
        <f t="shared" si="29"/>
        <v>32111700</v>
      </c>
    </row>
    <row r="309" spans="1:18" ht="25.5" hidden="1" x14ac:dyDescent="0.2">
      <c r="A309" s="21" t="s">
        <v>3651</v>
      </c>
      <c r="B309" s="8" t="s">
        <v>3650</v>
      </c>
      <c r="C309" s="8" t="s">
        <v>40</v>
      </c>
      <c r="D309" s="8" t="s">
        <v>78</v>
      </c>
      <c r="E309" s="8" t="s">
        <v>40</v>
      </c>
      <c r="F309" s="8" t="s">
        <v>39</v>
      </c>
      <c r="G309" s="8" t="s">
        <v>240</v>
      </c>
      <c r="H309" s="8" t="s">
        <v>37</v>
      </c>
      <c r="I309" s="8" t="s">
        <v>53</v>
      </c>
      <c r="J309" s="8" t="s">
        <v>46</v>
      </c>
      <c r="K309" s="8" t="s">
        <v>3649</v>
      </c>
      <c r="L309" s="7">
        <v>7047</v>
      </c>
      <c r="M309" s="10" t="str">
        <f t="shared" si="24"/>
        <v>CMI02090400</v>
      </c>
      <c r="N309" s="10" t="str">
        <f t="shared" si="25"/>
        <v>REP201000</v>
      </c>
      <c r="O309" s="10" t="str">
        <f t="shared" si="26"/>
        <v>E</v>
      </c>
      <c r="P309" s="10" t="str">
        <f t="shared" si="27"/>
        <v>50</v>
      </c>
      <c r="Q309" s="10" t="str">
        <f t="shared" si="28"/>
        <v>ZRPI</v>
      </c>
      <c r="R309" s="10" t="str">
        <f t="shared" si="29"/>
        <v>41111970</v>
      </c>
    </row>
    <row r="310" spans="1:18" ht="25.5" hidden="1" x14ac:dyDescent="0.2">
      <c r="A310" s="21" t="s">
        <v>3648</v>
      </c>
      <c r="B310" s="8" t="s">
        <v>3647</v>
      </c>
      <c r="C310" s="8" t="s">
        <v>40</v>
      </c>
      <c r="D310" s="8" t="s">
        <v>969</v>
      </c>
      <c r="E310" s="8" t="s">
        <v>40</v>
      </c>
      <c r="F310" s="8" t="s">
        <v>39</v>
      </c>
      <c r="G310" s="8" t="s">
        <v>54</v>
      </c>
      <c r="H310" s="8" t="s">
        <v>37</v>
      </c>
      <c r="I310" s="8" t="s">
        <v>53</v>
      </c>
      <c r="J310" s="8" t="s">
        <v>46</v>
      </c>
      <c r="K310" s="8" t="s">
        <v>1713</v>
      </c>
      <c r="L310" s="7">
        <v>7048</v>
      </c>
      <c r="M310" s="10" t="str">
        <f t="shared" si="24"/>
        <v>CMI02051200</v>
      </c>
      <c r="N310" s="10" t="str">
        <f t="shared" si="25"/>
        <v>REP201100</v>
      </c>
      <c r="O310" s="10" t="str">
        <f t="shared" si="26"/>
        <v>E</v>
      </c>
      <c r="P310" s="10" t="str">
        <f t="shared" si="27"/>
        <v>50</v>
      </c>
      <c r="Q310" s="10" t="str">
        <f t="shared" si="28"/>
        <v>ZRPI</v>
      </c>
      <c r="R310" s="10" t="str">
        <f t="shared" si="29"/>
        <v>39121432</v>
      </c>
    </row>
    <row r="311" spans="1:18" ht="38.25" hidden="1" x14ac:dyDescent="0.2">
      <c r="A311" s="21" t="s">
        <v>3646</v>
      </c>
      <c r="B311" s="8" t="s">
        <v>3645</v>
      </c>
      <c r="C311" s="8" t="s">
        <v>40</v>
      </c>
      <c r="D311" s="8" t="s">
        <v>55</v>
      </c>
      <c r="E311" s="8" t="s">
        <v>40</v>
      </c>
      <c r="F311" s="8" t="s">
        <v>39</v>
      </c>
      <c r="G311" s="8" t="s">
        <v>54</v>
      </c>
      <c r="H311" s="8" t="s">
        <v>37</v>
      </c>
      <c r="I311" s="8" t="s">
        <v>53</v>
      </c>
      <c r="J311" s="8" t="s">
        <v>46</v>
      </c>
      <c r="K311" s="8" t="s">
        <v>3644</v>
      </c>
      <c r="L311" s="7">
        <v>7049</v>
      </c>
      <c r="M311" s="10" t="str">
        <f t="shared" si="24"/>
        <v>CMI02140300</v>
      </c>
      <c r="N311" s="10" t="str">
        <f t="shared" si="25"/>
        <v>REP201100</v>
      </c>
      <c r="O311" s="10" t="str">
        <f t="shared" si="26"/>
        <v>E</v>
      </c>
      <c r="P311" s="10" t="str">
        <f t="shared" si="27"/>
        <v>50</v>
      </c>
      <c r="Q311" s="10" t="str">
        <f t="shared" si="28"/>
        <v>ZRPI</v>
      </c>
      <c r="R311" s="10" t="str">
        <f t="shared" si="29"/>
        <v>41112501</v>
      </c>
    </row>
    <row r="312" spans="1:18" ht="0.75" hidden="1" customHeight="1" x14ac:dyDescent="0.2">
      <c r="A312" s="21" t="s">
        <v>3643</v>
      </c>
      <c r="B312" s="8" t="s">
        <v>3642</v>
      </c>
      <c r="C312" s="8" t="s">
        <v>40</v>
      </c>
      <c r="D312" s="8" t="s">
        <v>55</v>
      </c>
      <c r="E312" s="8" t="s">
        <v>40</v>
      </c>
      <c r="F312" s="8" t="s">
        <v>39</v>
      </c>
      <c r="G312" s="8" t="s">
        <v>54</v>
      </c>
      <c r="H312" s="8" t="s">
        <v>37</v>
      </c>
      <c r="I312" s="8" t="s">
        <v>53</v>
      </c>
      <c r="J312" s="8" t="s">
        <v>46</v>
      </c>
      <c r="K312" s="8" t="s">
        <v>3641</v>
      </c>
      <c r="L312" s="7">
        <v>7050</v>
      </c>
      <c r="M312" s="10" t="str">
        <f t="shared" si="24"/>
        <v>CMI02140300</v>
      </c>
      <c r="N312" s="10" t="str">
        <f t="shared" si="25"/>
        <v>REP201100</v>
      </c>
      <c r="O312" s="10" t="str">
        <f t="shared" si="26"/>
        <v>E</v>
      </c>
      <c r="P312" s="10" t="str">
        <f t="shared" si="27"/>
        <v>50</v>
      </c>
      <c r="Q312" s="10" t="str">
        <f t="shared" si="28"/>
        <v>ZRPI</v>
      </c>
      <c r="R312" s="10" t="str">
        <f t="shared" si="29"/>
        <v>41113637</v>
      </c>
    </row>
    <row r="313" spans="1:18" ht="25.5" hidden="1" x14ac:dyDescent="0.2">
      <c r="A313" s="21" t="s">
        <v>3640</v>
      </c>
      <c r="B313" s="8" t="s">
        <v>3639</v>
      </c>
      <c r="C313" s="8" t="s">
        <v>40</v>
      </c>
      <c r="D313" s="8" t="s">
        <v>947</v>
      </c>
      <c r="E313" s="8" t="s">
        <v>40</v>
      </c>
      <c r="F313" s="8" t="s">
        <v>39</v>
      </c>
      <c r="G313" s="8" t="s">
        <v>240</v>
      </c>
      <c r="H313" s="8" t="s">
        <v>37</v>
      </c>
      <c r="I313" s="8" t="s">
        <v>53</v>
      </c>
      <c r="J313" s="8" t="s">
        <v>46</v>
      </c>
      <c r="K313" s="8" t="s">
        <v>3158</v>
      </c>
      <c r="L313" s="7">
        <v>7051</v>
      </c>
      <c r="M313" s="10" t="str">
        <f t="shared" si="24"/>
        <v>CMI02160200</v>
      </c>
      <c r="N313" s="10" t="str">
        <f t="shared" si="25"/>
        <v>REP201000</v>
      </c>
      <c r="O313" s="10" t="str">
        <f t="shared" si="26"/>
        <v>E</v>
      </c>
      <c r="P313" s="10" t="str">
        <f t="shared" si="27"/>
        <v>50</v>
      </c>
      <c r="Q313" s="10" t="str">
        <f t="shared" si="28"/>
        <v>ZRPI</v>
      </c>
      <c r="R313" s="10" t="str">
        <f t="shared" si="29"/>
        <v>43211902</v>
      </c>
    </row>
    <row r="314" spans="1:18" ht="25.5" hidden="1" x14ac:dyDescent="0.2">
      <c r="A314" s="21" t="s">
        <v>3638</v>
      </c>
      <c r="B314" s="8" t="s">
        <v>3637</v>
      </c>
      <c r="C314" s="8" t="s">
        <v>40</v>
      </c>
      <c r="D314" s="8" t="s">
        <v>669</v>
      </c>
      <c r="E314" s="8" t="s">
        <v>40</v>
      </c>
      <c r="F314" s="8" t="s">
        <v>39</v>
      </c>
      <c r="G314" s="8" t="s">
        <v>240</v>
      </c>
      <c r="H314" s="8" t="s">
        <v>37</v>
      </c>
      <c r="I314" s="8" t="s">
        <v>53</v>
      </c>
      <c r="J314" s="8" t="s">
        <v>46</v>
      </c>
      <c r="K314" s="8" t="s">
        <v>3636</v>
      </c>
      <c r="L314" s="7">
        <v>7052</v>
      </c>
      <c r="M314" s="10" t="str">
        <f t="shared" si="24"/>
        <v>CMI02140700</v>
      </c>
      <c r="N314" s="10" t="str">
        <f t="shared" si="25"/>
        <v>REP201000</v>
      </c>
      <c r="O314" s="10" t="str">
        <f t="shared" si="26"/>
        <v>E</v>
      </c>
      <c r="P314" s="10" t="str">
        <f t="shared" si="27"/>
        <v>50</v>
      </c>
      <c r="Q314" s="10" t="str">
        <f t="shared" si="28"/>
        <v>ZRPI</v>
      </c>
      <c r="R314" s="10" t="str">
        <f t="shared" si="29"/>
        <v>44122101</v>
      </c>
    </row>
    <row r="315" spans="1:18" ht="25.5" hidden="1" x14ac:dyDescent="0.2">
      <c r="A315" s="21" t="s">
        <v>3635</v>
      </c>
      <c r="B315" s="8" t="s">
        <v>3634</v>
      </c>
      <c r="C315" s="8" t="s">
        <v>40</v>
      </c>
      <c r="D315" s="8" t="s">
        <v>256</v>
      </c>
      <c r="E315" s="8" t="s">
        <v>40</v>
      </c>
      <c r="F315" s="8" t="s">
        <v>39</v>
      </c>
      <c r="G315" s="8" t="s">
        <v>54</v>
      </c>
      <c r="H315" s="8" t="s">
        <v>37</v>
      </c>
      <c r="I315" s="8" t="s">
        <v>53</v>
      </c>
      <c r="J315" s="8" t="s">
        <v>46</v>
      </c>
      <c r="K315" s="8" t="s">
        <v>2893</v>
      </c>
      <c r="L315" s="7">
        <v>7053</v>
      </c>
      <c r="M315" s="10" t="str">
        <f t="shared" si="24"/>
        <v>CMI02090900</v>
      </c>
      <c r="N315" s="10" t="str">
        <f t="shared" si="25"/>
        <v>REP201100</v>
      </c>
      <c r="O315" s="10" t="str">
        <f t="shared" si="26"/>
        <v>E</v>
      </c>
      <c r="P315" s="10" t="str">
        <f t="shared" si="27"/>
        <v>50</v>
      </c>
      <c r="Q315" s="10" t="str">
        <f t="shared" si="28"/>
        <v>ZRPI</v>
      </c>
      <c r="R315" s="10" t="str">
        <f t="shared" si="29"/>
        <v>31171500</v>
      </c>
    </row>
    <row r="316" spans="1:18" ht="25.5" hidden="1" x14ac:dyDescent="0.2">
      <c r="A316" s="21" t="s">
        <v>3633</v>
      </c>
      <c r="B316" s="8" t="s">
        <v>3632</v>
      </c>
      <c r="C316" s="8" t="s">
        <v>40</v>
      </c>
      <c r="D316" s="8" t="s">
        <v>241</v>
      </c>
      <c r="E316" s="8" t="s">
        <v>40</v>
      </c>
      <c r="F316" s="8" t="s">
        <v>39</v>
      </c>
      <c r="G316" s="8" t="s">
        <v>54</v>
      </c>
      <c r="H316" s="8" t="s">
        <v>37</v>
      </c>
      <c r="I316" s="8" t="s">
        <v>53</v>
      </c>
      <c r="J316" s="8" t="s">
        <v>46</v>
      </c>
      <c r="K316" s="8" t="s">
        <v>3631</v>
      </c>
      <c r="L316" s="7">
        <v>7054</v>
      </c>
      <c r="M316" s="10" t="str">
        <f t="shared" si="24"/>
        <v>CMI02090300</v>
      </c>
      <c r="N316" s="10" t="str">
        <f t="shared" si="25"/>
        <v>REP201100</v>
      </c>
      <c r="O316" s="10" t="str">
        <f t="shared" si="26"/>
        <v>E</v>
      </c>
      <c r="P316" s="10" t="str">
        <f t="shared" si="27"/>
        <v>50</v>
      </c>
      <c r="Q316" s="10" t="str">
        <f t="shared" si="28"/>
        <v>ZRPI</v>
      </c>
      <c r="R316" s="10" t="str">
        <f t="shared" si="29"/>
        <v>31231400</v>
      </c>
    </row>
    <row r="317" spans="1:18" ht="25.5" hidden="1" x14ac:dyDescent="0.2">
      <c r="A317" s="21" t="s">
        <v>3630</v>
      </c>
      <c r="B317" s="8" t="s">
        <v>3629</v>
      </c>
      <c r="C317" s="8" t="s">
        <v>40</v>
      </c>
      <c r="D317" s="8" t="s">
        <v>256</v>
      </c>
      <c r="E317" s="8" t="s">
        <v>40</v>
      </c>
      <c r="F317" s="8" t="s">
        <v>39</v>
      </c>
      <c r="G317" s="8" t="s">
        <v>54</v>
      </c>
      <c r="H317" s="8" t="s">
        <v>37</v>
      </c>
      <c r="I317" s="8" t="s">
        <v>53</v>
      </c>
      <c r="J317" s="8" t="s">
        <v>46</v>
      </c>
      <c r="K317" s="8" t="s">
        <v>3628</v>
      </c>
      <c r="L317" s="7">
        <v>7055</v>
      </c>
      <c r="M317" s="10" t="str">
        <f t="shared" si="24"/>
        <v>CMI02090900</v>
      </c>
      <c r="N317" s="10" t="str">
        <f t="shared" si="25"/>
        <v>REP201100</v>
      </c>
      <c r="O317" s="10" t="str">
        <f t="shared" si="26"/>
        <v>E</v>
      </c>
      <c r="P317" s="10" t="str">
        <f t="shared" si="27"/>
        <v>50</v>
      </c>
      <c r="Q317" s="10" t="str">
        <f t="shared" si="28"/>
        <v>ZRPI</v>
      </c>
      <c r="R317" s="10" t="str">
        <f t="shared" si="29"/>
        <v>31161620</v>
      </c>
    </row>
    <row r="318" spans="1:18" ht="38.25" hidden="1" x14ac:dyDescent="0.2">
      <c r="A318" s="21" t="s">
        <v>3627</v>
      </c>
      <c r="B318" s="8" t="s">
        <v>3626</v>
      </c>
      <c r="C318" s="8" t="s">
        <v>40</v>
      </c>
      <c r="D318" s="8" t="s">
        <v>55</v>
      </c>
      <c r="E318" s="8" t="s">
        <v>40</v>
      </c>
      <c r="F318" s="8" t="s">
        <v>39</v>
      </c>
      <c r="G318" s="8" t="s">
        <v>240</v>
      </c>
      <c r="H318" s="8" t="s">
        <v>37</v>
      </c>
      <c r="I318" s="8" t="s">
        <v>36</v>
      </c>
      <c r="J318" s="8" t="s">
        <v>46</v>
      </c>
      <c r="K318" s="8" t="s">
        <v>3625</v>
      </c>
      <c r="L318" s="7">
        <v>7056</v>
      </c>
      <c r="M318" s="10" t="str">
        <f t="shared" si="24"/>
        <v>CMI02140300</v>
      </c>
      <c r="N318" s="10" t="str">
        <f t="shared" si="25"/>
        <v>REP201000</v>
      </c>
      <c r="O318" s="10" t="str">
        <f t="shared" si="26"/>
        <v>E</v>
      </c>
      <c r="P318" s="10" t="str">
        <f t="shared" si="27"/>
        <v>10</v>
      </c>
      <c r="Q318" s="10" t="str">
        <f t="shared" si="28"/>
        <v>ZRPI</v>
      </c>
      <c r="R318" s="10" t="str">
        <f t="shared" si="29"/>
        <v>41111938</v>
      </c>
    </row>
    <row r="319" spans="1:18" ht="25.5" hidden="1" x14ac:dyDescent="0.2">
      <c r="A319" s="21" t="s">
        <v>3624</v>
      </c>
      <c r="B319" s="8" t="s">
        <v>3623</v>
      </c>
      <c r="C319" s="8" t="s">
        <v>40</v>
      </c>
      <c r="D319" s="8" t="s">
        <v>256</v>
      </c>
      <c r="E319" s="8" t="s">
        <v>40</v>
      </c>
      <c r="F319" s="8" t="s">
        <v>39</v>
      </c>
      <c r="G319" s="8" t="s">
        <v>54</v>
      </c>
      <c r="H319" s="8" t="s">
        <v>37</v>
      </c>
      <c r="I319" s="8" t="s">
        <v>53</v>
      </c>
      <c r="J319" s="8" t="s">
        <v>46</v>
      </c>
      <c r="K319" s="8" t="s">
        <v>3504</v>
      </c>
      <c r="L319" s="7">
        <v>7057</v>
      </c>
      <c r="M319" s="10" t="str">
        <f t="shared" si="24"/>
        <v>CMI02090900</v>
      </c>
      <c r="N319" s="10" t="str">
        <f t="shared" si="25"/>
        <v>REP201100</v>
      </c>
      <c r="O319" s="10" t="str">
        <f t="shared" si="26"/>
        <v>E</v>
      </c>
      <c r="P319" s="10" t="str">
        <f t="shared" si="27"/>
        <v>50</v>
      </c>
      <c r="Q319" s="10" t="str">
        <f t="shared" si="28"/>
        <v>ZRPI</v>
      </c>
      <c r="R319" s="10" t="str">
        <f t="shared" si="29"/>
        <v>31171600</v>
      </c>
    </row>
    <row r="320" spans="1:18" ht="25.5" hidden="1" x14ac:dyDescent="0.2">
      <c r="A320" s="21" t="s">
        <v>3622</v>
      </c>
      <c r="B320" s="8" t="s">
        <v>3621</v>
      </c>
      <c r="C320" s="8" t="s">
        <v>40</v>
      </c>
      <c r="D320" s="8" t="s">
        <v>245</v>
      </c>
      <c r="E320" s="8" t="s">
        <v>40</v>
      </c>
      <c r="F320" s="8" t="s">
        <v>39</v>
      </c>
      <c r="G320" s="8" t="s">
        <v>54</v>
      </c>
      <c r="H320" s="8" t="s">
        <v>37</v>
      </c>
      <c r="I320" s="8" t="s">
        <v>53</v>
      </c>
      <c r="J320" s="8" t="s">
        <v>46</v>
      </c>
      <c r="K320" s="8" t="s">
        <v>3620</v>
      </c>
      <c r="L320" s="7">
        <v>7058</v>
      </c>
      <c r="M320" s="10" t="str">
        <f t="shared" si="24"/>
        <v>CMI01020300</v>
      </c>
      <c r="N320" s="10" t="str">
        <f t="shared" si="25"/>
        <v>REP201100</v>
      </c>
      <c r="O320" s="10" t="str">
        <f t="shared" si="26"/>
        <v>E</v>
      </c>
      <c r="P320" s="10" t="str">
        <f t="shared" si="27"/>
        <v>50</v>
      </c>
      <c r="Q320" s="10" t="str">
        <f t="shared" si="28"/>
        <v>ZRPI</v>
      </c>
      <c r="R320" s="10" t="str">
        <f t="shared" si="29"/>
        <v>40151601</v>
      </c>
    </row>
    <row r="321" spans="1:18" ht="38.25" hidden="1" x14ac:dyDescent="0.2">
      <c r="A321" s="21" t="s">
        <v>3619</v>
      </c>
      <c r="B321" s="8" t="s">
        <v>3618</v>
      </c>
      <c r="C321" s="8" t="s">
        <v>40</v>
      </c>
      <c r="D321" s="8" t="s">
        <v>1059</v>
      </c>
      <c r="E321" s="8" t="s">
        <v>40</v>
      </c>
      <c r="F321" s="8" t="s">
        <v>39</v>
      </c>
      <c r="G321" s="8" t="s">
        <v>54</v>
      </c>
      <c r="H321" s="8" t="s">
        <v>37</v>
      </c>
      <c r="I321" s="8" t="s">
        <v>53</v>
      </c>
      <c r="J321" s="8" t="s">
        <v>46</v>
      </c>
      <c r="K321" s="8" t="s">
        <v>3559</v>
      </c>
      <c r="L321" s="7">
        <v>7059</v>
      </c>
      <c r="M321" s="10" t="str">
        <f t="shared" si="24"/>
        <v>CMI02090600</v>
      </c>
      <c r="N321" s="10" t="str">
        <f t="shared" si="25"/>
        <v>REP201100</v>
      </c>
      <c r="O321" s="10" t="str">
        <f t="shared" si="26"/>
        <v>E</v>
      </c>
      <c r="P321" s="10" t="str">
        <f t="shared" si="27"/>
        <v>50</v>
      </c>
      <c r="Q321" s="10" t="str">
        <f t="shared" si="28"/>
        <v>ZRPI</v>
      </c>
      <c r="R321" s="10" t="str">
        <f t="shared" si="29"/>
        <v>27121602</v>
      </c>
    </row>
    <row r="322" spans="1:18" ht="25.5" hidden="1" x14ac:dyDescent="0.2">
      <c r="A322" s="21" t="s">
        <v>3617</v>
      </c>
      <c r="B322" s="8" t="s">
        <v>3616</v>
      </c>
      <c r="C322" s="8" t="s">
        <v>40</v>
      </c>
      <c r="D322" s="8" t="s">
        <v>249</v>
      </c>
      <c r="E322" s="8" t="s">
        <v>40</v>
      </c>
      <c r="F322" s="8" t="s">
        <v>39</v>
      </c>
      <c r="G322" s="8" t="s">
        <v>54</v>
      </c>
      <c r="H322" s="8" t="s">
        <v>37</v>
      </c>
      <c r="I322" s="8" t="s">
        <v>53</v>
      </c>
      <c r="J322" s="8" t="s">
        <v>46</v>
      </c>
      <c r="K322" s="8" t="s">
        <v>3615</v>
      </c>
      <c r="L322" s="7">
        <v>7060</v>
      </c>
      <c r="M322" s="10" t="str">
        <f t="shared" si="24"/>
        <v>CMI02090700</v>
      </c>
      <c r="N322" s="10" t="str">
        <f t="shared" si="25"/>
        <v>REP201100</v>
      </c>
      <c r="O322" s="10" t="str">
        <f t="shared" si="26"/>
        <v>E</v>
      </c>
      <c r="P322" s="10" t="str">
        <f t="shared" si="27"/>
        <v>50</v>
      </c>
      <c r="Q322" s="10" t="str">
        <f t="shared" si="28"/>
        <v>ZRPI</v>
      </c>
      <c r="R322" s="10" t="str">
        <f t="shared" si="29"/>
        <v>40161505</v>
      </c>
    </row>
    <row r="323" spans="1:18" ht="38.25" hidden="1" x14ac:dyDescent="0.2">
      <c r="A323" s="21" t="s">
        <v>3614</v>
      </c>
      <c r="B323" s="8" t="s">
        <v>3613</v>
      </c>
      <c r="C323" s="8" t="s">
        <v>40</v>
      </c>
      <c r="D323" s="8" t="s">
        <v>1059</v>
      </c>
      <c r="E323" s="8" t="s">
        <v>40</v>
      </c>
      <c r="F323" s="8" t="s">
        <v>39</v>
      </c>
      <c r="G323" s="8" t="s">
        <v>54</v>
      </c>
      <c r="H323" s="8" t="s">
        <v>37</v>
      </c>
      <c r="I323" s="8" t="s">
        <v>53</v>
      </c>
      <c r="J323" s="8" t="s">
        <v>46</v>
      </c>
      <c r="K323" s="8" t="s">
        <v>3612</v>
      </c>
      <c r="L323" s="7">
        <v>7061</v>
      </c>
      <c r="M323" s="10" t="str">
        <f t="shared" ref="M323:M386" si="30">+LEFT(D323,11)</f>
        <v>CMI02090600</v>
      </c>
      <c r="N323" s="10" t="str">
        <f t="shared" ref="N323:N386" si="31">+LEFT(G323,9)</f>
        <v>REP201100</v>
      </c>
      <c r="O323" s="10" t="str">
        <f t="shared" ref="O323:O386" si="32">+LEFT(H323,1)</f>
        <v>E</v>
      </c>
      <c r="P323" s="10" t="str">
        <f t="shared" ref="P323:P386" si="33">+LEFT(I323,2)</f>
        <v>50</v>
      </c>
      <c r="Q323" s="10" t="str">
        <f t="shared" ref="Q323:Q386" si="34">+LEFT(J323,4)</f>
        <v>ZRPI</v>
      </c>
      <c r="R323" s="10" t="str">
        <f t="shared" ref="R323:R386" si="35">+LEFT(K323,8)</f>
        <v>40142000</v>
      </c>
    </row>
    <row r="324" spans="1:18" ht="25.5" hidden="1" x14ac:dyDescent="0.2">
      <c r="A324" s="21" t="s">
        <v>3611</v>
      </c>
      <c r="B324" s="8" t="s">
        <v>3610</v>
      </c>
      <c r="C324" s="8" t="s">
        <v>40</v>
      </c>
      <c r="D324" s="8" t="s">
        <v>245</v>
      </c>
      <c r="E324" s="8" t="s">
        <v>40</v>
      </c>
      <c r="F324" s="8" t="s">
        <v>39</v>
      </c>
      <c r="G324" s="8" t="s">
        <v>54</v>
      </c>
      <c r="H324" s="8" t="s">
        <v>37</v>
      </c>
      <c r="I324" s="8" t="s">
        <v>36</v>
      </c>
      <c r="J324" s="8" t="s">
        <v>46</v>
      </c>
      <c r="K324" s="8" t="s">
        <v>3431</v>
      </c>
      <c r="L324" s="7">
        <v>7062</v>
      </c>
      <c r="M324" s="10" t="str">
        <f t="shared" si="30"/>
        <v>CMI01020300</v>
      </c>
      <c r="N324" s="10" t="str">
        <f t="shared" si="31"/>
        <v>REP201100</v>
      </c>
      <c r="O324" s="10" t="str">
        <f t="shared" si="32"/>
        <v>E</v>
      </c>
      <c r="P324" s="10" t="str">
        <f t="shared" si="33"/>
        <v>10</v>
      </c>
      <c r="Q324" s="10" t="str">
        <f t="shared" si="34"/>
        <v>ZRPI</v>
      </c>
      <c r="R324" s="10" t="str">
        <f t="shared" si="35"/>
        <v>41113710</v>
      </c>
    </row>
    <row r="325" spans="1:18" ht="25.5" hidden="1" x14ac:dyDescent="0.2">
      <c r="A325" s="21" t="s">
        <v>3609</v>
      </c>
      <c r="B325" s="8" t="s">
        <v>3608</v>
      </c>
      <c r="C325" s="8" t="s">
        <v>40</v>
      </c>
      <c r="D325" s="8" t="s">
        <v>256</v>
      </c>
      <c r="E325" s="8" t="s">
        <v>40</v>
      </c>
      <c r="F325" s="8" t="s">
        <v>39</v>
      </c>
      <c r="G325" s="8" t="s">
        <v>54</v>
      </c>
      <c r="H325" s="8" t="s">
        <v>37</v>
      </c>
      <c r="I325" s="8" t="s">
        <v>53</v>
      </c>
      <c r="J325" s="8" t="s">
        <v>46</v>
      </c>
      <c r="K325" s="8" t="s">
        <v>3607</v>
      </c>
      <c r="L325" s="7">
        <v>7063</v>
      </c>
      <c r="M325" s="10" t="str">
        <f t="shared" si="30"/>
        <v>CMI02090900</v>
      </c>
      <c r="N325" s="10" t="str">
        <f t="shared" si="31"/>
        <v>REP201100</v>
      </c>
      <c r="O325" s="10" t="str">
        <f t="shared" si="32"/>
        <v>E</v>
      </c>
      <c r="P325" s="10" t="str">
        <f t="shared" si="33"/>
        <v>50</v>
      </c>
      <c r="Q325" s="10" t="str">
        <f t="shared" si="34"/>
        <v>ZRPI</v>
      </c>
      <c r="R325" s="10" t="str">
        <f t="shared" si="35"/>
        <v>31161700</v>
      </c>
    </row>
    <row r="326" spans="1:18" ht="38.25" hidden="1" x14ac:dyDescent="0.2">
      <c r="A326" s="21" t="s">
        <v>3606</v>
      </c>
      <c r="B326" s="8" t="s">
        <v>3605</v>
      </c>
      <c r="C326" s="8" t="s">
        <v>40</v>
      </c>
      <c r="D326" s="8" t="s">
        <v>990</v>
      </c>
      <c r="E326" s="8" t="s">
        <v>40</v>
      </c>
      <c r="F326" s="8" t="s">
        <v>39</v>
      </c>
      <c r="G326" s="8" t="s">
        <v>54</v>
      </c>
      <c r="H326" s="8" t="s">
        <v>37</v>
      </c>
      <c r="I326" s="8" t="s">
        <v>53</v>
      </c>
      <c r="J326" s="8" t="s">
        <v>46</v>
      </c>
      <c r="K326" s="8" t="s">
        <v>3166</v>
      </c>
      <c r="L326" s="7">
        <v>7064</v>
      </c>
      <c r="M326" s="10" t="str">
        <f t="shared" si="30"/>
        <v>CMI02090500</v>
      </c>
      <c r="N326" s="10" t="str">
        <f t="shared" si="31"/>
        <v>REP201100</v>
      </c>
      <c r="O326" s="10" t="str">
        <f t="shared" si="32"/>
        <v>E</v>
      </c>
      <c r="P326" s="10" t="str">
        <f t="shared" si="33"/>
        <v>50</v>
      </c>
      <c r="Q326" s="10" t="str">
        <f t="shared" si="34"/>
        <v>ZRPI</v>
      </c>
      <c r="R326" s="10" t="str">
        <f t="shared" si="35"/>
        <v>40151500</v>
      </c>
    </row>
    <row r="327" spans="1:18" ht="25.5" hidden="1" x14ac:dyDescent="0.2">
      <c r="A327" s="21" t="s">
        <v>3604</v>
      </c>
      <c r="B327" s="8" t="s">
        <v>3603</v>
      </c>
      <c r="C327" s="8" t="s">
        <v>40</v>
      </c>
      <c r="D327" s="8" t="s">
        <v>241</v>
      </c>
      <c r="E327" s="8" t="s">
        <v>40</v>
      </c>
      <c r="F327" s="8" t="s">
        <v>39</v>
      </c>
      <c r="G327" s="8" t="s">
        <v>54</v>
      </c>
      <c r="H327" s="8" t="s">
        <v>37</v>
      </c>
      <c r="I327" s="8" t="s">
        <v>53</v>
      </c>
      <c r="J327" s="8" t="s">
        <v>46</v>
      </c>
      <c r="K327" s="8" t="s">
        <v>3602</v>
      </c>
      <c r="L327" s="7">
        <v>7065</v>
      </c>
      <c r="M327" s="10" t="str">
        <f t="shared" si="30"/>
        <v>CMI02090300</v>
      </c>
      <c r="N327" s="10" t="str">
        <f t="shared" si="31"/>
        <v>REP201100</v>
      </c>
      <c r="O327" s="10" t="str">
        <f t="shared" si="32"/>
        <v>E</v>
      </c>
      <c r="P327" s="10" t="str">
        <f t="shared" si="33"/>
        <v>50</v>
      </c>
      <c r="Q327" s="10" t="str">
        <f t="shared" si="34"/>
        <v>ZRPI</v>
      </c>
      <c r="R327" s="10" t="str">
        <f t="shared" si="35"/>
        <v>32121701</v>
      </c>
    </row>
    <row r="328" spans="1:18" ht="25.5" hidden="1" x14ac:dyDescent="0.2">
      <c r="A328" s="21" t="s">
        <v>3601</v>
      </c>
      <c r="B328" s="8" t="s">
        <v>3600</v>
      </c>
      <c r="C328" s="8" t="s">
        <v>40</v>
      </c>
      <c r="D328" s="8" t="s">
        <v>2157</v>
      </c>
      <c r="E328" s="8" t="s">
        <v>40</v>
      </c>
      <c r="F328" s="8" t="s">
        <v>39</v>
      </c>
      <c r="G328" s="8" t="s">
        <v>54</v>
      </c>
      <c r="H328" s="8" t="s">
        <v>37</v>
      </c>
      <c r="I328" s="8" t="s">
        <v>53</v>
      </c>
      <c r="J328" s="8" t="s">
        <v>46</v>
      </c>
      <c r="K328" s="8" t="s">
        <v>3599</v>
      </c>
      <c r="L328" s="7">
        <v>7066</v>
      </c>
      <c r="M328" s="10" t="str">
        <f t="shared" si="30"/>
        <v>CMI02090800</v>
      </c>
      <c r="N328" s="10" t="str">
        <f t="shared" si="31"/>
        <v>REP201100</v>
      </c>
      <c r="O328" s="10" t="str">
        <f t="shared" si="32"/>
        <v>E</v>
      </c>
      <c r="P328" s="10" t="str">
        <f t="shared" si="33"/>
        <v>50</v>
      </c>
      <c r="Q328" s="10" t="str">
        <f t="shared" si="34"/>
        <v>ZRPI</v>
      </c>
      <c r="R328" s="10" t="str">
        <f t="shared" si="35"/>
        <v>24131513</v>
      </c>
    </row>
    <row r="329" spans="1:18" ht="25.5" hidden="1" x14ac:dyDescent="0.2">
      <c r="A329" s="21" t="s">
        <v>3598</v>
      </c>
      <c r="B329" s="8" t="s">
        <v>3597</v>
      </c>
      <c r="C329" s="8" t="s">
        <v>40</v>
      </c>
      <c r="D329" s="8" t="s">
        <v>241</v>
      </c>
      <c r="E329" s="8" t="s">
        <v>40</v>
      </c>
      <c r="F329" s="8" t="s">
        <v>39</v>
      </c>
      <c r="G329" s="8" t="s">
        <v>54</v>
      </c>
      <c r="H329" s="8" t="s">
        <v>37</v>
      </c>
      <c r="I329" s="8" t="s">
        <v>53</v>
      </c>
      <c r="J329" s="8" t="s">
        <v>46</v>
      </c>
      <c r="K329" s="8" t="s">
        <v>3596</v>
      </c>
      <c r="L329" s="7">
        <v>7067</v>
      </c>
      <c r="M329" s="10" t="str">
        <f t="shared" si="30"/>
        <v>CMI02090300</v>
      </c>
      <c r="N329" s="10" t="str">
        <f t="shared" si="31"/>
        <v>REP201100</v>
      </c>
      <c r="O329" s="10" t="str">
        <f t="shared" si="32"/>
        <v>E</v>
      </c>
      <c r="P329" s="10" t="str">
        <f t="shared" si="33"/>
        <v>50</v>
      </c>
      <c r="Q329" s="10" t="str">
        <f t="shared" si="34"/>
        <v>ZRPI</v>
      </c>
      <c r="R329" s="10" t="str">
        <f t="shared" si="35"/>
        <v>26101766</v>
      </c>
    </row>
    <row r="330" spans="1:18" ht="25.5" hidden="1" x14ac:dyDescent="0.2">
      <c r="A330" s="21" t="s">
        <v>3595</v>
      </c>
      <c r="B330" s="8" t="s">
        <v>3594</v>
      </c>
      <c r="C330" s="8" t="s">
        <v>40</v>
      </c>
      <c r="D330" s="8" t="s">
        <v>241</v>
      </c>
      <c r="E330" s="8" t="s">
        <v>40</v>
      </c>
      <c r="F330" s="8" t="s">
        <v>39</v>
      </c>
      <c r="G330" s="8" t="s">
        <v>54</v>
      </c>
      <c r="H330" s="8" t="s">
        <v>37</v>
      </c>
      <c r="I330" s="8" t="s">
        <v>36</v>
      </c>
      <c r="J330" s="8" t="s">
        <v>46</v>
      </c>
      <c r="K330" s="8" t="s">
        <v>3037</v>
      </c>
      <c r="L330" s="7">
        <v>7068</v>
      </c>
      <c r="M330" s="10" t="str">
        <f t="shared" si="30"/>
        <v>CMI02090300</v>
      </c>
      <c r="N330" s="10" t="str">
        <f t="shared" si="31"/>
        <v>REP201100</v>
      </c>
      <c r="O330" s="10" t="str">
        <f t="shared" si="32"/>
        <v>E</v>
      </c>
      <c r="P330" s="10" t="str">
        <f t="shared" si="33"/>
        <v>10</v>
      </c>
      <c r="Q330" s="10" t="str">
        <f t="shared" si="34"/>
        <v>ZRPI</v>
      </c>
      <c r="R330" s="10" t="str">
        <f t="shared" si="35"/>
        <v>39122300</v>
      </c>
    </row>
    <row r="331" spans="1:18" ht="25.5" hidden="1" x14ac:dyDescent="0.2">
      <c r="A331" s="21" t="s">
        <v>3593</v>
      </c>
      <c r="B331" s="8" t="s">
        <v>3592</v>
      </c>
      <c r="C331" s="8" t="s">
        <v>40</v>
      </c>
      <c r="D331" s="8" t="s">
        <v>249</v>
      </c>
      <c r="E331" s="8" t="s">
        <v>40</v>
      </c>
      <c r="F331" s="8" t="s">
        <v>39</v>
      </c>
      <c r="G331" s="8" t="s">
        <v>54</v>
      </c>
      <c r="H331" s="8" t="s">
        <v>37</v>
      </c>
      <c r="I331" s="8" t="s">
        <v>53</v>
      </c>
      <c r="J331" s="8" t="s">
        <v>46</v>
      </c>
      <c r="K331" s="8" t="s">
        <v>3591</v>
      </c>
      <c r="L331" s="7">
        <v>7069</v>
      </c>
      <c r="M331" s="10" t="str">
        <f t="shared" si="30"/>
        <v>CMI02090700</v>
      </c>
      <c r="N331" s="10" t="str">
        <f t="shared" si="31"/>
        <v>REP201100</v>
      </c>
      <c r="O331" s="10" t="str">
        <f t="shared" si="32"/>
        <v>E</v>
      </c>
      <c r="P331" s="10" t="str">
        <f t="shared" si="33"/>
        <v>50</v>
      </c>
      <c r="Q331" s="10" t="str">
        <f t="shared" si="34"/>
        <v>ZRPI</v>
      </c>
      <c r="R331" s="10" t="str">
        <f t="shared" si="35"/>
        <v>31161900</v>
      </c>
    </row>
    <row r="332" spans="1:18" ht="25.5" hidden="1" x14ac:dyDescent="0.2">
      <c r="A332" s="21" t="s">
        <v>3590</v>
      </c>
      <c r="B332" s="8" t="s">
        <v>3589</v>
      </c>
      <c r="C332" s="8" t="s">
        <v>40</v>
      </c>
      <c r="D332" s="8" t="s">
        <v>241</v>
      </c>
      <c r="E332" s="8" t="s">
        <v>40</v>
      </c>
      <c r="F332" s="8" t="s">
        <v>39</v>
      </c>
      <c r="G332" s="8" t="s">
        <v>54</v>
      </c>
      <c r="H332" s="8" t="s">
        <v>37</v>
      </c>
      <c r="I332" s="8" t="s">
        <v>53</v>
      </c>
      <c r="J332" s="8" t="s">
        <v>46</v>
      </c>
      <c r="K332" s="8" t="s">
        <v>1724</v>
      </c>
      <c r="L332" s="7">
        <v>7070</v>
      </c>
      <c r="M332" s="10" t="str">
        <f t="shared" si="30"/>
        <v>CMI02090300</v>
      </c>
      <c r="N332" s="10" t="str">
        <f t="shared" si="31"/>
        <v>REP201100</v>
      </c>
      <c r="O332" s="10" t="str">
        <f t="shared" si="32"/>
        <v>E</v>
      </c>
      <c r="P332" s="10" t="str">
        <f t="shared" si="33"/>
        <v>50</v>
      </c>
      <c r="Q332" s="10" t="str">
        <f t="shared" si="34"/>
        <v>ZRPI</v>
      </c>
      <c r="R332" s="10" t="str">
        <f t="shared" si="35"/>
        <v>39122200</v>
      </c>
    </row>
    <row r="333" spans="1:18" ht="38.25" hidden="1" x14ac:dyDescent="0.2">
      <c r="A333" s="21" t="s">
        <v>3588</v>
      </c>
      <c r="B333" s="8" t="s">
        <v>3587</v>
      </c>
      <c r="C333" s="8" t="s">
        <v>40</v>
      </c>
      <c r="D333" s="8" t="s">
        <v>55</v>
      </c>
      <c r="E333" s="8" t="s">
        <v>40</v>
      </c>
      <c r="F333" s="8" t="s">
        <v>39</v>
      </c>
      <c r="G333" s="8" t="s">
        <v>54</v>
      </c>
      <c r="H333" s="8" t="s">
        <v>37</v>
      </c>
      <c r="I333" s="8" t="s">
        <v>53</v>
      </c>
      <c r="J333" s="8" t="s">
        <v>46</v>
      </c>
      <c r="K333" s="8" t="s">
        <v>252</v>
      </c>
      <c r="L333" s="7">
        <v>7071</v>
      </c>
      <c r="M333" s="10" t="str">
        <f t="shared" si="30"/>
        <v>CMI02140300</v>
      </c>
      <c r="N333" s="10" t="str">
        <f t="shared" si="31"/>
        <v>REP201100</v>
      </c>
      <c r="O333" s="10" t="str">
        <f t="shared" si="32"/>
        <v>E</v>
      </c>
      <c r="P333" s="10" t="str">
        <f t="shared" si="33"/>
        <v>50</v>
      </c>
      <c r="Q333" s="10" t="str">
        <f t="shared" si="34"/>
        <v>ZRPI</v>
      </c>
      <c r="R333" s="10" t="str">
        <f t="shared" si="35"/>
        <v>41112200</v>
      </c>
    </row>
    <row r="334" spans="1:18" ht="38.25" hidden="1" x14ac:dyDescent="0.2">
      <c r="A334" s="21" t="s">
        <v>3586</v>
      </c>
      <c r="B334" s="8" t="s">
        <v>3585</v>
      </c>
      <c r="C334" s="8" t="s">
        <v>40</v>
      </c>
      <c r="D334" s="8" t="s">
        <v>1059</v>
      </c>
      <c r="E334" s="8" t="s">
        <v>40</v>
      </c>
      <c r="F334" s="8" t="s">
        <v>39</v>
      </c>
      <c r="G334" s="8" t="s">
        <v>54</v>
      </c>
      <c r="H334" s="8" t="s">
        <v>37</v>
      </c>
      <c r="I334" s="8" t="s">
        <v>36</v>
      </c>
      <c r="J334" s="8" t="s">
        <v>46</v>
      </c>
      <c r="K334" s="8" t="s">
        <v>3584</v>
      </c>
      <c r="L334" s="7">
        <v>7072</v>
      </c>
      <c r="M334" s="10" t="str">
        <f t="shared" si="30"/>
        <v>CMI02090600</v>
      </c>
      <c r="N334" s="10" t="str">
        <f t="shared" si="31"/>
        <v>REP201100</v>
      </c>
      <c r="O334" s="10" t="str">
        <f t="shared" si="32"/>
        <v>E</v>
      </c>
      <c r="P334" s="10" t="str">
        <f t="shared" si="33"/>
        <v>10</v>
      </c>
      <c r="Q334" s="10" t="str">
        <f t="shared" si="34"/>
        <v>ZRPI</v>
      </c>
      <c r="R334" s="10" t="str">
        <f t="shared" si="35"/>
        <v>39121909</v>
      </c>
    </row>
    <row r="335" spans="1:18" ht="25.5" hidden="1" x14ac:dyDescent="0.2">
      <c r="A335" s="21" t="s">
        <v>3583</v>
      </c>
      <c r="B335" s="8" t="s">
        <v>3582</v>
      </c>
      <c r="C335" s="8" t="s">
        <v>40</v>
      </c>
      <c r="D335" s="8" t="s">
        <v>241</v>
      </c>
      <c r="E335" s="8" t="s">
        <v>40</v>
      </c>
      <c r="F335" s="8" t="s">
        <v>39</v>
      </c>
      <c r="G335" s="8" t="s">
        <v>54</v>
      </c>
      <c r="H335" s="8" t="s">
        <v>37</v>
      </c>
      <c r="I335" s="8" t="s">
        <v>53</v>
      </c>
      <c r="J335" s="8" t="s">
        <v>46</v>
      </c>
      <c r="K335" s="8" t="s">
        <v>3581</v>
      </c>
      <c r="L335" s="7">
        <v>7073</v>
      </c>
      <c r="M335" s="10" t="str">
        <f t="shared" si="30"/>
        <v>CMI02090300</v>
      </c>
      <c r="N335" s="10" t="str">
        <f t="shared" si="31"/>
        <v>REP201100</v>
      </c>
      <c r="O335" s="10" t="str">
        <f t="shared" si="32"/>
        <v>E</v>
      </c>
      <c r="P335" s="10" t="str">
        <f t="shared" si="33"/>
        <v>50</v>
      </c>
      <c r="Q335" s="10" t="str">
        <f t="shared" si="34"/>
        <v>ZRPI</v>
      </c>
      <c r="R335" s="10" t="str">
        <f t="shared" si="35"/>
        <v>32121500</v>
      </c>
    </row>
    <row r="336" spans="1:18" ht="25.5" hidden="1" x14ac:dyDescent="0.2">
      <c r="A336" s="22" t="s">
        <v>3580</v>
      </c>
      <c r="B336" s="8" t="s">
        <v>3579</v>
      </c>
      <c r="C336" s="8" t="s">
        <v>40</v>
      </c>
      <c r="D336" s="8" t="s">
        <v>249</v>
      </c>
      <c r="E336" s="8" t="s">
        <v>40</v>
      </c>
      <c r="F336" s="8" t="s">
        <v>39</v>
      </c>
      <c r="G336" s="8" t="s">
        <v>54</v>
      </c>
      <c r="H336" s="8" t="s">
        <v>37</v>
      </c>
      <c r="I336" s="8" t="s">
        <v>53</v>
      </c>
      <c r="J336" s="8" t="s">
        <v>46</v>
      </c>
      <c r="K336" s="8" t="s">
        <v>3578</v>
      </c>
      <c r="L336" s="7">
        <v>7074</v>
      </c>
      <c r="M336" s="10" t="str">
        <f t="shared" si="30"/>
        <v>CMI02090700</v>
      </c>
      <c r="N336" s="10" t="str">
        <f t="shared" si="31"/>
        <v>REP201100</v>
      </c>
      <c r="O336" s="10" t="str">
        <f t="shared" si="32"/>
        <v>E</v>
      </c>
      <c r="P336" s="10" t="str">
        <f t="shared" si="33"/>
        <v>50</v>
      </c>
      <c r="Q336" s="10" t="str">
        <f t="shared" si="34"/>
        <v>ZRPI</v>
      </c>
      <c r="R336" s="10" t="str">
        <f t="shared" si="35"/>
        <v>31411901</v>
      </c>
    </row>
    <row r="337" spans="1:18" ht="25.5" hidden="1" x14ac:dyDescent="0.2">
      <c r="A337" s="22" t="s">
        <v>3577</v>
      </c>
      <c r="B337" s="8" t="s">
        <v>3576</v>
      </c>
      <c r="C337" s="8" t="s">
        <v>40</v>
      </c>
      <c r="D337" s="8" t="s">
        <v>249</v>
      </c>
      <c r="E337" s="8" t="s">
        <v>40</v>
      </c>
      <c r="F337" s="8" t="s">
        <v>39</v>
      </c>
      <c r="G337" s="8" t="s">
        <v>54</v>
      </c>
      <c r="H337" s="8" t="s">
        <v>37</v>
      </c>
      <c r="I337" s="8" t="s">
        <v>53</v>
      </c>
      <c r="J337" s="8" t="s">
        <v>46</v>
      </c>
      <c r="K337" s="8" t="s">
        <v>2305</v>
      </c>
      <c r="L337" s="7">
        <v>7075</v>
      </c>
      <c r="M337" s="10" t="str">
        <f t="shared" si="30"/>
        <v>CMI02090700</v>
      </c>
      <c r="N337" s="10" t="str">
        <f t="shared" si="31"/>
        <v>REP201100</v>
      </c>
      <c r="O337" s="10" t="str">
        <f t="shared" si="32"/>
        <v>E</v>
      </c>
      <c r="P337" s="10" t="str">
        <f t="shared" si="33"/>
        <v>50</v>
      </c>
      <c r="Q337" s="10" t="str">
        <f t="shared" si="34"/>
        <v>ZRPI</v>
      </c>
      <c r="R337" s="10" t="str">
        <f t="shared" si="35"/>
        <v>40141700</v>
      </c>
    </row>
    <row r="338" spans="1:18" ht="38.25" hidden="1" x14ac:dyDescent="0.2">
      <c r="A338" s="21" t="s">
        <v>3575</v>
      </c>
      <c r="B338" s="8" t="s">
        <v>3574</v>
      </c>
      <c r="C338" s="8" t="s">
        <v>40</v>
      </c>
      <c r="D338" s="8" t="s">
        <v>1508</v>
      </c>
      <c r="E338" s="8" t="s">
        <v>40</v>
      </c>
      <c r="F338" s="8" t="s">
        <v>39</v>
      </c>
      <c r="G338" s="8" t="s">
        <v>2775</v>
      </c>
      <c r="H338" s="8" t="s">
        <v>37</v>
      </c>
      <c r="I338" s="8" t="s">
        <v>53</v>
      </c>
      <c r="J338" s="8" t="s">
        <v>46</v>
      </c>
      <c r="K338" s="8" t="s">
        <v>3573</v>
      </c>
      <c r="L338" s="7">
        <v>7076</v>
      </c>
      <c r="M338" s="10" t="str">
        <f t="shared" si="30"/>
        <v>CMI01030100</v>
      </c>
      <c r="N338" s="10" t="str">
        <f t="shared" si="31"/>
        <v>REP211100</v>
      </c>
      <c r="O338" s="10" t="str">
        <f t="shared" si="32"/>
        <v>E</v>
      </c>
      <c r="P338" s="10" t="str">
        <f t="shared" si="33"/>
        <v>50</v>
      </c>
      <c r="Q338" s="10" t="str">
        <f t="shared" si="34"/>
        <v>ZRPI</v>
      </c>
      <c r="R338" s="10" t="str">
        <f t="shared" si="35"/>
        <v>43223327</v>
      </c>
    </row>
    <row r="339" spans="1:18" ht="38.25" hidden="1" x14ac:dyDescent="0.2">
      <c r="A339" s="21" t="s">
        <v>3572</v>
      </c>
      <c r="B339" s="8" t="s">
        <v>3571</v>
      </c>
      <c r="C339" s="8" t="s">
        <v>40</v>
      </c>
      <c r="D339" s="8" t="s">
        <v>1059</v>
      </c>
      <c r="E339" s="8" t="s">
        <v>40</v>
      </c>
      <c r="F339" s="8" t="s">
        <v>39</v>
      </c>
      <c r="G339" s="8" t="s">
        <v>54</v>
      </c>
      <c r="H339" s="8" t="s">
        <v>37</v>
      </c>
      <c r="I339" s="8" t="s">
        <v>53</v>
      </c>
      <c r="J339" s="8" t="s">
        <v>46</v>
      </c>
      <c r="K339" s="8" t="s">
        <v>3570</v>
      </c>
      <c r="L339" s="7">
        <v>7077</v>
      </c>
      <c r="M339" s="10" t="str">
        <f t="shared" si="30"/>
        <v>CMI02090600</v>
      </c>
      <c r="N339" s="10" t="str">
        <f t="shared" si="31"/>
        <v>REP201100</v>
      </c>
      <c r="O339" s="10" t="str">
        <f t="shared" si="32"/>
        <v>E</v>
      </c>
      <c r="P339" s="10" t="str">
        <f t="shared" si="33"/>
        <v>50</v>
      </c>
      <c r="Q339" s="10" t="str">
        <f t="shared" si="34"/>
        <v>ZRPI</v>
      </c>
      <c r="R339" s="10" t="str">
        <f t="shared" si="35"/>
        <v>27121601</v>
      </c>
    </row>
    <row r="340" spans="1:18" ht="38.25" hidden="1" x14ac:dyDescent="0.2">
      <c r="A340" s="21" t="s">
        <v>3569</v>
      </c>
      <c r="B340" s="8" t="s">
        <v>3568</v>
      </c>
      <c r="C340" s="8" t="s">
        <v>40</v>
      </c>
      <c r="D340" s="8" t="s">
        <v>1059</v>
      </c>
      <c r="E340" s="8" t="s">
        <v>40</v>
      </c>
      <c r="F340" s="8" t="s">
        <v>39</v>
      </c>
      <c r="G340" s="8" t="s">
        <v>54</v>
      </c>
      <c r="H340" s="8" t="s">
        <v>37</v>
      </c>
      <c r="I340" s="8" t="s">
        <v>53</v>
      </c>
      <c r="J340" s="8" t="s">
        <v>46</v>
      </c>
      <c r="K340" s="8" t="s">
        <v>3504</v>
      </c>
      <c r="L340" s="7">
        <v>7078</v>
      </c>
      <c r="M340" s="10" t="str">
        <f t="shared" si="30"/>
        <v>CMI02090600</v>
      </c>
      <c r="N340" s="10" t="str">
        <f t="shared" si="31"/>
        <v>REP201100</v>
      </c>
      <c r="O340" s="10" t="str">
        <f t="shared" si="32"/>
        <v>E</v>
      </c>
      <c r="P340" s="10" t="str">
        <f t="shared" si="33"/>
        <v>50</v>
      </c>
      <c r="Q340" s="10" t="str">
        <f t="shared" si="34"/>
        <v>ZRPI</v>
      </c>
      <c r="R340" s="10" t="str">
        <f t="shared" si="35"/>
        <v>31171600</v>
      </c>
    </row>
    <row r="341" spans="1:18" ht="38.25" hidden="1" x14ac:dyDescent="0.2">
      <c r="A341" s="21" t="s">
        <v>3567</v>
      </c>
      <c r="B341" s="8" t="s">
        <v>3566</v>
      </c>
      <c r="C341" s="8" t="s">
        <v>40</v>
      </c>
      <c r="D341" s="8" t="s">
        <v>986</v>
      </c>
      <c r="E341" s="8" t="s">
        <v>40</v>
      </c>
      <c r="F341" s="8" t="s">
        <v>39</v>
      </c>
      <c r="G341" s="8" t="s">
        <v>54</v>
      </c>
      <c r="H341" s="8" t="s">
        <v>37</v>
      </c>
      <c r="I341" s="8" t="s">
        <v>53</v>
      </c>
      <c r="J341" s="8" t="s">
        <v>46</v>
      </c>
      <c r="K341" s="8" t="s">
        <v>3565</v>
      </c>
      <c r="L341" s="7">
        <v>7079</v>
      </c>
      <c r="M341" s="10" t="str">
        <f t="shared" si="30"/>
        <v>CMI02070300</v>
      </c>
      <c r="N341" s="10" t="str">
        <f t="shared" si="31"/>
        <v>REP201100</v>
      </c>
      <c r="O341" s="10" t="str">
        <f t="shared" si="32"/>
        <v>E</v>
      </c>
      <c r="P341" s="10" t="str">
        <f t="shared" si="33"/>
        <v>50</v>
      </c>
      <c r="Q341" s="10" t="str">
        <f t="shared" si="34"/>
        <v>ZRPI</v>
      </c>
      <c r="R341" s="10" t="str">
        <f t="shared" si="35"/>
        <v>25171712</v>
      </c>
    </row>
    <row r="342" spans="1:18" ht="25.5" hidden="1" x14ac:dyDescent="0.2">
      <c r="A342" s="21" t="s">
        <v>3564</v>
      </c>
      <c r="B342" s="8" t="s">
        <v>3563</v>
      </c>
      <c r="C342" s="8" t="s">
        <v>40</v>
      </c>
      <c r="D342" s="8" t="s">
        <v>249</v>
      </c>
      <c r="E342" s="8" t="s">
        <v>40</v>
      </c>
      <c r="F342" s="8" t="s">
        <v>39</v>
      </c>
      <c r="G342" s="8" t="s">
        <v>54</v>
      </c>
      <c r="H342" s="8" t="s">
        <v>37</v>
      </c>
      <c r="I342" s="8" t="s">
        <v>53</v>
      </c>
      <c r="J342" s="8" t="s">
        <v>46</v>
      </c>
      <c r="K342" s="8" t="s">
        <v>3562</v>
      </c>
      <c r="L342" s="7">
        <v>7080</v>
      </c>
      <c r="M342" s="10" t="str">
        <f t="shared" si="30"/>
        <v>CMI02090700</v>
      </c>
      <c r="N342" s="10" t="str">
        <f t="shared" si="31"/>
        <v>REP201100</v>
      </c>
      <c r="O342" s="10" t="str">
        <f t="shared" si="32"/>
        <v>E</v>
      </c>
      <c r="P342" s="10" t="str">
        <f t="shared" si="33"/>
        <v>50</v>
      </c>
      <c r="Q342" s="10" t="str">
        <f t="shared" si="34"/>
        <v>ZRPI</v>
      </c>
      <c r="R342" s="10" t="str">
        <f t="shared" si="35"/>
        <v>25172407</v>
      </c>
    </row>
    <row r="343" spans="1:18" ht="38.25" hidden="1" x14ac:dyDescent="0.2">
      <c r="A343" s="21" t="s">
        <v>3561</v>
      </c>
      <c r="B343" s="8" t="s">
        <v>3560</v>
      </c>
      <c r="C343" s="8" t="s">
        <v>40</v>
      </c>
      <c r="D343" s="8" t="s">
        <v>1059</v>
      </c>
      <c r="E343" s="8" t="s">
        <v>40</v>
      </c>
      <c r="F343" s="8" t="s">
        <v>39</v>
      </c>
      <c r="G343" s="8" t="s">
        <v>54</v>
      </c>
      <c r="H343" s="8" t="s">
        <v>37</v>
      </c>
      <c r="I343" s="8" t="s">
        <v>53</v>
      </c>
      <c r="J343" s="8" t="s">
        <v>46</v>
      </c>
      <c r="K343" s="8" t="s">
        <v>3559</v>
      </c>
      <c r="L343" s="7">
        <v>7081</v>
      </c>
      <c r="M343" s="10" t="str">
        <f t="shared" si="30"/>
        <v>CMI02090600</v>
      </c>
      <c r="N343" s="10" t="str">
        <f t="shared" si="31"/>
        <v>REP201100</v>
      </c>
      <c r="O343" s="10" t="str">
        <f t="shared" si="32"/>
        <v>E</v>
      </c>
      <c r="P343" s="10" t="str">
        <f t="shared" si="33"/>
        <v>50</v>
      </c>
      <c r="Q343" s="10" t="str">
        <f t="shared" si="34"/>
        <v>ZRPI</v>
      </c>
      <c r="R343" s="10" t="str">
        <f t="shared" si="35"/>
        <v>27121602</v>
      </c>
    </row>
    <row r="344" spans="1:18" ht="38.25" hidden="1" x14ac:dyDescent="0.2">
      <c r="A344" s="21" t="s">
        <v>3558</v>
      </c>
      <c r="B344" s="8" t="s">
        <v>3557</v>
      </c>
      <c r="C344" s="8" t="s">
        <v>40</v>
      </c>
      <c r="D344" s="8" t="s">
        <v>986</v>
      </c>
      <c r="E344" s="8" t="s">
        <v>40</v>
      </c>
      <c r="F344" s="8" t="s">
        <v>39</v>
      </c>
      <c r="G344" s="8" t="s">
        <v>54</v>
      </c>
      <c r="H344" s="8" t="s">
        <v>37</v>
      </c>
      <c r="I344" s="8" t="s">
        <v>53</v>
      </c>
      <c r="J344" s="8" t="s">
        <v>46</v>
      </c>
      <c r="K344" s="8" t="s">
        <v>3556</v>
      </c>
      <c r="L344" s="7">
        <v>7082</v>
      </c>
      <c r="M344" s="10" t="str">
        <f t="shared" si="30"/>
        <v>CMI02070300</v>
      </c>
      <c r="N344" s="10" t="str">
        <f t="shared" si="31"/>
        <v>REP201100</v>
      </c>
      <c r="O344" s="10" t="str">
        <f t="shared" si="32"/>
        <v>E</v>
      </c>
      <c r="P344" s="10" t="str">
        <f t="shared" si="33"/>
        <v>50</v>
      </c>
      <c r="Q344" s="10" t="str">
        <f t="shared" si="34"/>
        <v>ZRPI</v>
      </c>
      <c r="R344" s="10" t="str">
        <f t="shared" si="35"/>
        <v>25173806</v>
      </c>
    </row>
    <row r="345" spans="1:18" ht="38.25" hidden="1" x14ac:dyDescent="0.2">
      <c r="A345" s="21" t="s">
        <v>3555</v>
      </c>
      <c r="B345" s="8" t="s">
        <v>3554</v>
      </c>
      <c r="C345" s="8" t="s">
        <v>40</v>
      </c>
      <c r="D345" s="8" t="s">
        <v>1059</v>
      </c>
      <c r="E345" s="8" t="s">
        <v>40</v>
      </c>
      <c r="F345" s="8" t="s">
        <v>39</v>
      </c>
      <c r="G345" s="8" t="s">
        <v>240</v>
      </c>
      <c r="H345" s="8" t="s">
        <v>37</v>
      </c>
      <c r="I345" s="8" t="s">
        <v>53</v>
      </c>
      <c r="J345" s="8" t="s">
        <v>46</v>
      </c>
      <c r="K345" s="8" t="s">
        <v>3448</v>
      </c>
      <c r="L345" s="7">
        <v>7083</v>
      </c>
      <c r="M345" s="10" t="str">
        <f t="shared" si="30"/>
        <v>CMI02090600</v>
      </c>
      <c r="N345" s="10" t="str">
        <f t="shared" si="31"/>
        <v>REP201000</v>
      </c>
      <c r="O345" s="10" t="str">
        <f t="shared" si="32"/>
        <v>E</v>
      </c>
      <c r="P345" s="10" t="str">
        <f t="shared" si="33"/>
        <v>50</v>
      </c>
      <c r="Q345" s="10" t="str">
        <f t="shared" si="34"/>
        <v>ZRPI</v>
      </c>
      <c r="R345" s="10" t="str">
        <f t="shared" si="35"/>
        <v>40141609</v>
      </c>
    </row>
    <row r="346" spans="1:18" ht="25.5" hidden="1" x14ac:dyDescent="0.2">
      <c r="A346" s="21" t="s">
        <v>3553</v>
      </c>
      <c r="B346" s="8" t="s">
        <v>3552</v>
      </c>
      <c r="C346" s="8" t="s">
        <v>40</v>
      </c>
      <c r="D346" s="8" t="s">
        <v>245</v>
      </c>
      <c r="E346" s="8" t="s">
        <v>40</v>
      </c>
      <c r="F346" s="8" t="s">
        <v>39</v>
      </c>
      <c r="G346" s="8" t="s">
        <v>54</v>
      </c>
      <c r="H346" s="8" t="s">
        <v>37</v>
      </c>
      <c r="I346" s="8" t="s">
        <v>53</v>
      </c>
      <c r="J346" s="8" t="s">
        <v>46</v>
      </c>
      <c r="K346" s="8" t="s">
        <v>3551</v>
      </c>
      <c r="L346" s="7">
        <v>7084</v>
      </c>
      <c r="M346" s="10" t="str">
        <f t="shared" si="30"/>
        <v>CMI01020300</v>
      </c>
      <c r="N346" s="10" t="str">
        <f t="shared" si="31"/>
        <v>REP201100</v>
      </c>
      <c r="O346" s="10" t="str">
        <f t="shared" si="32"/>
        <v>E</v>
      </c>
      <c r="P346" s="10" t="str">
        <f t="shared" si="33"/>
        <v>50</v>
      </c>
      <c r="Q346" s="10" t="str">
        <f t="shared" si="34"/>
        <v>ZRPI</v>
      </c>
      <c r="R346" s="10" t="str">
        <f t="shared" si="35"/>
        <v>26111509</v>
      </c>
    </row>
    <row r="347" spans="1:18" ht="38.25" hidden="1" x14ac:dyDescent="0.2">
      <c r="A347" s="21" t="s">
        <v>3550</v>
      </c>
      <c r="B347" s="8" t="s">
        <v>3549</v>
      </c>
      <c r="C347" s="8" t="s">
        <v>40</v>
      </c>
      <c r="D347" s="8" t="s">
        <v>986</v>
      </c>
      <c r="E347" s="8" t="s">
        <v>40</v>
      </c>
      <c r="F347" s="8" t="s">
        <v>39</v>
      </c>
      <c r="G347" s="8" t="s">
        <v>54</v>
      </c>
      <c r="H347" s="8" t="s">
        <v>37</v>
      </c>
      <c r="I347" s="8" t="s">
        <v>53</v>
      </c>
      <c r="J347" s="8" t="s">
        <v>46</v>
      </c>
      <c r="K347" s="8" t="s">
        <v>3548</v>
      </c>
      <c r="L347" s="7">
        <v>7085</v>
      </c>
      <c r="M347" s="10" t="str">
        <f t="shared" si="30"/>
        <v>CMI02070300</v>
      </c>
      <c r="N347" s="10" t="str">
        <f t="shared" si="31"/>
        <v>REP201100</v>
      </c>
      <c r="O347" s="10" t="str">
        <f t="shared" si="32"/>
        <v>E</v>
      </c>
      <c r="P347" s="10" t="str">
        <f t="shared" si="33"/>
        <v>50</v>
      </c>
      <c r="Q347" s="10" t="str">
        <f t="shared" si="34"/>
        <v>ZRPI</v>
      </c>
      <c r="R347" s="10" t="str">
        <f t="shared" si="35"/>
        <v>40161513</v>
      </c>
    </row>
    <row r="348" spans="1:18" ht="25.5" hidden="1" x14ac:dyDescent="0.2">
      <c r="A348" s="21" t="s">
        <v>3547</v>
      </c>
      <c r="B348" s="8" t="s">
        <v>3546</v>
      </c>
      <c r="C348" s="8" t="s">
        <v>40</v>
      </c>
      <c r="D348" s="8" t="s">
        <v>2157</v>
      </c>
      <c r="E348" s="8" t="s">
        <v>40</v>
      </c>
      <c r="F348" s="8" t="s">
        <v>39</v>
      </c>
      <c r="G348" s="8" t="s">
        <v>54</v>
      </c>
      <c r="H348" s="8" t="s">
        <v>37</v>
      </c>
      <c r="I348" s="8" t="s">
        <v>53</v>
      </c>
      <c r="J348" s="8" t="s">
        <v>46</v>
      </c>
      <c r="K348" s="8" t="s">
        <v>3480</v>
      </c>
      <c r="L348" s="7">
        <v>7086</v>
      </c>
      <c r="M348" s="10" t="str">
        <f t="shared" si="30"/>
        <v>CMI02090800</v>
      </c>
      <c r="N348" s="10" t="str">
        <f t="shared" si="31"/>
        <v>REP201100</v>
      </c>
      <c r="O348" s="10" t="str">
        <f t="shared" si="32"/>
        <v>E</v>
      </c>
      <c r="P348" s="10" t="str">
        <f t="shared" si="33"/>
        <v>50</v>
      </c>
      <c r="Q348" s="10" t="str">
        <f t="shared" si="34"/>
        <v>ZRPI</v>
      </c>
      <c r="R348" s="10" t="str">
        <f t="shared" si="35"/>
        <v>40101801</v>
      </c>
    </row>
    <row r="349" spans="1:18" ht="38.25" hidden="1" x14ac:dyDescent="0.2">
      <c r="A349" s="21" t="s">
        <v>3545</v>
      </c>
      <c r="B349" s="8" t="s">
        <v>3544</v>
      </c>
      <c r="C349" s="8" t="s">
        <v>40</v>
      </c>
      <c r="D349" s="8" t="s">
        <v>986</v>
      </c>
      <c r="E349" s="8" t="s">
        <v>40</v>
      </c>
      <c r="F349" s="8" t="s">
        <v>39</v>
      </c>
      <c r="G349" s="8" t="s">
        <v>54</v>
      </c>
      <c r="H349" s="8" t="s">
        <v>37</v>
      </c>
      <c r="I349" s="8" t="s">
        <v>53</v>
      </c>
      <c r="J349" s="8" t="s">
        <v>46</v>
      </c>
      <c r="K349" s="8" t="s">
        <v>3543</v>
      </c>
      <c r="L349" s="7">
        <v>7087</v>
      </c>
      <c r="M349" s="10" t="str">
        <f t="shared" si="30"/>
        <v>CMI02070300</v>
      </c>
      <c r="N349" s="10" t="str">
        <f t="shared" si="31"/>
        <v>REP201100</v>
      </c>
      <c r="O349" s="10" t="str">
        <f t="shared" si="32"/>
        <v>E</v>
      </c>
      <c r="P349" s="10" t="str">
        <f t="shared" si="33"/>
        <v>50</v>
      </c>
      <c r="Q349" s="10" t="str">
        <f t="shared" si="34"/>
        <v>ZRPI</v>
      </c>
      <c r="R349" s="10" t="str">
        <f t="shared" si="35"/>
        <v>26101732</v>
      </c>
    </row>
    <row r="350" spans="1:18" ht="25.5" hidden="1" x14ac:dyDescent="0.2">
      <c r="A350" s="21" t="s">
        <v>3542</v>
      </c>
      <c r="B350" s="8" t="s">
        <v>3541</v>
      </c>
      <c r="C350" s="8" t="s">
        <v>40</v>
      </c>
      <c r="D350" s="8" t="s">
        <v>249</v>
      </c>
      <c r="E350" s="8" t="s">
        <v>40</v>
      </c>
      <c r="F350" s="8" t="s">
        <v>39</v>
      </c>
      <c r="G350" s="8" t="s">
        <v>240</v>
      </c>
      <c r="H350" s="8" t="s">
        <v>37</v>
      </c>
      <c r="I350" s="8" t="s">
        <v>53</v>
      </c>
      <c r="J350" s="8" t="s">
        <v>46</v>
      </c>
      <c r="K350" s="8" t="s">
        <v>3110</v>
      </c>
      <c r="L350" s="7">
        <v>7088</v>
      </c>
      <c r="M350" s="10" t="str">
        <f t="shared" si="30"/>
        <v>CMI02090700</v>
      </c>
      <c r="N350" s="10" t="str">
        <f t="shared" si="31"/>
        <v>REP201000</v>
      </c>
      <c r="O350" s="10" t="str">
        <f t="shared" si="32"/>
        <v>E</v>
      </c>
      <c r="P350" s="10" t="str">
        <f t="shared" si="33"/>
        <v>50</v>
      </c>
      <c r="Q350" s="10" t="str">
        <f t="shared" si="34"/>
        <v>ZRPI</v>
      </c>
      <c r="R350" s="10" t="str">
        <f t="shared" si="35"/>
        <v>39121410</v>
      </c>
    </row>
    <row r="351" spans="1:18" ht="38.25" hidden="1" x14ac:dyDescent="0.2">
      <c r="A351" s="21" t="s">
        <v>3540</v>
      </c>
      <c r="B351" s="8" t="s">
        <v>3539</v>
      </c>
      <c r="C351" s="8" t="s">
        <v>40</v>
      </c>
      <c r="D351" s="8" t="s">
        <v>3532</v>
      </c>
      <c r="E351" s="8" t="s">
        <v>40</v>
      </c>
      <c r="F351" s="8" t="s">
        <v>39</v>
      </c>
      <c r="G351" s="8" t="s">
        <v>54</v>
      </c>
      <c r="H351" s="8" t="s">
        <v>37</v>
      </c>
      <c r="I351" s="8" t="s">
        <v>53</v>
      </c>
      <c r="J351" s="8" t="s">
        <v>46</v>
      </c>
      <c r="K351" s="8" t="s">
        <v>3538</v>
      </c>
      <c r="L351" s="7">
        <v>7089</v>
      </c>
      <c r="M351" s="10" t="str">
        <f t="shared" si="30"/>
        <v>CMI02090100</v>
      </c>
      <c r="N351" s="10" t="str">
        <f t="shared" si="31"/>
        <v>REP201100</v>
      </c>
      <c r="O351" s="10" t="str">
        <f t="shared" si="32"/>
        <v>E</v>
      </c>
      <c r="P351" s="10" t="str">
        <f t="shared" si="33"/>
        <v>50</v>
      </c>
      <c r="Q351" s="10" t="str">
        <f t="shared" si="34"/>
        <v>ZRPI</v>
      </c>
      <c r="R351" s="10" t="str">
        <f t="shared" si="35"/>
        <v>26111800</v>
      </c>
    </row>
    <row r="352" spans="1:18" ht="25.5" hidden="1" x14ac:dyDescent="0.2">
      <c r="A352" s="21" t="s">
        <v>3537</v>
      </c>
      <c r="B352" s="8" t="s">
        <v>3536</v>
      </c>
      <c r="C352" s="8" t="s">
        <v>40</v>
      </c>
      <c r="D352" s="8" t="s">
        <v>3532</v>
      </c>
      <c r="E352" s="8" t="s">
        <v>40</v>
      </c>
      <c r="F352" s="8" t="s">
        <v>39</v>
      </c>
      <c r="G352" s="8" t="s">
        <v>54</v>
      </c>
      <c r="H352" s="8" t="s">
        <v>37</v>
      </c>
      <c r="I352" s="8" t="s">
        <v>53</v>
      </c>
      <c r="J352" s="8" t="s">
        <v>46</v>
      </c>
      <c r="K352" s="8" t="s">
        <v>3535</v>
      </c>
      <c r="L352" s="7">
        <v>7090</v>
      </c>
      <c r="M352" s="10" t="str">
        <f t="shared" si="30"/>
        <v>CMI02090100</v>
      </c>
      <c r="N352" s="10" t="str">
        <f t="shared" si="31"/>
        <v>REP201100</v>
      </c>
      <c r="O352" s="10" t="str">
        <f t="shared" si="32"/>
        <v>E</v>
      </c>
      <c r="P352" s="10" t="str">
        <f t="shared" si="33"/>
        <v>50</v>
      </c>
      <c r="Q352" s="10" t="str">
        <f t="shared" si="34"/>
        <v>ZRPI</v>
      </c>
      <c r="R352" s="10" t="str">
        <f t="shared" si="35"/>
        <v>26111804</v>
      </c>
    </row>
    <row r="353" spans="1:18" ht="25.5" hidden="1" x14ac:dyDescent="0.2">
      <c r="A353" s="21" t="s">
        <v>3534</v>
      </c>
      <c r="B353" s="8" t="s">
        <v>3533</v>
      </c>
      <c r="C353" s="8" t="s">
        <v>40</v>
      </c>
      <c r="D353" s="8" t="s">
        <v>3532</v>
      </c>
      <c r="E353" s="8" t="s">
        <v>40</v>
      </c>
      <c r="F353" s="8" t="s">
        <v>39</v>
      </c>
      <c r="G353" s="8" t="s">
        <v>54</v>
      </c>
      <c r="H353" s="8" t="s">
        <v>37</v>
      </c>
      <c r="I353" s="8" t="s">
        <v>53</v>
      </c>
      <c r="J353" s="8" t="s">
        <v>46</v>
      </c>
      <c r="K353" s="8" t="s">
        <v>3531</v>
      </c>
      <c r="L353" s="7">
        <v>7091</v>
      </c>
      <c r="M353" s="10" t="str">
        <f t="shared" si="30"/>
        <v>CMI02090100</v>
      </c>
      <c r="N353" s="10" t="str">
        <f t="shared" si="31"/>
        <v>REP201100</v>
      </c>
      <c r="O353" s="10" t="str">
        <f t="shared" si="32"/>
        <v>E</v>
      </c>
      <c r="P353" s="10" t="str">
        <f t="shared" si="33"/>
        <v>50</v>
      </c>
      <c r="Q353" s="10" t="str">
        <f t="shared" si="34"/>
        <v>ZRPI</v>
      </c>
      <c r="R353" s="10" t="str">
        <f t="shared" si="35"/>
        <v>26111802</v>
      </c>
    </row>
    <row r="354" spans="1:18" ht="25.5" hidden="1" x14ac:dyDescent="0.2">
      <c r="A354" s="21" t="s">
        <v>3530</v>
      </c>
      <c r="B354" s="8" t="s">
        <v>3529</v>
      </c>
      <c r="C354" s="8" t="s">
        <v>40</v>
      </c>
      <c r="D354" s="8" t="s">
        <v>249</v>
      </c>
      <c r="E354" s="8" t="s">
        <v>40</v>
      </c>
      <c r="F354" s="8" t="s">
        <v>39</v>
      </c>
      <c r="G354" s="8" t="s">
        <v>54</v>
      </c>
      <c r="H354" s="8" t="s">
        <v>37</v>
      </c>
      <c r="I354" s="8" t="s">
        <v>53</v>
      </c>
      <c r="J354" s="8" t="s">
        <v>46</v>
      </c>
      <c r="K354" s="8" t="s">
        <v>3528</v>
      </c>
      <c r="L354" s="7">
        <v>7092</v>
      </c>
      <c r="M354" s="10" t="str">
        <f t="shared" si="30"/>
        <v>CMI02090700</v>
      </c>
      <c r="N354" s="10" t="str">
        <f t="shared" si="31"/>
        <v>REP201100</v>
      </c>
      <c r="O354" s="10" t="str">
        <f t="shared" si="32"/>
        <v>E</v>
      </c>
      <c r="P354" s="10" t="str">
        <f t="shared" si="33"/>
        <v>50</v>
      </c>
      <c r="Q354" s="10" t="str">
        <f t="shared" si="34"/>
        <v>ZRPI</v>
      </c>
      <c r="R354" s="10" t="str">
        <f t="shared" si="35"/>
        <v>31151603</v>
      </c>
    </row>
    <row r="355" spans="1:18" ht="25.5" hidden="1" x14ac:dyDescent="0.2">
      <c r="A355" s="21" t="s">
        <v>3527</v>
      </c>
      <c r="B355" s="8" t="s">
        <v>3526</v>
      </c>
      <c r="C355" s="8" t="s">
        <v>40</v>
      </c>
      <c r="D355" s="8" t="s">
        <v>249</v>
      </c>
      <c r="E355" s="7">
        <v>6</v>
      </c>
      <c r="F355" s="8" t="s">
        <v>39</v>
      </c>
      <c r="G355" s="8" t="s">
        <v>54</v>
      </c>
      <c r="H355" s="8" t="s">
        <v>37</v>
      </c>
      <c r="I355" s="8" t="s">
        <v>53</v>
      </c>
      <c r="J355" s="8" t="s">
        <v>46</v>
      </c>
      <c r="K355" s="8" t="s">
        <v>3525</v>
      </c>
      <c r="L355" s="7">
        <v>7093</v>
      </c>
      <c r="M355" s="10" t="str">
        <f t="shared" si="30"/>
        <v>CMI02090700</v>
      </c>
      <c r="N355" s="10" t="str">
        <f t="shared" si="31"/>
        <v>REP201100</v>
      </c>
      <c r="O355" s="10" t="str">
        <f t="shared" si="32"/>
        <v>E</v>
      </c>
      <c r="P355" s="10" t="str">
        <f t="shared" si="33"/>
        <v>50</v>
      </c>
      <c r="Q355" s="10" t="str">
        <f t="shared" si="34"/>
        <v>ZRPI</v>
      </c>
      <c r="R355" s="10" t="str">
        <f t="shared" si="35"/>
        <v>31163021</v>
      </c>
    </row>
    <row r="356" spans="1:18" ht="25.5" hidden="1" x14ac:dyDescent="0.2">
      <c r="A356" s="21" t="s">
        <v>3524</v>
      </c>
      <c r="B356" s="8" t="s">
        <v>3523</v>
      </c>
      <c r="C356" s="8" t="s">
        <v>40</v>
      </c>
      <c r="D356" s="8" t="s">
        <v>249</v>
      </c>
      <c r="E356" s="8" t="s">
        <v>40</v>
      </c>
      <c r="F356" s="8" t="s">
        <v>39</v>
      </c>
      <c r="G356" s="8" t="s">
        <v>54</v>
      </c>
      <c r="H356" s="8" t="s">
        <v>37</v>
      </c>
      <c r="I356" s="8" t="s">
        <v>53</v>
      </c>
      <c r="J356" s="8" t="s">
        <v>46</v>
      </c>
      <c r="K356" s="8" t="s">
        <v>3522</v>
      </c>
      <c r="L356" s="7">
        <v>7094</v>
      </c>
      <c r="M356" s="10" t="str">
        <f t="shared" si="30"/>
        <v>CMI02090700</v>
      </c>
      <c r="N356" s="10" t="str">
        <f t="shared" si="31"/>
        <v>REP201100</v>
      </c>
      <c r="O356" s="10" t="str">
        <f t="shared" si="32"/>
        <v>E</v>
      </c>
      <c r="P356" s="10" t="str">
        <f t="shared" si="33"/>
        <v>50</v>
      </c>
      <c r="Q356" s="10" t="str">
        <f t="shared" si="34"/>
        <v>ZRPI</v>
      </c>
      <c r="R356" s="10" t="str">
        <f t="shared" si="35"/>
        <v>31151609</v>
      </c>
    </row>
    <row r="357" spans="1:18" ht="25.5" hidden="1" x14ac:dyDescent="0.2">
      <c r="A357" s="21" t="s">
        <v>3521</v>
      </c>
      <c r="B357" s="8" t="s">
        <v>3520</v>
      </c>
      <c r="C357" s="8" t="s">
        <v>40</v>
      </c>
      <c r="D357" s="8" t="s">
        <v>249</v>
      </c>
      <c r="E357" s="8" t="s">
        <v>40</v>
      </c>
      <c r="F357" s="8" t="s">
        <v>39</v>
      </c>
      <c r="G357" s="8" t="s">
        <v>54</v>
      </c>
      <c r="H357" s="8" t="s">
        <v>37</v>
      </c>
      <c r="I357" s="8" t="s">
        <v>53</v>
      </c>
      <c r="J357" s="8" t="s">
        <v>46</v>
      </c>
      <c r="K357" s="8" t="s">
        <v>3519</v>
      </c>
      <c r="L357" s="7">
        <v>7095</v>
      </c>
      <c r="M357" s="10" t="str">
        <f t="shared" si="30"/>
        <v>CMI02090700</v>
      </c>
      <c r="N357" s="10" t="str">
        <f t="shared" si="31"/>
        <v>REP201100</v>
      </c>
      <c r="O357" s="10" t="str">
        <f t="shared" si="32"/>
        <v>E</v>
      </c>
      <c r="P357" s="10" t="str">
        <f t="shared" si="33"/>
        <v>50</v>
      </c>
      <c r="Q357" s="10" t="str">
        <f t="shared" si="34"/>
        <v>ZRPI</v>
      </c>
      <c r="R357" s="10" t="str">
        <f t="shared" si="35"/>
        <v>26101727</v>
      </c>
    </row>
    <row r="358" spans="1:18" ht="25.5" hidden="1" x14ac:dyDescent="0.2">
      <c r="A358" s="21" t="s">
        <v>3518</v>
      </c>
      <c r="B358" s="8" t="s">
        <v>3517</v>
      </c>
      <c r="C358" s="8" t="s">
        <v>40</v>
      </c>
      <c r="D358" s="8" t="s">
        <v>249</v>
      </c>
      <c r="E358" s="8" t="s">
        <v>40</v>
      </c>
      <c r="F358" s="8" t="s">
        <v>39</v>
      </c>
      <c r="G358" s="8" t="s">
        <v>54</v>
      </c>
      <c r="H358" s="8" t="s">
        <v>37</v>
      </c>
      <c r="I358" s="8" t="s">
        <v>53</v>
      </c>
      <c r="J358" s="8" t="s">
        <v>46</v>
      </c>
      <c r="K358" s="8" t="s">
        <v>3516</v>
      </c>
      <c r="L358" s="7">
        <v>7096</v>
      </c>
      <c r="M358" s="10" t="str">
        <f t="shared" si="30"/>
        <v>CMI02090700</v>
      </c>
      <c r="N358" s="10" t="str">
        <f t="shared" si="31"/>
        <v>REP201100</v>
      </c>
      <c r="O358" s="10" t="str">
        <f t="shared" si="32"/>
        <v>E</v>
      </c>
      <c r="P358" s="10" t="str">
        <f t="shared" si="33"/>
        <v>50</v>
      </c>
      <c r="Q358" s="10" t="str">
        <f t="shared" si="34"/>
        <v>ZRPI</v>
      </c>
      <c r="R358" s="10" t="str">
        <f t="shared" si="35"/>
        <v>26111531</v>
      </c>
    </row>
    <row r="359" spans="1:18" ht="38.25" hidden="1" x14ac:dyDescent="0.2">
      <c r="A359" s="21" t="s">
        <v>3515</v>
      </c>
      <c r="B359" s="8" t="s">
        <v>3514</v>
      </c>
      <c r="C359" s="8" t="s">
        <v>40</v>
      </c>
      <c r="D359" s="8" t="s">
        <v>249</v>
      </c>
      <c r="E359" s="8" t="s">
        <v>40</v>
      </c>
      <c r="F359" s="8" t="s">
        <v>39</v>
      </c>
      <c r="G359" s="8" t="s">
        <v>54</v>
      </c>
      <c r="H359" s="8" t="s">
        <v>37</v>
      </c>
      <c r="I359" s="8" t="s">
        <v>53</v>
      </c>
      <c r="J359" s="8" t="s">
        <v>46</v>
      </c>
      <c r="K359" s="8" t="s">
        <v>3513</v>
      </c>
      <c r="L359" s="7">
        <v>7097</v>
      </c>
      <c r="M359" s="10" t="str">
        <f t="shared" si="30"/>
        <v>CMI02090700</v>
      </c>
      <c r="N359" s="10" t="str">
        <f t="shared" si="31"/>
        <v>REP201100</v>
      </c>
      <c r="O359" s="10" t="str">
        <f t="shared" si="32"/>
        <v>E</v>
      </c>
      <c r="P359" s="10" t="str">
        <f t="shared" si="33"/>
        <v>50</v>
      </c>
      <c r="Q359" s="10" t="str">
        <f t="shared" si="34"/>
        <v>ZRPI</v>
      </c>
      <c r="R359" s="10" t="str">
        <f t="shared" si="35"/>
        <v>31171504</v>
      </c>
    </row>
    <row r="360" spans="1:18" ht="25.5" hidden="1" x14ac:dyDescent="0.2">
      <c r="A360" s="21" t="s">
        <v>3512</v>
      </c>
      <c r="B360" s="8" t="s">
        <v>3511</v>
      </c>
      <c r="C360" s="8" t="s">
        <v>40</v>
      </c>
      <c r="D360" s="8" t="s">
        <v>249</v>
      </c>
      <c r="E360" s="8" t="s">
        <v>40</v>
      </c>
      <c r="F360" s="8" t="s">
        <v>39</v>
      </c>
      <c r="G360" s="8" t="s">
        <v>54</v>
      </c>
      <c r="H360" s="8" t="s">
        <v>37</v>
      </c>
      <c r="I360" s="8" t="s">
        <v>53</v>
      </c>
      <c r="J360" s="8" t="s">
        <v>46</v>
      </c>
      <c r="K360" s="8" t="s">
        <v>3510</v>
      </c>
      <c r="L360" s="7">
        <v>7098</v>
      </c>
      <c r="M360" s="10" t="str">
        <f t="shared" si="30"/>
        <v>CMI02090700</v>
      </c>
      <c r="N360" s="10" t="str">
        <f t="shared" si="31"/>
        <v>REP201100</v>
      </c>
      <c r="O360" s="10" t="str">
        <f t="shared" si="32"/>
        <v>E</v>
      </c>
      <c r="P360" s="10" t="str">
        <f t="shared" si="33"/>
        <v>50</v>
      </c>
      <c r="Q360" s="10" t="str">
        <f t="shared" si="34"/>
        <v>ZRPI</v>
      </c>
      <c r="R360" s="10" t="str">
        <f t="shared" si="35"/>
        <v>31171516</v>
      </c>
    </row>
    <row r="361" spans="1:18" ht="25.5" hidden="1" x14ac:dyDescent="0.2">
      <c r="A361" s="21" t="s">
        <v>3509</v>
      </c>
      <c r="B361" s="8" t="s">
        <v>3508</v>
      </c>
      <c r="C361" s="8" t="s">
        <v>40</v>
      </c>
      <c r="D361" s="8" t="s">
        <v>249</v>
      </c>
      <c r="E361" s="8" t="s">
        <v>40</v>
      </c>
      <c r="F361" s="8" t="s">
        <v>39</v>
      </c>
      <c r="G361" s="8" t="s">
        <v>54</v>
      </c>
      <c r="H361" s="8" t="s">
        <v>37</v>
      </c>
      <c r="I361" s="8" t="s">
        <v>53</v>
      </c>
      <c r="J361" s="8" t="s">
        <v>46</v>
      </c>
      <c r="K361" s="8" t="s">
        <v>3507</v>
      </c>
      <c r="L361" s="7">
        <v>7099</v>
      </c>
      <c r="M361" s="10" t="str">
        <f t="shared" si="30"/>
        <v>CMI02090700</v>
      </c>
      <c r="N361" s="10" t="str">
        <f t="shared" si="31"/>
        <v>REP201100</v>
      </c>
      <c r="O361" s="10" t="str">
        <f t="shared" si="32"/>
        <v>E</v>
      </c>
      <c r="P361" s="10" t="str">
        <f t="shared" si="33"/>
        <v>50</v>
      </c>
      <c r="Q361" s="10" t="str">
        <f t="shared" si="34"/>
        <v>ZRPI</v>
      </c>
      <c r="R361" s="10" t="str">
        <f t="shared" si="35"/>
        <v>31171506</v>
      </c>
    </row>
    <row r="362" spans="1:18" ht="25.5" hidden="1" x14ac:dyDescent="0.2">
      <c r="A362" s="21" t="s">
        <v>3506</v>
      </c>
      <c r="B362" s="8" t="s">
        <v>3505</v>
      </c>
      <c r="C362" s="8" t="s">
        <v>40</v>
      </c>
      <c r="D362" s="8" t="s">
        <v>249</v>
      </c>
      <c r="E362" s="8" t="s">
        <v>40</v>
      </c>
      <c r="F362" s="8" t="s">
        <v>39</v>
      </c>
      <c r="G362" s="8" t="s">
        <v>54</v>
      </c>
      <c r="H362" s="8" t="s">
        <v>37</v>
      </c>
      <c r="I362" s="8" t="s">
        <v>53</v>
      </c>
      <c r="J362" s="8" t="s">
        <v>46</v>
      </c>
      <c r="K362" s="8" t="s">
        <v>3504</v>
      </c>
      <c r="L362" s="7">
        <v>7100</v>
      </c>
      <c r="M362" s="10" t="str">
        <f t="shared" si="30"/>
        <v>CMI02090700</v>
      </c>
      <c r="N362" s="10" t="str">
        <f t="shared" si="31"/>
        <v>REP201100</v>
      </c>
      <c r="O362" s="10" t="str">
        <f t="shared" si="32"/>
        <v>E</v>
      </c>
      <c r="P362" s="10" t="str">
        <f t="shared" si="33"/>
        <v>50</v>
      </c>
      <c r="Q362" s="10" t="str">
        <f t="shared" si="34"/>
        <v>ZRPI</v>
      </c>
      <c r="R362" s="10" t="str">
        <f t="shared" si="35"/>
        <v>31171600</v>
      </c>
    </row>
    <row r="363" spans="1:18" ht="25.5" hidden="1" x14ac:dyDescent="0.2">
      <c r="A363" s="21" t="s">
        <v>3503</v>
      </c>
      <c r="B363" s="8" t="s">
        <v>3502</v>
      </c>
      <c r="C363" s="8" t="s">
        <v>40</v>
      </c>
      <c r="D363" s="8" t="s">
        <v>249</v>
      </c>
      <c r="E363" s="8" t="s">
        <v>40</v>
      </c>
      <c r="F363" s="8" t="s">
        <v>39</v>
      </c>
      <c r="G363" s="8" t="s">
        <v>54</v>
      </c>
      <c r="H363" s="8" t="s">
        <v>37</v>
      </c>
      <c r="I363" s="8" t="s">
        <v>53</v>
      </c>
      <c r="J363" s="8" t="s">
        <v>46</v>
      </c>
      <c r="K363" s="8" t="s">
        <v>2893</v>
      </c>
      <c r="L363" s="7">
        <v>7101</v>
      </c>
      <c r="M363" s="10" t="str">
        <f t="shared" si="30"/>
        <v>CMI02090700</v>
      </c>
      <c r="N363" s="10" t="str">
        <f t="shared" si="31"/>
        <v>REP201100</v>
      </c>
      <c r="O363" s="10" t="str">
        <f t="shared" si="32"/>
        <v>E</v>
      </c>
      <c r="P363" s="10" t="str">
        <f t="shared" si="33"/>
        <v>50</v>
      </c>
      <c r="Q363" s="10" t="str">
        <f t="shared" si="34"/>
        <v>ZRPI</v>
      </c>
      <c r="R363" s="10" t="str">
        <f t="shared" si="35"/>
        <v>31171500</v>
      </c>
    </row>
    <row r="364" spans="1:18" ht="25.5" hidden="1" x14ac:dyDescent="0.2">
      <c r="A364" s="21" t="s">
        <v>3501</v>
      </c>
      <c r="B364" s="8" t="s">
        <v>3500</v>
      </c>
      <c r="C364" s="8" t="s">
        <v>40</v>
      </c>
      <c r="D364" s="8" t="s">
        <v>249</v>
      </c>
      <c r="E364" s="8" t="s">
        <v>40</v>
      </c>
      <c r="F364" s="8" t="s">
        <v>39</v>
      </c>
      <c r="G364" s="8" t="s">
        <v>54</v>
      </c>
      <c r="H364" s="8" t="s">
        <v>37</v>
      </c>
      <c r="I364" s="8" t="s">
        <v>53</v>
      </c>
      <c r="J364" s="8" t="s">
        <v>46</v>
      </c>
      <c r="K364" s="8" t="s">
        <v>3499</v>
      </c>
      <c r="L364" s="7">
        <v>7102</v>
      </c>
      <c r="M364" s="10" t="str">
        <f t="shared" si="30"/>
        <v>CMI02090700</v>
      </c>
      <c r="N364" s="10" t="str">
        <f t="shared" si="31"/>
        <v>REP201100</v>
      </c>
      <c r="O364" s="10" t="str">
        <f t="shared" si="32"/>
        <v>E</v>
      </c>
      <c r="P364" s="10" t="str">
        <f t="shared" si="33"/>
        <v>50</v>
      </c>
      <c r="Q364" s="10" t="str">
        <f t="shared" si="34"/>
        <v>ZRPI</v>
      </c>
      <c r="R364" s="10" t="str">
        <f t="shared" si="35"/>
        <v>27112823</v>
      </c>
    </row>
    <row r="365" spans="1:18" ht="25.5" hidden="1" x14ac:dyDescent="0.2">
      <c r="A365" s="21" t="s">
        <v>3498</v>
      </c>
      <c r="B365" s="8" t="s">
        <v>3497</v>
      </c>
      <c r="C365" s="8" t="s">
        <v>40</v>
      </c>
      <c r="D365" s="8" t="s">
        <v>249</v>
      </c>
      <c r="E365" s="8" t="s">
        <v>40</v>
      </c>
      <c r="F365" s="8" t="s">
        <v>39</v>
      </c>
      <c r="G365" s="8" t="s">
        <v>54</v>
      </c>
      <c r="H365" s="8" t="s">
        <v>37</v>
      </c>
      <c r="I365" s="8" t="s">
        <v>53</v>
      </c>
      <c r="J365" s="8" t="s">
        <v>46</v>
      </c>
      <c r="K365" s="8" t="s">
        <v>3127</v>
      </c>
      <c r="L365" s="7">
        <v>7103</v>
      </c>
      <c r="M365" s="10" t="str">
        <f t="shared" si="30"/>
        <v>CMI02090700</v>
      </c>
      <c r="N365" s="10" t="str">
        <f t="shared" si="31"/>
        <v>REP201100</v>
      </c>
      <c r="O365" s="10" t="str">
        <f t="shared" si="32"/>
        <v>E</v>
      </c>
      <c r="P365" s="10" t="str">
        <f t="shared" si="33"/>
        <v>50</v>
      </c>
      <c r="Q365" s="10" t="str">
        <f t="shared" si="34"/>
        <v>ZRPI</v>
      </c>
      <c r="R365" s="10" t="str">
        <f t="shared" si="35"/>
        <v>40161500</v>
      </c>
    </row>
    <row r="366" spans="1:18" ht="25.5" hidden="1" x14ac:dyDescent="0.2">
      <c r="A366" s="21" t="s">
        <v>3496</v>
      </c>
      <c r="B366" s="8" t="s">
        <v>3495</v>
      </c>
      <c r="C366" s="8" t="s">
        <v>40</v>
      </c>
      <c r="D366" s="8" t="s">
        <v>249</v>
      </c>
      <c r="E366" s="8" t="s">
        <v>40</v>
      </c>
      <c r="F366" s="8" t="s">
        <v>39</v>
      </c>
      <c r="G366" s="8" t="s">
        <v>54</v>
      </c>
      <c r="H366" s="8" t="s">
        <v>37</v>
      </c>
      <c r="I366" s="8" t="s">
        <v>53</v>
      </c>
      <c r="J366" s="8" t="s">
        <v>46</v>
      </c>
      <c r="K366" s="8" t="s">
        <v>3127</v>
      </c>
      <c r="L366" s="7">
        <v>7104</v>
      </c>
      <c r="M366" s="10" t="str">
        <f t="shared" si="30"/>
        <v>CMI02090700</v>
      </c>
      <c r="N366" s="10" t="str">
        <f t="shared" si="31"/>
        <v>REP201100</v>
      </c>
      <c r="O366" s="10" t="str">
        <f t="shared" si="32"/>
        <v>E</v>
      </c>
      <c r="P366" s="10" t="str">
        <f t="shared" si="33"/>
        <v>50</v>
      </c>
      <c r="Q366" s="10" t="str">
        <f t="shared" si="34"/>
        <v>ZRPI</v>
      </c>
      <c r="R366" s="10" t="str">
        <f t="shared" si="35"/>
        <v>40161500</v>
      </c>
    </row>
    <row r="367" spans="1:18" ht="25.5" hidden="1" x14ac:dyDescent="0.2">
      <c r="A367" s="21" t="s">
        <v>3494</v>
      </c>
      <c r="B367" s="8" t="s">
        <v>3493</v>
      </c>
      <c r="C367" s="8" t="s">
        <v>40</v>
      </c>
      <c r="D367" s="8" t="s">
        <v>249</v>
      </c>
      <c r="E367" s="8" t="s">
        <v>40</v>
      </c>
      <c r="F367" s="8" t="s">
        <v>39</v>
      </c>
      <c r="G367" s="8" t="s">
        <v>54</v>
      </c>
      <c r="H367" s="8" t="s">
        <v>37</v>
      </c>
      <c r="I367" s="8" t="s">
        <v>53</v>
      </c>
      <c r="J367" s="8" t="s">
        <v>46</v>
      </c>
      <c r="K367" s="8" t="s">
        <v>3492</v>
      </c>
      <c r="L367" s="7">
        <v>7105</v>
      </c>
      <c r="M367" s="10" t="str">
        <f t="shared" si="30"/>
        <v>CMI02090700</v>
      </c>
      <c r="N367" s="10" t="str">
        <f t="shared" si="31"/>
        <v>REP201100</v>
      </c>
      <c r="O367" s="10" t="str">
        <f t="shared" si="32"/>
        <v>E</v>
      </c>
      <c r="P367" s="10" t="str">
        <f t="shared" si="33"/>
        <v>50</v>
      </c>
      <c r="Q367" s="10" t="str">
        <f t="shared" si="34"/>
        <v>ZRPI</v>
      </c>
      <c r="R367" s="10" t="str">
        <f t="shared" si="35"/>
        <v>40151616</v>
      </c>
    </row>
    <row r="368" spans="1:18" ht="25.5" hidden="1" x14ac:dyDescent="0.2">
      <c r="A368" s="21" t="s">
        <v>3491</v>
      </c>
      <c r="B368" s="8" t="s">
        <v>3490</v>
      </c>
      <c r="C368" s="8" t="s">
        <v>40</v>
      </c>
      <c r="D368" s="8" t="s">
        <v>245</v>
      </c>
      <c r="E368" s="8" t="s">
        <v>40</v>
      </c>
      <c r="F368" s="8" t="s">
        <v>39</v>
      </c>
      <c r="G368" s="8" t="s">
        <v>54</v>
      </c>
      <c r="H368" s="8" t="s">
        <v>37</v>
      </c>
      <c r="I368" s="8" t="s">
        <v>53</v>
      </c>
      <c r="J368" s="8" t="s">
        <v>46</v>
      </c>
      <c r="K368" s="8" t="s">
        <v>3489</v>
      </c>
      <c r="L368" s="7">
        <v>7106</v>
      </c>
      <c r="M368" s="10" t="str">
        <f t="shared" si="30"/>
        <v>CMI01020300</v>
      </c>
      <c r="N368" s="10" t="str">
        <f t="shared" si="31"/>
        <v>REP201100</v>
      </c>
      <c r="O368" s="10" t="str">
        <f t="shared" si="32"/>
        <v>E</v>
      </c>
      <c r="P368" s="10" t="str">
        <f t="shared" si="33"/>
        <v>50</v>
      </c>
      <c r="Q368" s="10" t="str">
        <f t="shared" si="34"/>
        <v>ZRPI</v>
      </c>
      <c r="R368" s="10" t="str">
        <f t="shared" si="35"/>
        <v>40151503</v>
      </c>
    </row>
    <row r="369" spans="1:18" ht="25.5" hidden="1" x14ac:dyDescent="0.2">
      <c r="A369" s="21" t="s">
        <v>3488</v>
      </c>
      <c r="B369" s="8" t="s">
        <v>3487</v>
      </c>
      <c r="C369" s="8" t="s">
        <v>40</v>
      </c>
      <c r="D369" s="8" t="s">
        <v>245</v>
      </c>
      <c r="E369" s="8" t="s">
        <v>40</v>
      </c>
      <c r="F369" s="8" t="s">
        <v>39</v>
      </c>
      <c r="G369" s="8" t="s">
        <v>54</v>
      </c>
      <c r="H369" s="8" t="s">
        <v>37</v>
      </c>
      <c r="I369" s="8" t="s">
        <v>53</v>
      </c>
      <c r="J369" s="8" t="s">
        <v>46</v>
      </c>
      <c r="K369" s="8" t="s">
        <v>3486</v>
      </c>
      <c r="L369" s="7">
        <v>7107</v>
      </c>
      <c r="M369" s="10" t="str">
        <f t="shared" si="30"/>
        <v>CMI01020300</v>
      </c>
      <c r="N369" s="10" t="str">
        <f t="shared" si="31"/>
        <v>REP201100</v>
      </c>
      <c r="O369" s="10" t="str">
        <f t="shared" si="32"/>
        <v>E</v>
      </c>
      <c r="P369" s="10" t="str">
        <f t="shared" si="33"/>
        <v>50</v>
      </c>
      <c r="Q369" s="10" t="str">
        <f t="shared" si="34"/>
        <v>ZRPI</v>
      </c>
      <c r="R369" s="10" t="str">
        <f t="shared" si="35"/>
        <v>40151558</v>
      </c>
    </row>
    <row r="370" spans="1:18" ht="25.5" hidden="1" x14ac:dyDescent="0.2">
      <c r="A370" s="21" t="s">
        <v>3485</v>
      </c>
      <c r="B370" s="8" t="s">
        <v>3484</v>
      </c>
      <c r="C370" s="8" t="s">
        <v>40</v>
      </c>
      <c r="D370" s="8" t="s">
        <v>245</v>
      </c>
      <c r="E370" s="8" t="s">
        <v>40</v>
      </c>
      <c r="F370" s="8" t="s">
        <v>39</v>
      </c>
      <c r="G370" s="8" t="s">
        <v>54</v>
      </c>
      <c r="H370" s="8" t="s">
        <v>37</v>
      </c>
      <c r="I370" s="8" t="s">
        <v>53</v>
      </c>
      <c r="J370" s="8" t="s">
        <v>46</v>
      </c>
      <c r="K370" s="8" t="s">
        <v>3483</v>
      </c>
      <c r="L370" s="7">
        <v>7108</v>
      </c>
      <c r="M370" s="10" t="str">
        <f t="shared" si="30"/>
        <v>CMI01020300</v>
      </c>
      <c r="N370" s="10" t="str">
        <f t="shared" si="31"/>
        <v>REP201100</v>
      </c>
      <c r="O370" s="10" t="str">
        <f t="shared" si="32"/>
        <v>E</v>
      </c>
      <c r="P370" s="10" t="str">
        <f t="shared" si="33"/>
        <v>50</v>
      </c>
      <c r="Q370" s="10" t="str">
        <f t="shared" si="34"/>
        <v>ZRPI</v>
      </c>
      <c r="R370" s="10" t="str">
        <f t="shared" si="35"/>
        <v>40151510</v>
      </c>
    </row>
    <row r="371" spans="1:18" ht="25.5" hidden="1" x14ac:dyDescent="0.2">
      <c r="A371" s="21" t="s">
        <v>3482</v>
      </c>
      <c r="B371" s="8" t="s">
        <v>3481</v>
      </c>
      <c r="C371" s="8" t="s">
        <v>40</v>
      </c>
      <c r="D371" s="8" t="s">
        <v>245</v>
      </c>
      <c r="E371" s="8" t="s">
        <v>40</v>
      </c>
      <c r="F371" s="8" t="s">
        <v>39</v>
      </c>
      <c r="G371" s="8" t="s">
        <v>54</v>
      </c>
      <c r="H371" s="8" t="s">
        <v>37</v>
      </c>
      <c r="I371" s="8" t="s">
        <v>53</v>
      </c>
      <c r="J371" s="8" t="s">
        <v>46</v>
      </c>
      <c r="K371" s="8" t="s">
        <v>3480</v>
      </c>
      <c r="L371" s="7">
        <v>7109</v>
      </c>
      <c r="M371" s="10" t="str">
        <f t="shared" si="30"/>
        <v>CMI01020300</v>
      </c>
      <c r="N371" s="10" t="str">
        <f t="shared" si="31"/>
        <v>REP201100</v>
      </c>
      <c r="O371" s="10" t="str">
        <f t="shared" si="32"/>
        <v>E</v>
      </c>
      <c r="P371" s="10" t="str">
        <f t="shared" si="33"/>
        <v>50</v>
      </c>
      <c r="Q371" s="10" t="str">
        <f t="shared" si="34"/>
        <v>ZRPI</v>
      </c>
      <c r="R371" s="10" t="str">
        <f t="shared" si="35"/>
        <v>40101801</v>
      </c>
    </row>
    <row r="372" spans="1:18" ht="38.25" hidden="1" x14ac:dyDescent="0.2">
      <c r="A372" s="21" t="s">
        <v>3479</v>
      </c>
      <c r="B372" s="8" t="s">
        <v>3478</v>
      </c>
      <c r="C372" s="8" t="s">
        <v>40</v>
      </c>
      <c r="D372" s="8" t="s">
        <v>310</v>
      </c>
      <c r="E372" s="8" t="s">
        <v>40</v>
      </c>
      <c r="F372" s="8" t="s">
        <v>39</v>
      </c>
      <c r="G372" s="8" t="s">
        <v>54</v>
      </c>
      <c r="H372" s="8" t="s">
        <v>37</v>
      </c>
      <c r="I372" s="8" t="s">
        <v>53</v>
      </c>
      <c r="J372" s="8" t="s">
        <v>46</v>
      </c>
      <c r="K372" s="8" t="s">
        <v>2354</v>
      </c>
      <c r="L372" s="7">
        <v>7110</v>
      </c>
      <c r="M372" s="10" t="str">
        <f t="shared" si="30"/>
        <v>CMI02200100</v>
      </c>
      <c r="N372" s="10" t="str">
        <f t="shared" si="31"/>
        <v>REP201100</v>
      </c>
      <c r="O372" s="10" t="str">
        <f t="shared" si="32"/>
        <v>E</v>
      </c>
      <c r="P372" s="10" t="str">
        <f t="shared" si="33"/>
        <v>50</v>
      </c>
      <c r="Q372" s="10" t="str">
        <f t="shared" si="34"/>
        <v>ZRPI</v>
      </c>
      <c r="R372" s="10" t="str">
        <f t="shared" si="35"/>
        <v>40174700</v>
      </c>
    </row>
    <row r="373" spans="1:18" ht="38.25" hidden="1" x14ac:dyDescent="0.2">
      <c r="A373" s="21" t="s">
        <v>3477</v>
      </c>
      <c r="B373" s="8" t="s">
        <v>3476</v>
      </c>
      <c r="C373" s="8" t="s">
        <v>40</v>
      </c>
      <c r="D373" s="8" t="s">
        <v>310</v>
      </c>
      <c r="E373" s="8" t="s">
        <v>40</v>
      </c>
      <c r="F373" s="8" t="s">
        <v>39</v>
      </c>
      <c r="G373" s="8" t="s">
        <v>54</v>
      </c>
      <c r="H373" s="8" t="s">
        <v>37</v>
      </c>
      <c r="I373" s="8" t="s">
        <v>53</v>
      </c>
      <c r="J373" s="8" t="s">
        <v>46</v>
      </c>
      <c r="K373" s="8" t="s">
        <v>3475</v>
      </c>
      <c r="L373" s="7">
        <v>7111</v>
      </c>
      <c r="M373" s="10" t="str">
        <f t="shared" si="30"/>
        <v>CMI02200100</v>
      </c>
      <c r="N373" s="10" t="str">
        <f t="shared" si="31"/>
        <v>REP201100</v>
      </c>
      <c r="O373" s="10" t="str">
        <f t="shared" si="32"/>
        <v>E</v>
      </c>
      <c r="P373" s="10" t="str">
        <f t="shared" si="33"/>
        <v>50</v>
      </c>
      <c r="Q373" s="10" t="str">
        <f t="shared" si="34"/>
        <v>ZRPI</v>
      </c>
      <c r="R373" s="10" t="str">
        <f t="shared" si="35"/>
        <v>40174500</v>
      </c>
    </row>
    <row r="374" spans="1:18" ht="25.5" hidden="1" x14ac:dyDescent="0.2">
      <c r="A374" s="21" t="s">
        <v>3474</v>
      </c>
      <c r="B374" s="8" t="s">
        <v>3473</v>
      </c>
      <c r="C374" s="8" t="s">
        <v>40</v>
      </c>
      <c r="D374" s="8" t="s">
        <v>363</v>
      </c>
      <c r="E374" s="8" t="s">
        <v>40</v>
      </c>
      <c r="F374" s="8" t="s">
        <v>39</v>
      </c>
      <c r="G374" s="8" t="s">
        <v>54</v>
      </c>
      <c r="H374" s="8" t="s">
        <v>37</v>
      </c>
      <c r="I374" s="8" t="s">
        <v>53</v>
      </c>
      <c r="J374" s="8" t="s">
        <v>46</v>
      </c>
      <c r="K374" s="8" t="s">
        <v>3472</v>
      </c>
      <c r="L374" s="7">
        <v>7112</v>
      </c>
      <c r="M374" s="10" t="str">
        <f t="shared" si="30"/>
        <v>CMI02051300</v>
      </c>
      <c r="N374" s="10" t="str">
        <f t="shared" si="31"/>
        <v>REP201100</v>
      </c>
      <c r="O374" s="10" t="str">
        <f t="shared" si="32"/>
        <v>E</v>
      </c>
      <c r="P374" s="10" t="str">
        <f t="shared" si="33"/>
        <v>50</v>
      </c>
      <c r="Q374" s="10" t="str">
        <f t="shared" si="34"/>
        <v>ZRPI</v>
      </c>
      <c r="R374" s="10" t="str">
        <f t="shared" si="35"/>
        <v>40141924</v>
      </c>
    </row>
    <row r="375" spans="1:18" ht="38.25" x14ac:dyDescent="0.2">
      <c r="A375" s="21" t="s">
        <v>3471</v>
      </c>
      <c r="B375" s="8" t="s">
        <v>3470</v>
      </c>
      <c r="C375" s="8" t="s">
        <v>40</v>
      </c>
      <c r="D375" s="8" t="s">
        <v>310</v>
      </c>
      <c r="E375" s="8" t="s">
        <v>40</v>
      </c>
      <c r="F375" s="8" t="s">
        <v>39</v>
      </c>
      <c r="G375" s="8" t="s">
        <v>54</v>
      </c>
      <c r="H375" s="8" t="s">
        <v>37</v>
      </c>
      <c r="I375" s="8" t="s">
        <v>53</v>
      </c>
      <c r="J375" s="8" t="s">
        <v>46</v>
      </c>
      <c r="K375" s="8" t="s">
        <v>2124</v>
      </c>
      <c r="L375" s="7">
        <v>7113</v>
      </c>
      <c r="M375" s="10" t="str">
        <f t="shared" si="30"/>
        <v>CMI02200100</v>
      </c>
      <c r="N375" s="10" t="str">
        <f t="shared" si="31"/>
        <v>REP201100</v>
      </c>
      <c r="O375" s="10" t="str">
        <f t="shared" si="32"/>
        <v>E</v>
      </c>
      <c r="P375" s="10" t="str">
        <f t="shared" si="33"/>
        <v>50</v>
      </c>
      <c r="Q375" s="10" t="str">
        <f t="shared" si="34"/>
        <v>ZRPI</v>
      </c>
      <c r="R375" s="10" t="str">
        <f t="shared" si="35"/>
        <v>40141600</v>
      </c>
    </row>
    <row r="376" spans="1:18" ht="25.5" hidden="1" x14ac:dyDescent="0.2">
      <c r="A376" s="21" t="s">
        <v>3469</v>
      </c>
      <c r="B376" s="8" t="s">
        <v>3468</v>
      </c>
      <c r="C376" s="8" t="s">
        <v>40</v>
      </c>
      <c r="D376" s="8" t="s">
        <v>249</v>
      </c>
      <c r="E376" s="8" t="s">
        <v>40</v>
      </c>
      <c r="F376" s="8" t="s">
        <v>39</v>
      </c>
      <c r="G376" s="8" t="s">
        <v>54</v>
      </c>
      <c r="H376" s="8" t="s">
        <v>37</v>
      </c>
      <c r="I376" s="8" t="s">
        <v>53</v>
      </c>
      <c r="J376" s="8" t="s">
        <v>46</v>
      </c>
      <c r="K376" s="8" t="s">
        <v>2882</v>
      </c>
      <c r="L376" s="7">
        <v>7114</v>
      </c>
      <c r="M376" s="10" t="str">
        <f t="shared" si="30"/>
        <v>CMI02090700</v>
      </c>
      <c r="N376" s="10" t="str">
        <f t="shared" si="31"/>
        <v>REP201100</v>
      </c>
      <c r="O376" s="10" t="str">
        <f t="shared" si="32"/>
        <v>E</v>
      </c>
      <c r="P376" s="10" t="str">
        <f t="shared" si="33"/>
        <v>50</v>
      </c>
      <c r="Q376" s="10" t="str">
        <f t="shared" si="34"/>
        <v>ZRPI</v>
      </c>
      <c r="R376" s="10" t="str">
        <f t="shared" si="35"/>
        <v>26101700</v>
      </c>
    </row>
    <row r="377" spans="1:18" ht="38.25" hidden="1" x14ac:dyDescent="0.2">
      <c r="A377" s="21" t="s">
        <v>3467</v>
      </c>
      <c r="B377" s="8" t="s">
        <v>3466</v>
      </c>
      <c r="C377" s="8" t="s">
        <v>40</v>
      </c>
      <c r="D377" s="8" t="s">
        <v>1059</v>
      </c>
      <c r="E377" s="8" t="s">
        <v>40</v>
      </c>
      <c r="F377" s="8" t="s">
        <v>39</v>
      </c>
      <c r="G377" s="8" t="s">
        <v>54</v>
      </c>
      <c r="H377" s="8" t="s">
        <v>37</v>
      </c>
      <c r="I377" s="8" t="s">
        <v>53</v>
      </c>
      <c r="J377" s="8" t="s">
        <v>46</v>
      </c>
      <c r="K377" s="8" t="s">
        <v>3465</v>
      </c>
      <c r="L377" s="7">
        <v>7115</v>
      </c>
      <c r="M377" s="10" t="str">
        <f t="shared" si="30"/>
        <v>CMI02090600</v>
      </c>
      <c r="N377" s="10" t="str">
        <f t="shared" si="31"/>
        <v>REP201100</v>
      </c>
      <c r="O377" s="10" t="str">
        <f t="shared" si="32"/>
        <v>E</v>
      </c>
      <c r="P377" s="10" t="str">
        <f t="shared" si="33"/>
        <v>50</v>
      </c>
      <c r="Q377" s="10" t="str">
        <f t="shared" si="34"/>
        <v>ZRPI</v>
      </c>
      <c r="R377" s="10" t="str">
        <f t="shared" si="35"/>
        <v>40141608</v>
      </c>
    </row>
    <row r="378" spans="1:18" ht="38.25" hidden="1" x14ac:dyDescent="0.2">
      <c r="A378" s="21" t="s">
        <v>3464</v>
      </c>
      <c r="B378" s="8" t="s">
        <v>3463</v>
      </c>
      <c r="C378" s="8" t="s">
        <v>40</v>
      </c>
      <c r="D378" s="8" t="s">
        <v>1059</v>
      </c>
      <c r="E378" s="8" t="s">
        <v>40</v>
      </c>
      <c r="F378" s="8" t="s">
        <v>39</v>
      </c>
      <c r="G378" s="8" t="s">
        <v>54</v>
      </c>
      <c r="H378" s="8" t="s">
        <v>37</v>
      </c>
      <c r="I378" s="8" t="s">
        <v>53</v>
      </c>
      <c r="J378" s="8" t="s">
        <v>46</v>
      </c>
      <c r="K378" s="8" t="s">
        <v>3462</v>
      </c>
      <c r="L378" s="7">
        <v>7116</v>
      </c>
      <c r="M378" s="10" t="str">
        <f t="shared" si="30"/>
        <v>CMI02090600</v>
      </c>
      <c r="N378" s="10" t="str">
        <f t="shared" si="31"/>
        <v>REP201100</v>
      </c>
      <c r="O378" s="10" t="str">
        <f t="shared" si="32"/>
        <v>E</v>
      </c>
      <c r="P378" s="10" t="str">
        <f t="shared" si="33"/>
        <v>50</v>
      </c>
      <c r="Q378" s="10" t="str">
        <f t="shared" si="34"/>
        <v>ZRPI</v>
      </c>
      <c r="R378" s="10" t="str">
        <f t="shared" si="35"/>
        <v>40141642</v>
      </c>
    </row>
    <row r="379" spans="1:18" ht="38.25" hidden="1" x14ac:dyDescent="0.2">
      <c r="A379" s="21" t="s">
        <v>3461</v>
      </c>
      <c r="B379" s="8" t="s">
        <v>3460</v>
      </c>
      <c r="C379" s="8" t="s">
        <v>40</v>
      </c>
      <c r="D379" s="8" t="s">
        <v>1059</v>
      </c>
      <c r="E379" s="8" t="s">
        <v>40</v>
      </c>
      <c r="F379" s="8" t="s">
        <v>39</v>
      </c>
      <c r="G379" s="8" t="s">
        <v>54</v>
      </c>
      <c r="H379" s="8" t="s">
        <v>37</v>
      </c>
      <c r="I379" s="8" t="s">
        <v>53</v>
      </c>
      <c r="J379" s="8" t="s">
        <v>46</v>
      </c>
      <c r="K379" s="8" t="s">
        <v>3459</v>
      </c>
      <c r="L379" s="7">
        <v>7117</v>
      </c>
      <c r="M379" s="10" t="str">
        <f t="shared" si="30"/>
        <v>CMI02090600</v>
      </c>
      <c r="N379" s="10" t="str">
        <f t="shared" si="31"/>
        <v>REP201100</v>
      </c>
      <c r="O379" s="10" t="str">
        <f t="shared" si="32"/>
        <v>E</v>
      </c>
      <c r="P379" s="10" t="str">
        <f t="shared" si="33"/>
        <v>50</v>
      </c>
      <c r="Q379" s="10" t="str">
        <f t="shared" si="34"/>
        <v>ZRPI</v>
      </c>
      <c r="R379" s="10" t="str">
        <f t="shared" si="35"/>
        <v>40141611</v>
      </c>
    </row>
    <row r="380" spans="1:18" ht="38.25" hidden="1" x14ac:dyDescent="0.2">
      <c r="A380" s="21" t="s">
        <v>3458</v>
      </c>
      <c r="B380" s="8" t="s">
        <v>3457</v>
      </c>
      <c r="C380" s="8" t="s">
        <v>40</v>
      </c>
      <c r="D380" s="8" t="s">
        <v>1059</v>
      </c>
      <c r="E380" s="8" t="s">
        <v>40</v>
      </c>
      <c r="F380" s="8" t="s">
        <v>39</v>
      </c>
      <c r="G380" s="8" t="s">
        <v>54</v>
      </c>
      <c r="H380" s="8" t="s">
        <v>37</v>
      </c>
      <c r="I380" s="8" t="s">
        <v>53</v>
      </c>
      <c r="J380" s="8" t="s">
        <v>46</v>
      </c>
      <c r="K380" s="8" t="s">
        <v>3456</v>
      </c>
      <c r="L380" s="7">
        <v>7118</v>
      </c>
      <c r="M380" s="10" t="str">
        <f t="shared" si="30"/>
        <v>CMI02090600</v>
      </c>
      <c r="N380" s="10" t="str">
        <f t="shared" si="31"/>
        <v>REP201100</v>
      </c>
      <c r="O380" s="10" t="str">
        <f t="shared" si="32"/>
        <v>E</v>
      </c>
      <c r="P380" s="10" t="str">
        <f t="shared" si="33"/>
        <v>50</v>
      </c>
      <c r="Q380" s="10" t="str">
        <f t="shared" si="34"/>
        <v>ZRPI</v>
      </c>
      <c r="R380" s="10" t="str">
        <f t="shared" si="35"/>
        <v>40141656</v>
      </c>
    </row>
    <row r="381" spans="1:18" ht="38.25" hidden="1" x14ac:dyDescent="0.2">
      <c r="A381" s="21" t="s">
        <v>3455</v>
      </c>
      <c r="B381" s="8" t="s">
        <v>3454</v>
      </c>
      <c r="C381" s="8" t="s">
        <v>40</v>
      </c>
      <c r="D381" s="8" t="s">
        <v>310</v>
      </c>
      <c r="E381" s="8" t="s">
        <v>40</v>
      </c>
      <c r="F381" s="8" t="s">
        <v>39</v>
      </c>
      <c r="G381" s="8" t="s">
        <v>240</v>
      </c>
      <c r="H381" s="8" t="s">
        <v>37</v>
      </c>
      <c r="I381" s="8" t="s">
        <v>53</v>
      </c>
      <c r="J381" s="8" t="s">
        <v>46</v>
      </c>
      <c r="K381" s="8" t="s">
        <v>2124</v>
      </c>
      <c r="L381" s="7">
        <v>7119</v>
      </c>
      <c r="M381" s="10" t="str">
        <f t="shared" si="30"/>
        <v>CMI02200100</v>
      </c>
      <c r="N381" s="10" t="str">
        <f t="shared" si="31"/>
        <v>REP201000</v>
      </c>
      <c r="O381" s="10" t="str">
        <f t="shared" si="32"/>
        <v>E</v>
      </c>
      <c r="P381" s="10" t="str">
        <f t="shared" si="33"/>
        <v>50</v>
      </c>
      <c r="Q381" s="10" t="str">
        <f t="shared" si="34"/>
        <v>ZRPI</v>
      </c>
      <c r="R381" s="10" t="str">
        <f t="shared" si="35"/>
        <v>40141600</v>
      </c>
    </row>
    <row r="382" spans="1:18" ht="38.25" hidden="1" x14ac:dyDescent="0.2">
      <c r="A382" s="21" t="s">
        <v>3453</v>
      </c>
      <c r="B382" s="8" t="s">
        <v>3452</v>
      </c>
      <c r="C382" s="8" t="s">
        <v>40</v>
      </c>
      <c r="D382" s="8" t="s">
        <v>1059</v>
      </c>
      <c r="E382" s="8" t="s">
        <v>40</v>
      </c>
      <c r="F382" s="8" t="s">
        <v>39</v>
      </c>
      <c r="G382" s="8" t="s">
        <v>240</v>
      </c>
      <c r="H382" s="8" t="s">
        <v>37</v>
      </c>
      <c r="I382" s="8" t="s">
        <v>53</v>
      </c>
      <c r="J382" s="8" t="s">
        <v>46</v>
      </c>
      <c r="K382" s="8" t="s">
        <v>3451</v>
      </c>
      <c r="L382" s="7">
        <v>7120</v>
      </c>
      <c r="M382" s="10" t="str">
        <f t="shared" si="30"/>
        <v>CMI02090600</v>
      </c>
      <c r="N382" s="10" t="str">
        <f t="shared" si="31"/>
        <v>REP201000</v>
      </c>
      <c r="O382" s="10" t="str">
        <f t="shared" si="32"/>
        <v>E</v>
      </c>
      <c r="P382" s="10" t="str">
        <f t="shared" si="33"/>
        <v>50</v>
      </c>
      <c r="Q382" s="10" t="str">
        <f t="shared" si="34"/>
        <v>ZRPI</v>
      </c>
      <c r="R382" s="10" t="str">
        <f t="shared" si="35"/>
        <v>40141605</v>
      </c>
    </row>
    <row r="383" spans="1:18" ht="38.25" hidden="1" x14ac:dyDescent="0.2">
      <c r="A383" s="21" t="s">
        <v>3450</v>
      </c>
      <c r="B383" s="8" t="s">
        <v>3449</v>
      </c>
      <c r="C383" s="8" t="s">
        <v>40</v>
      </c>
      <c r="D383" s="8" t="s">
        <v>1059</v>
      </c>
      <c r="E383" s="8" t="s">
        <v>40</v>
      </c>
      <c r="F383" s="8" t="s">
        <v>39</v>
      </c>
      <c r="G383" s="8" t="s">
        <v>54</v>
      </c>
      <c r="H383" s="8" t="s">
        <v>37</v>
      </c>
      <c r="I383" s="8" t="s">
        <v>53</v>
      </c>
      <c r="J383" s="8" t="s">
        <v>46</v>
      </c>
      <c r="K383" s="8" t="s">
        <v>3448</v>
      </c>
      <c r="L383" s="7">
        <v>7121</v>
      </c>
      <c r="M383" s="10" t="str">
        <f t="shared" si="30"/>
        <v>CMI02090600</v>
      </c>
      <c r="N383" s="10" t="str">
        <f t="shared" si="31"/>
        <v>REP201100</v>
      </c>
      <c r="O383" s="10" t="str">
        <f t="shared" si="32"/>
        <v>E</v>
      </c>
      <c r="P383" s="10" t="str">
        <f t="shared" si="33"/>
        <v>50</v>
      </c>
      <c r="Q383" s="10" t="str">
        <f t="shared" si="34"/>
        <v>ZRPI</v>
      </c>
      <c r="R383" s="10" t="str">
        <f t="shared" si="35"/>
        <v>40141609</v>
      </c>
    </row>
    <row r="384" spans="1:18" ht="38.25" hidden="1" x14ac:dyDescent="0.2">
      <c r="A384" s="21" t="s">
        <v>3447</v>
      </c>
      <c r="B384" s="8" t="s">
        <v>3446</v>
      </c>
      <c r="C384" s="8" t="s">
        <v>40</v>
      </c>
      <c r="D384" s="8" t="s">
        <v>1059</v>
      </c>
      <c r="E384" s="8" t="s">
        <v>40</v>
      </c>
      <c r="F384" s="8" t="s">
        <v>39</v>
      </c>
      <c r="G384" s="8" t="s">
        <v>54</v>
      </c>
      <c r="H384" s="8" t="s">
        <v>37</v>
      </c>
      <c r="I384" s="8" t="s">
        <v>53</v>
      </c>
      <c r="J384" s="8" t="s">
        <v>46</v>
      </c>
      <c r="K384" s="8" t="s">
        <v>3445</v>
      </c>
      <c r="L384" s="7">
        <v>7122</v>
      </c>
      <c r="M384" s="10" t="str">
        <f t="shared" si="30"/>
        <v>CMI02090600</v>
      </c>
      <c r="N384" s="10" t="str">
        <f t="shared" si="31"/>
        <v>REP201100</v>
      </c>
      <c r="O384" s="10" t="str">
        <f t="shared" si="32"/>
        <v>E</v>
      </c>
      <c r="P384" s="10" t="str">
        <f t="shared" si="33"/>
        <v>50</v>
      </c>
      <c r="Q384" s="10" t="str">
        <f t="shared" si="34"/>
        <v>ZRPI</v>
      </c>
      <c r="R384" s="10" t="str">
        <f t="shared" si="35"/>
        <v>40141604</v>
      </c>
    </row>
    <row r="385" spans="1:18" ht="25.5" hidden="1" x14ac:dyDescent="0.2">
      <c r="A385" s="21" t="s">
        <v>3444</v>
      </c>
      <c r="B385" s="8" t="s">
        <v>3443</v>
      </c>
      <c r="C385" s="8" t="s">
        <v>40</v>
      </c>
      <c r="D385" s="8" t="s">
        <v>245</v>
      </c>
      <c r="E385" s="8" t="s">
        <v>40</v>
      </c>
      <c r="F385" s="8" t="s">
        <v>39</v>
      </c>
      <c r="G385" s="8" t="s">
        <v>54</v>
      </c>
      <c r="H385" s="8" t="s">
        <v>37</v>
      </c>
      <c r="I385" s="8" t="s">
        <v>53</v>
      </c>
      <c r="J385" s="8" t="s">
        <v>46</v>
      </c>
      <c r="K385" s="8" t="s">
        <v>3442</v>
      </c>
      <c r="L385" s="7">
        <v>7123</v>
      </c>
      <c r="M385" s="10" t="str">
        <f t="shared" si="30"/>
        <v>CMI01020300</v>
      </c>
      <c r="N385" s="10" t="str">
        <f t="shared" si="31"/>
        <v>REP201100</v>
      </c>
      <c r="O385" s="10" t="str">
        <f t="shared" si="32"/>
        <v>E</v>
      </c>
      <c r="P385" s="10" t="str">
        <f t="shared" si="33"/>
        <v>50</v>
      </c>
      <c r="Q385" s="10" t="str">
        <f t="shared" si="34"/>
        <v>ZRPI</v>
      </c>
      <c r="R385" s="10" t="str">
        <f t="shared" si="35"/>
        <v>27112701</v>
      </c>
    </row>
    <row r="386" spans="1:18" ht="25.5" hidden="1" x14ac:dyDescent="0.2">
      <c r="A386" s="21" t="s">
        <v>3441</v>
      </c>
      <c r="B386" s="8" t="s">
        <v>3440</v>
      </c>
      <c r="C386" s="8" t="s">
        <v>40</v>
      </c>
      <c r="D386" s="8" t="s">
        <v>216</v>
      </c>
      <c r="E386" s="8" t="s">
        <v>40</v>
      </c>
      <c r="F386" s="8" t="s">
        <v>39</v>
      </c>
      <c r="G386" s="8" t="s">
        <v>54</v>
      </c>
      <c r="H386" s="8" t="s">
        <v>37</v>
      </c>
      <c r="I386" s="8" t="s">
        <v>53</v>
      </c>
      <c r="J386" s="8" t="s">
        <v>46</v>
      </c>
      <c r="K386" s="8" t="s">
        <v>3439</v>
      </c>
      <c r="L386" s="7">
        <v>7124</v>
      </c>
      <c r="M386" s="10" t="str">
        <f t="shared" si="30"/>
        <v>CMI02140500</v>
      </c>
      <c r="N386" s="10" t="str">
        <f t="shared" si="31"/>
        <v>REP201100</v>
      </c>
      <c r="O386" s="10" t="str">
        <f t="shared" si="32"/>
        <v>E</v>
      </c>
      <c r="P386" s="10" t="str">
        <f t="shared" si="33"/>
        <v>50</v>
      </c>
      <c r="Q386" s="10" t="str">
        <f t="shared" si="34"/>
        <v>ZRPI</v>
      </c>
      <c r="R386" s="10" t="str">
        <f t="shared" si="35"/>
        <v>24101635</v>
      </c>
    </row>
    <row r="387" spans="1:18" ht="25.5" hidden="1" x14ac:dyDescent="0.2">
      <c r="A387" s="21" t="s">
        <v>3438</v>
      </c>
      <c r="B387" s="8" t="s">
        <v>3437</v>
      </c>
      <c r="C387" s="8" t="s">
        <v>40</v>
      </c>
      <c r="D387" s="8" t="s">
        <v>216</v>
      </c>
      <c r="E387" s="8" t="s">
        <v>40</v>
      </c>
      <c r="F387" s="8" t="s">
        <v>39</v>
      </c>
      <c r="G387" s="8" t="s">
        <v>54</v>
      </c>
      <c r="H387" s="8" t="s">
        <v>37</v>
      </c>
      <c r="I387" s="8" t="s">
        <v>53</v>
      </c>
      <c r="J387" s="8" t="s">
        <v>46</v>
      </c>
      <c r="K387" s="8" t="s">
        <v>1954</v>
      </c>
      <c r="L387" s="7">
        <v>7125</v>
      </c>
      <c r="M387" s="10" t="str">
        <f t="shared" ref="M387:M450" si="36">+LEFT(D387,11)</f>
        <v>CMI02140500</v>
      </c>
      <c r="N387" s="10" t="str">
        <f t="shared" ref="N387:N450" si="37">+LEFT(G387,9)</f>
        <v>REP201100</v>
      </c>
      <c r="O387" s="10" t="str">
        <f t="shared" ref="O387:O450" si="38">+LEFT(H387,1)</f>
        <v>E</v>
      </c>
      <c r="P387" s="10" t="str">
        <f t="shared" ref="P387:P450" si="39">+LEFT(I387,2)</f>
        <v>50</v>
      </c>
      <c r="Q387" s="10" t="str">
        <f t="shared" ref="Q387:Q450" si="40">+LEFT(J387,4)</f>
        <v>ZRPI</v>
      </c>
      <c r="R387" s="10" t="str">
        <f t="shared" ref="R387:R450" si="41">+LEFT(K387,8)</f>
        <v>41111600</v>
      </c>
    </row>
    <row r="388" spans="1:18" ht="38.25" hidden="1" x14ac:dyDescent="0.2">
      <c r="A388" s="21" t="s">
        <v>3436</v>
      </c>
      <c r="B388" s="8" t="s">
        <v>3435</v>
      </c>
      <c r="C388" s="8" t="s">
        <v>40</v>
      </c>
      <c r="D388" s="8" t="s">
        <v>1059</v>
      </c>
      <c r="E388" s="8" t="s">
        <v>40</v>
      </c>
      <c r="F388" s="8" t="s">
        <v>39</v>
      </c>
      <c r="G388" s="8" t="s">
        <v>54</v>
      </c>
      <c r="H388" s="8" t="s">
        <v>37</v>
      </c>
      <c r="I388" s="8" t="s">
        <v>53</v>
      </c>
      <c r="J388" s="8" t="s">
        <v>46</v>
      </c>
      <c r="K388" s="8" t="s">
        <v>3434</v>
      </c>
      <c r="L388" s="7">
        <v>7126</v>
      </c>
      <c r="M388" s="10" t="str">
        <f t="shared" si="36"/>
        <v>CMI02090600</v>
      </c>
      <c r="N388" s="10" t="str">
        <f t="shared" si="37"/>
        <v>REP201100</v>
      </c>
      <c r="O388" s="10" t="str">
        <f t="shared" si="38"/>
        <v>E</v>
      </c>
      <c r="P388" s="10" t="str">
        <f t="shared" si="39"/>
        <v>50</v>
      </c>
      <c r="Q388" s="10" t="str">
        <f t="shared" si="40"/>
        <v>ZRPI</v>
      </c>
      <c r="R388" s="10" t="str">
        <f t="shared" si="41"/>
        <v>41112412</v>
      </c>
    </row>
    <row r="389" spans="1:18" ht="25.5" hidden="1" x14ac:dyDescent="0.2">
      <c r="A389" s="21" t="s">
        <v>3433</v>
      </c>
      <c r="B389" s="8" t="s">
        <v>3432</v>
      </c>
      <c r="C389" s="8" t="s">
        <v>40</v>
      </c>
      <c r="D389" s="8" t="s">
        <v>645</v>
      </c>
      <c r="E389" s="8" t="s">
        <v>40</v>
      </c>
      <c r="F389" s="8" t="s">
        <v>39</v>
      </c>
      <c r="G389" s="8" t="s">
        <v>240</v>
      </c>
      <c r="H389" s="8" t="s">
        <v>37</v>
      </c>
      <c r="I389" s="8" t="s">
        <v>53</v>
      </c>
      <c r="J389" s="8" t="s">
        <v>46</v>
      </c>
      <c r="K389" s="8" t="s">
        <v>3431</v>
      </c>
      <c r="L389" s="7">
        <v>7127</v>
      </c>
      <c r="M389" s="10" t="str">
        <f t="shared" si="36"/>
        <v>CMI02140400</v>
      </c>
      <c r="N389" s="10" t="str">
        <f t="shared" si="37"/>
        <v>REP201000</v>
      </c>
      <c r="O389" s="10" t="str">
        <f t="shared" si="38"/>
        <v>E</v>
      </c>
      <c r="P389" s="10" t="str">
        <f t="shared" si="39"/>
        <v>50</v>
      </c>
      <c r="Q389" s="10" t="str">
        <f t="shared" si="40"/>
        <v>ZRPI</v>
      </c>
      <c r="R389" s="10" t="str">
        <f t="shared" si="41"/>
        <v>41113710</v>
      </c>
    </row>
    <row r="390" spans="1:18" ht="38.25" hidden="1" x14ac:dyDescent="0.2">
      <c r="A390" s="21" t="s">
        <v>3430</v>
      </c>
      <c r="B390" s="8" t="s">
        <v>3429</v>
      </c>
      <c r="C390" s="8" t="s">
        <v>40</v>
      </c>
      <c r="D390" s="8" t="s">
        <v>55</v>
      </c>
      <c r="E390" s="8" t="s">
        <v>40</v>
      </c>
      <c r="F390" s="8" t="s">
        <v>39</v>
      </c>
      <c r="G390" s="8" t="s">
        <v>54</v>
      </c>
      <c r="H390" s="8" t="s">
        <v>37</v>
      </c>
      <c r="I390" s="8" t="s">
        <v>53</v>
      </c>
      <c r="J390" s="8" t="s">
        <v>46</v>
      </c>
      <c r="K390" s="8" t="s">
        <v>1949</v>
      </c>
      <c r="L390" s="7">
        <v>7128</v>
      </c>
      <c r="M390" s="10" t="str">
        <f t="shared" si="36"/>
        <v>CMI02140300</v>
      </c>
      <c r="N390" s="10" t="str">
        <f t="shared" si="37"/>
        <v>REP201100</v>
      </c>
      <c r="O390" s="10" t="str">
        <f t="shared" si="38"/>
        <v>E</v>
      </c>
      <c r="P390" s="10" t="str">
        <f t="shared" si="39"/>
        <v>50</v>
      </c>
      <c r="Q390" s="10" t="str">
        <f t="shared" si="40"/>
        <v>ZRPI</v>
      </c>
      <c r="R390" s="10" t="str">
        <f t="shared" si="41"/>
        <v>27111802</v>
      </c>
    </row>
    <row r="391" spans="1:18" ht="25.5" hidden="1" x14ac:dyDescent="0.2">
      <c r="A391" s="21" t="s">
        <v>3428</v>
      </c>
      <c r="B391" s="8" t="s">
        <v>3427</v>
      </c>
      <c r="C391" s="8" t="s">
        <v>40</v>
      </c>
      <c r="D391" s="8" t="s">
        <v>256</v>
      </c>
      <c r="E391" s="8" t="s">
        <v>40</v>
      </c>
      <c r="F391" s="8" t="s">
        <v>39</v>
      </c>
      <c r="G391" s="8" t="s">
        <v>54</v>
      </c>
      <c r="H391" s="8" t="s">
        <v>37</v>
      </c>
      <c r="I391" s="8" t="s">
        <v>53</v>
      </c>
      <c r="J391" s="8" t="s">
        <v>46</v>
      </c>
      <c r="K391" s="8" t="s">
        <v>3426</v>
      </c>
      <c r="L391" s="7">
        <v>7129</v>
      </c>
      <c r="M391" s="10" t="str">
        <f t="shared" si="36"/>
        <v>CMI02090900</v>
      </c>
      <c r="N391" s="10" t="str">
        <f t="shared" si="37"/>
        <v>REP201100</v>
      </c>
      <c r="O391" s="10" t="str">
        <f t="shared" si="38"/>
        <v>E</v>
      </c>
      <c r="P391" s="10" t="str">
        <f t="shared" si="39"/>
        <v>50</v>
      </c>
      <c r="Q391" s="10" t="str">
        <f t="shared" si="40"/>
        <v>ZRPI</v>
      </c>
      <c r="R391" s="10" t="str">
        <f t="shared" si="41"/>
        <v>31161611</v>
      </c>
    </row>
    <row r="392" spans="1:18" ht="25.5" hidden="1" x14ac:dyDescent="0.2">
      <c r="A392" s="21" t="s">
        <v>3425</v>
      </c>
      <c r="B392" s="8" t="s">
        <v>3424</v>
      </c>
      <c r="C392" s="8" t="s">
        <v>40</v>
      </c>
      <c r="D392" s="8" t="s">
        <v>256</v>
      </c>
      <c r="E392" s="8" t="s">
        <v>40</v>
      </c>
      <c r="F392" s="8" t="s">
        <v>39</v>
      </c>
      <c r="G392" s="8" t="s">
        <v>54</v>
      </c>
      <c r="H392" s="8" t="s">
        <v>37</v>
      </c>
      <c r="I392" s="8" t="s">
        <v>53</v>
      </c>
      <c r="J392" s="8" t="s">
        <v>46</v>
      </c>
      <c r="K392" s="8" t="s">
        <v>2888</v>
      </c>
      <c r="L392" s="7">
        <v>7130</v>
      </c>
      <c r="M392" s="10" t="str">
        <f t="shared" si="36"/>
        <v>CMI02090900</v>
      </c>
      <c r="N392" s="10" t="str">
        <f t="shared" si="37"/>
        <v>REP201100</v>
      </c>
      <c r="O392" s="10" t="str">
        <f t="shared" si="38"/>
        <v>E</v>
      </c>
      <c r="P392" s="10" t="str">
        <f t="shared" si="39"/>
        <v>50</v>
      </c>
      <c r="Q392" s="10" t="str">
        <f t="shared" si="40"/>
        <v>ZRPI</v>
      </c>
      <c r="R392" s="10" t="str">
        <f t="shared" si="41"/>
        <v>31161600</v>
      </c>
    </row>
    <row r="393" spans="1:18" ht="25.5" hidden="1" x14ac:dyDescent="0.2">
      <c r="A393" s="21" t="s">
        <v>3423</v>
      </c>
      <c r="B393" s="8" t="s">
        <v>3422</v>
      </c>
      <c r="C393" s="8" t="s">
        <v>40</v>
      </c>
      <c r="D393" s="8" t="s">
        <v>249</v>
      </c>
      <c r="E393" s="8" t="s">
        <v>40</v>
      </c>
      <c r="F393" s="8" t="s">
        <v>39</v>
      </c>
      <c r="G393" s="8" t="s">
        <v>54</v>
      </c>
      <c r="H393" s="8" t="s">
        <v>37</v>
      </c>
      <c r="I393" s="8" t="s">
        <v>53</v>
      </c>
      <c r="J393" s="8" t="s">
        <v>46</v>
      </c>
      <c r="K393" s="8" t="s">
        <v>3421</v>
      </c>
      <c r="L393" s="7">
        <v>7131</v>
      </c>
      <c r="M393" s="10" t="str">
        <f t="shared" si="36"/>
        <v>CMI02090700</v>
      </c>
      <c r="N393" s="10" t="str">
        <f t="shared" si="37"/>
        <v>REP201100</v>
      </c>
      <c r="O393" s="10" t="str">
        <f t="shared" si="38"/>
        <v>E</v>
      </c>
      <c r="P393" s="10" t="str">
        <f t="shared" si="39"/>
        <v>50</v>
      </c>
      <c r="Q393" s="10" t="str">
        <f t="shared" si="40"/>
        <v>ZRPI</v>
      </c>
      <c r="R393" s="10" t="str">
        <f t="shared" si="41"/>
        <v>31401502</v>
      </c>
    </row>
    <row r="394" spans="1:18" ht="25.5" hidden="1" x14ac:dyDescent="0.2">
      <c r="A394" s="21" t="s">
        <v>3420</v>
      </c>
      <c r="B394" s="8" t="s">
        <v>3419</v>
      </c>
      <c r="C394" s="8" t="s">
        <v>40</v>
      </c>
      <c r="D394" s="8" t="s">
        <v>249</v>
      </c>
      <c r="E394" s="8" t="s">
        <v>40</v>
      </c>
      <c r="F394" s="8" t="s">
        <v>39</v>
      </c>
      <c r="G394" s="8" t="s">
        <v>54</v>
      </c>
      <c r="H394" s="8" t="s">
        <v>37</v>
      </c>
      <c r="I394" s="8" t="s">
        <v>53</v>
      </c>
      <c r="J394" s="8" t="s">
        <v>46</v>
      </c>
      <c r="K394" s="8" t="s">
        <v>3418</v>
      </c>
      <c r="L394" s="7">
        <v>7132</v>
      </c>
      <c r="M394" s="10" t="str">
        <f t="shared" si="36"/>
        <v>CMI02090700</v>
      </c>
      <c r="N394" s="10" t="str">
        <f t="shared" si="37"/>
        <v>REP201100</v>
      </c>
      <c r="O394" s="10" t="str">
        <f t="shared" si="38"/>
        <v>E</v>
      </c>
      <c r="P394" s="10" t="str">
        <f t="shared" si="39"/>
        <v>50</v>
      </c>
      <c r="Q394" s="10" t="str">
        <f t="shared" si="40"/>
        <v>ZRPI</v>
      </c>
      <c r="R394" s="10" t="str">
        <f t="shared" si="41"/>
        <v>31401501</v>
      </c>
    </row>
    <row r="395" spans="1:18" ht="38.25" hidden="1" x14ac:dyDescent="0.2">
      <c r="A395" s="21" t="s">
        <v>3417</v>
      </c>
      <c r="B395" s="8" t="s">
        <v>3416</v>
      </c>
      <c r="C395" s="8" t="s">
        <v>40</v>
      </c>
      <c r="D395" s="8" t="s">
        <v>310</v>
      </c>
      <c r="E395" s="8" t="s">
        <v>40</v>
      </c>
      <c r="F395" s="8" t="s">
        <v>39</v>
      </c>
      <c r="G395" s="8" t="s">
        <v>240</v>
      </c>
      <c r="H395" s="8" t="s">
        <v>37</v>
      </c>
      <c r="I395" s="8" t="s">
        <v>53</v>
      </c>
      <c r="J395" s="8" t="s">
        <v>46</v>
      </c>
      <c r="K395" s="8" t="s">
        <v>3415</v>
      </c>
      <c r="L395" s="7">
        <v>7133</v>
      </c>
      <c r="M395" s="10" t="str">
        <f t="shared" si="36"/>
        <v>CMI02200100</v>
      </c>
      <c r="N395" s="10" t="str">
        <f t="shared" si="37"/>
        <v>REP201000</v>
      </c>
      <c r="O395" s="10" t="str">
        <f t="shared" si="38"/>
        <v>E</v>
      </c>
      <c r="P395" s="10" t="str">
        <f t="shared" si="39"/>
        <v>50</v>
      </c>
      <c r="Q395" s="10" t="str">
        <f t="shared" si="40"/>
        <v>ZRPI</v>
      </c>
      <c r="R395" s="10" t="str">
        <f t="shared" si="41"/>
        <v>31181702</v>
      </c>
    </row>
    <row r="396" spans="1:18" ht="25.5" hidden="1" x14ac:dyDescent="0.2">
      <c r="A396" s="21" t="s">
        <v>3414</v>
      </c>
      <c r="B396" s="8" t="s">
        <v>3413</v>
      </c>
      <c r="C396" s="8" t="s">
        <v>40</v>
      </c>
      <c r="D396" s="8" t="s">
        <v>256</v>
      </c>
      <c r="E396" s="8" t="s">
        <v>40</v>
      </c>
      <c r="F396" s="8" t="s">
        <v>39</v>
      </c>
      <c r="G396" s="8" t="s">
        <v>54</v>
      </c>
      <c r="H396" s="8" t="s">
        <v>37</v>
      </c>
      <c r="I396" s="8" t="s">
        <v>53</v>
      </c>
      <c r="J396" s="8" t="s">
        <v>46</v>
      </c>
      <c r="K396" s="8" t="s">
        <v>3412</v>
      </c>
      <c r="L396" s="7">
        <v>7134</v>
      </c>
      <c r="M396" s="10" t="str">
        <f t="shared" si="36"/>
        <v>CMI02090900</v>
      </c>
      <c r="N396" s="10" t="str">
        <f t="shared" si="37"/>
        <v>REP201100</v>
      </c>
      <c r="O396" s="10" t="str">
        <f t="shared" si="38"/>
        <v>E</v>
      </c>
      <c r="P396" s="10" t="str">
        <f t="shared" si="39"/>
        <v>50</v>
      </c>
      <c r="Q396" s="10" t="str">
        <f t="shared" si="40"/>
        <v>ZRPI</v>
      </c>
      <c r="R396" s="10" t="str">
        <f t="shared" si="41"/>
        <v>40151712</v>
      </c>
    </row>
    <row r="397" spans="1:18" ht="25.5" hidden="1" x14ac:dyDescent="0.2">
      <c r="A397" s="21" t="s">
        <v>3411</v>
      </c>
      <c r="B397" s="8" t="s">
        <v>3410</v>
      </c>
      <c r="C397" s="8" t="s">
        <v>40</v>
      </c>
      <c r="D397" s="8" t="s">
        <v>249</v>
      </c>
      <c r="E397" s="8" t="s">
        <v>40</v>
      </c>
      <c r="F397" s="8" t="s">
        <v>39</v>
      </c>
      <c r="G397" s="8" t="s">
        <v>54</v>
      </c>
      <c r="H397" s="8" t="s">
        <v>37</v>
      </c>
      <c r="I397" s="8" t="s">
        <v>53</v>
      </c>
      <c r="J397" s="8" t="s">
        <v>46</v>
      </c>
      <c r="K397" s="8" t="s">
        <v>3409</v>
      </c>
      <c r="L397" s="7">
        <v>7135</v>
      </c>
      <c r="M397" s="10" t="str">
        <f t="shared" si="36"/>
        <v>CMI02090700</v>
      </c>
      <c r="N397" s="10" t="str">
        <f t="shared" si="37"/>
        <v>REP201100</v>
      </c>
      <c r="O397" s="10" t="str">
        <f t="shared" si="38"/>
        <v>E</v>
      </c>
      <c r="P397" s="10" t="str">
        <f t="shared" si="39"/>
        <v>50</v>
      </c>
      <c r="Q397" s="10" t="str">
        <f t="shared" si="40"/>
        <v>ZRPI</v>
      </c>
      <c r="R397" s="10" t="str">
        <f t="shared" si="41"/>
        <v>31411703</v>
      </c>
    </row>
    <row r="398" spans="1:18" ht="25.5" hidden="1" x14ac:dyDescent="0.2">
      <c r="A398" s="21" t="s">
        <v>3408</v>
      </c>
      <c r="B398" s="8" t="s">
        <v>3407</v>
      </c>
      <c r="C398" s="8" t="s">
        <v>40</v>
      </c>
      <c r="D398" s="8" t="s">
        <v>249</v>
      </c>
      <c r="E398" s="8" t="s">
        <v>40</v>
      </c>
      <c r="F398" s="8" t="s">
        <v>39</v>
      </c>
      <c r="G398" s="8" t="s">
        <v>54</v>
      </c>
      <c r="H398" s="8" t="s">
        <v>37</v>
      </c>
      <c r="I398" s="8" t="s">
        <v>53</v>
      </c>
      <c r="J398" s="8" t="s">
        <v>46</v>
      </c>
      <c r="K398" s="8" t="s">
        <v>3406</v>
      </c>
      <c r="L398" s="7">
        <v>7136</v>
      </c>
      <c r="M398" s="10" t="str">
        <f t="shared" si="36"/>
        <v>CMI02090700</v>
      </c>
      <c r="N398" s="10" t="str">
        <f t="shared" si="37"/>
        <v>REP201100</v>
      </c>
      <c r="O398" s="10" t="str">
        <f t="shared" si="38"/>
        <v>E</v>
      </c>
      <c r="P398" s="10" t="str">
        <f t="shared" si="39"/>
        <v>50</v>
      </c>
      <c r="Q398" s="10" t="str">
        <f t="shared" si="40"/>
        <v>ZRPI</v>
      </c>
      <c r="R398" s="10" t="str">
        <f t="shared" si="41"/>
        <v>31163202</v>
      </c>
    </row>
    <row r="399" spans="1:18" ht="38.25" hidden="1" x14ac:dyDescent="0.2">
      <c r="A399" s="21" t="s">
        <v>3405</v>
      </c>
      <c r="B399" s="8" t="s">
        <v>3404</v>
      </c>
      <c r="C399" s="8" t="s">
        <v>40</v>
      </c>
      <c r="D399" s="8" t="s">
        <v>1059</v>
      </c>
      <c r="E399" s="8" t="s">
        <v>40</v>
      </c>
      <c r="F399" s="8" t="s">
        <v>39</v>
      </c>
      <c r="G399" s="8" t="s">
        <v>54</v>
      </c>
      <c r="H399" s="8" t="s">
        <v>37</v>
      </c>
      <c r="I399" s="8" t="s">
        <v>53</v>
      </c>
      <c r="J399" s="8" t="s">
        <v>46</v>
      </c>
      <c r="K399" s="8" t="s">
        <v>2915</v>
      </c>
      <c r="L399" s="7">
        <v>7137</v>
      </c>
      <c r="M399" s="10" t="str">
        <f t="shared" si="36"/>
        <v>CMI02090600</v>
      </c>
      <c r="N399" s="10" t="str">
        <f t="shared" si="37"/>
        <v>REP201100</v>
      </c>
      <c r="O399" s="10" t="str">
        <f t="shared" si="38"/>
        <v>E</v>
      </c>
      <c r="P399" s="10" t="str">
        <f t="shared" si="39"/>
        <v>50</v>
      </c>
      <c r="Q399" s="10" t="str">
        <f t="shared" si="40"/>
        <v>ZRPI</v>
      </c>
      <c r="R399" s="10" t="str">
        <f t="shared" si="41"/>
        <v>31410000</v>
      </c>
    </row>
    <row r="400" spans="1:18" ht="25.5" hidden="1" x14ac:dyDescent="0.2">
      <c r="A400" s="21" t="s">
        <v>3403</v>
      </c>
      <c r="B400" s="8" t="s">
        <v>3402</v>
      </c>
      <c r="C400" s="8" t="s">
        <v>40</v>
      </c>
      <c r="D400" s="8" t="s">
        <v>249</v>
      </c>
      <c r="E400" s="8" t="s">
        <v>40</v>
      </c>
      <c r="F400" s="8" t="s">
        <v>39</v>
      </c>
      <c r="G400" s="8" t="s">
        <v>240</v>
      </c>
      <c r="H400" s="8" t="s">
        <v>37</v>
      </c>
      <c r="I400" s="8" t="s">
        <v>53</v>
      </c>
      <c r="J400" s="8" t="s">
        <v>46</v>
      </c>
      <c r="K400" s="8" t="s">
        <v>3401</v>
      </c>
      <c r="L400" s="7">
        <v>7138</v>
      </c>
      <c r="M400" s="10" t="str">
        <f t="shared" si="36"/>
        <v>CMI02090700</v>
      </c>
      <c r="N400" s="10" t="str">
        <f t="shared" si="37"/>
        <v>REP201000</v>
      </c>
      <c r="O400" s="10" t="str">
        <f t="shared" si="38"/>
        <v>E</v>
      </c>
      <c r="P400" s="10" t="str">
        <f t="shared" si="39"/>
        <v>50</v>
      </c>
      <c r="Q400" s="10" t="str">
        <f t="shared" si="40"/>
        <v>ZRPI</v>
      </c>
      <c r="R400" s="10" t="str">
        <f t="shared" si="41"/>
        <v>30152101</v>
      </c>
    </row>
    <row r="401" spans="1:18" ht="25.5" hidden="1" x14ac:dyDescent="0.2">
      <c r="A401" s="21" t="s">
        <v>3400</v>
      </c>
      <c r="B401" s="8" t="s">
        <v>3399</v>
      </c>
      <c r="C401" s="8" t="s">
        <v>40</v>
      </c>
      <c r="D401" s="8" t="s">
        <v>249</v>
      </c>
      <c r="E401" s="8" t="s">
        <v>40</v>
      </c>
      <c r="F401" s="8" t="s">
        <v>39</v>
      </c>
      <c r="G401" s="8" t="s">
        <v>54</v>
      </c>
      <c r="H401" s="8" t="s">
        <v>37</v>
      </c>
      <c r="I401" s="8" t="s">
        <v>53</v>
      </c>
      <c r="J401" s="8" t="s">
        <v>46</v>
      </c>
      <c r="K401" s="8" t="s">
        <v>3134</v>
      </c>
      <c r="L401" s="7">
        <v>7139</v>
      </c>
      <c r="M401" s="10" t="str">
        <f t="shared" si="36"/>
        <v>CMI02090700</v>
      </c>
      <c r="N401" s="10" t="str">
        <f t="shared" si="37"/>
        <v>REP201100</v>
      </c>
      <c r="O401" s="10" t="str">
        <f t="shared" si="38"/>
        <v>E</v>
      </c>
      <c r="P401" s="10" t="str">
        <f t="shared" si="39"/>
        <v>50</v>
      </c>
      <c r="Q401" s="10" t="str">
        <f t="shared" si="40"/>
        <v>ZRPI</v>
      </c>
      <c r="R401" s="10" t="str">
        <f t="shared" si="41"/>
        <v>31161807</v>
      </c>
    </row>
    <row r="402" spans="1:18" ht="38.25" hidden="1" x14ac:dyDescent="0.2">
      <c r="A402" s="21" t="s">
        <v>3398</v>
      </c>
      <c r="B402" s="8" t="s">
        <v>3397</v>
      </c>
      <c r="C402" s="8" t="s">
        <v>40</v>
      </c>
      <c r="D402" s="8" t="s">
        <v>326</v>
      </c>
      <c r="E402" s="8" t="s">
        <v>40</v>
      </c>
      <c r="F402" s="8" t="s">
        <v>39</v>
      </c>
      <c r="G402" s="8" t="s">
        <v>240</v>
      </c>
      <c r="H402" s="8" t="s">
        <v>37</v>
      </c>
      <c r="I402" s="8" t="s">
        <v>53</v>
      </c>
      <c r="J402" s="8" t="s">
        <v>46</v>
      </c>
      <c r="K402" s="8" t="s">
        <v>3396</v>
      </c>
      <c r="L402" s="7">
        <v>7140</v>
      </c>
      <c r="M402" s="10" t="str">
        <f t="shared" si="36"/>
        <v>CMI02050400</v>
      </c>
      <c r="N402" s="10" t="str">
        <f t="shared" si="37"/>
        <v>REP201000</v>
      </c>
      <c r="O402" s="10" t="str">
        <f t="shared" si="38"/>
        <v>E</v>
      </c>
      <c r="P402" s="10" t="str">
        <f t="shared" si="39"/>
        <v>50</v>
      </c>
      <c r="Q402" s="10" t="str">
        <f t="shared" si="40"/>
        <v>ZRPI</v>
      </c>
      <c r="R402" s="10" t="str">
        <f t="shared" si="41"/>
        <v>30111502</v>
      </c>
    </row>
    <row r="403" spans="1:18" ht="25.5" hidden="1" x14ac:dyDescent="0.2">
      <c r="A403" s="21" t="s">
        <v>3395</v>
      </c>
      <c r="B403" s="8" t="s">
        <v>3394</v>
      </c>
      <c r="C403" s="8" t="s">
        <v>40</v>
      </c>
      <c r="D403" s="8" t="s">
        <v>363</v>
      </c>
      <c r="E403" s="8" t="s">
        <v>40</v>
      </c>
      <c r="F403" s="8" t="s">
        <v>39</v>
      </c>
      <c r="G403" s="8" t="s">
        <v>240</v>
      </c>
      <c r="H403" s="8" t="s">
        <v>37</v>
      </c>
      <c r="I403" s="8" t="s">
        <v>53</v>
      </c>
      <c r="J403" s="8" t="s">
        <v>46</v>
      </c>
      <c r="K403" s="8" t="s">
        <v>3393</v>
      </c>
      <c r="L403" s="7">
        <v>7141</v>
      </c>
      <c r="M403" s="10" t="str">
        <f t="shared" si="36"/>
        <v>CMI02051300</v>
      </c>
      <c r="N403" s="10" t="str">
        <f t="shared" si="37"/>
        <v>REP201000</v>
      </c>
      <c r="O403" s="10" t="str">
        <f t="shared" si="38"/>
        <v>E</v>
      </c>
      <c r="P403" s="10" t="str">
        <f t="shared" si="39"/>
        <v>50</v>
      </c>
      <c r="Q403" s="10" t="str">
        <f t="shared" si="40"/>
        <v>ZRPI</v>
      </c>
      <c r="R403" s="10" t="str">
        <f t="shared" si="41"/>
        <v>30141512</v>
      </c>
    </row>
    <row r="404" spans="1:18" ht="25.5" hidden="1" x14ac:dyDescent="0.2">
      <c r="A404" s="21" t="s">
        <v>3392</v>
      </c>
      <c r="B404" s="8" t="s">
        <v>3391</v>
      </c>
      <c r="C404" s="8" t="s">
        <v>40</v>
      </c>
      <c r="D404" s="8" t="s">
        <v>947</v>
      </c>
      <c r="E404" s="8" t="s">
        <v>40</v>
      </c>
      <c r="F404" s="8" t="s">
        <v>39</v>
      </c>
      <c r="G404" s="8" t="s">
        <v>240</v>
      </c>
      <c r="H404" s="8" t="s">
        <v>37</v>
      </c>
      <c r="I404" s="8" t="s">
        <v>53</v>
      </c>
      <c r="J404" s="8" t="s">
        <v>46</v>
      </c>
      <c r="K404" s="8" t="s">
        <v>3390</v>
      </c>
      <c r="L404" s="7">
        <v>7142</v>
      </c>
      <c r="M404" s="10" t="str">
        <f t="shared" si="36"/>
        <v>CMI02160200</v>
      </c>
      <c r="N404" s="10" t="str">
        <f t="shared" si="37"/>
        <v>REP201000</v>
      </c>
      <c r="O404" s="10" t="str">
        <f t="shared" si="38"/>
        <v>E</v>
      </c>
      <c r="P404" s="10" t="str">
        <f t="shared" si="39"/>
        <v>50</v>
      </c>
      <c r="Q404" s="10" t="str">
        <f t="shared" si="40"/>
        <v>ZRPI</v>
      </c>
      <c r="R404" s="10" t="str">
        <f t="shared" si="41"/>
        <v>43200000</v>
      </c>
    </row>
    <row r="405" spans="1:18" ht="38.25" hidden="1" x14ac:dyDescent="0.2">
      <c r="A405" s="21" t="s">
        <v>3389</v>
      </c>
      <c r="B405" s="8" t="s">
        <v>3388</v>
      </c>
      <c r="C405" s="8" t="s">
        <v>40</v>
      </c>
      <c r="D405" s="8" t="s">
        <v>947</v>
      </c>
      <c r="E405" s="8" t="s">
        <v>40</v>
      </c>
      <c r="F405" s="8" t="s">
        <v>39</v>
      </c>
      <c r="G405" s="8" t="s">
        <v>240</v>
      </c>
      <c r="H405" s="8" t="s">
        <v>37</v>
      </c>
      <c r="I405" s="8" t="s">
        <v>53</v>
      </c>
      <c r="J405" s="8" t="s">
        <v>46</v>
      </c>
      <c r="K405" s="8" t="s">
        <v>3387</v>
      </c>
      <c r="L405" s="7">
        <v>7143</v>
      </c>
      <c r="M405" s="10" t="str">
        <f t="shared" si="36"/>
        <v>CMI02160200</v>
      </c>
      <c r="N405" s="10" t="str">
        <f t="shared" si="37"/>
        <v>REP201000</v>
      </c>
      <c r="O405" s="10" t="str">
        <f t="shared" si="38"/>
        <v>E</v>
      </c>
      <c r="P405" s="10" t="str">
        <f t="shared" si="39"/>
        <v>50</v>
      </c>
      <c r="Q405" s="10" t="str">
        <f t="shared" si="40"/>
        <v>ZRPI</v>
      </c>
      <c r="R405" s="10" t="str">
        <f t="shared" si="41"/>
        <v>39121007</v>
      </c>
    </row>
    <row r="406" spans="1:18" ht="38.25" hidden="1" x14ac:dyDescent="0.2">
      <c r="A406" s="21" t="s">
        <v>3386</v>
      </c>
      <c r="B406" s="8" t="s">
        <v>3385</v>
      </c>
      <c r="C406" s="8" t="s">
        <v>40</v>
      </c>
      <c r="D406" s="8" t="s">
        <v>55</v>
      </c>
      <c r="E406" s="8" t="s">
        <v>40</v>
      </c>
      <c r="F406" s="8" t="s">
        <v>39</v>
      </c>
      <c r="G406" s="8" t="s">
        <v>240</v>
      </c>
      <c r="H406" s="8" t="s">
        <v>37</v>
      </c>
      <c r="I406" s="8" t="s">
        <v>53</v>
      </c>
      <c r="J406" s="8" t="s">
        <v>46</v>
      </c>
      <c r="K406" s="8" t="s">
        <v>2845</v>
      </c>
      <c r="L406" s="7">
        <v>7144</v>
      </c>
      <c r="M406" s="10" t="str">
        <f t="shared" si="36"/>
        <v>CMI02140300</v>
      </c>
      <c r="N406" s="10" t="str">
        <f t="shared" si="37"/>
        <v>REP201000</v>
      </c>
      <c r="O406" s="10" t="str">
        <f t="shared" si="38"/>
        <v>E</v>
      </c>
      <c r="P406" s="10" t="str">
        <f t="shared" si="39"/>
        <v>50</v>
      </c>
      <c r="Q406" s="10" t="str">
        <f t="shared" si="40"/>
        <v>ZRPI</v>
      </c>
      <c r="R406" s="10" t="str">
        <f t="shared" si="41"/>
        <v>41113600</v>
      </c>
    </row>
    <row r="407" spans="1:18" ht="25.5" hidden="1" x14ac:dyDescent="0.2">
      <c r="A407" s="21" t="s">
        <v>3384</v>
      </c>
      <c r="B407" s="8" t="s">
        <v>3383</v>
      </c>
      <c r="C407" s="8" t="s">
        <v>40</v>
      </c>
      <c r="D407" s="8" t="s">
        <v>78</v>
      </c>
      <c r="E407" s="8" t="s">
        <v>40</v>
      </c>
      <c r="F407" s="8" t="s">
        <v>39</v>
      </c>
      <c r="G407" s="8" t="s">
        <v>240</v>
      </c>
      <c r="H407" s="8" t="s">
        <v>37</v>
      </c>
      <c r="I407" s="8" t="s">
        <v>53</v>
      </c>
      <c r="J407" s="8" t="s">
        <v>46</v>
      </c>
      <c r="K407" s="8" t="s">
        <v>2825</v>
      </c>
      <c r="L407" s="7">
        <v>7145</v>
      </c>
      <c r="M407" s="10" t="str">
        <f t="shared" si="36"/>
        <v>CMI02090400</v>
      </c>
      <c r="N407" s="10" t="str">
        <f t="shared" si="37"/>
        <v>REP201000</v>
      </c>
      <c r="O407" s="10" t="str">
        <f t="shared" si="38"/>
        <v>E</v>
      </c>
      <c r="P407" s="10" t="str">
        <f t="shared" si="39"/>
        <v>50</v>
      </c>
      <c r="Q407" s="10" t="str">
        <f t="shared" si="40"/>
        <v>ZRPI</v>
      </c>
      <c r="R407" s="10" t="str">
        <f t="shared" si="41"/>
        <v>39121103</v>
      </c>
    </row>
    <row r="408" spans="1:18" ht="25.5" hidden="1" x14ac:dyDescent="0.2">
      <c r="A408" s="21" t="s">
        <v>3382</v>
      </c>
      <c r="B408" s="8" t="s">
        <v>3381</v>
      </c>
      <c r="C408" s="8" t="s">
        <v>40</v>
      </c>
      <c r="D408" s="8" t="s">
        <v>78</v>
      </c>
      <c r="E408" s="8" t="s">
        <v>40</v>
      </c>
      <c r="F408" s="8" t="s">
        <v>39</v>
      </c>
      <c r="G408" s="8" t="s">
        <v>240</v>
      </c>
      <c r="H408" s="8" t="s">
        <v>37</v>
      </c>
      <c r="I408" s="8" t="s">
        <v>53</v>
      </c>
      <c r="J408" s="8" t="s">
        <v>46</v>
      </c>
      <c r="K408" s="8" t="s">
        <v>1817</v>
      </c>
      <c r="L408" s="7">
        <v>7146</v>
      </c>
      <c r="M408" s="10" t="str">
        <f t="shared" si="36"/>
        <v>CMI02090400</v>
      </c>
      <c r="N408" s="10" t="str">
        <f t="shared" si="37"/>
        <v>REP201000</v>
      </c>
      <c r="O408" s="10" t="str">
        <f t="shared" si="38"/>
        <v>E</v>
      </c>
      <c r="P408" s="10" t="str">
        <f t="shared" si="39"/>
        <v>50</v>
      </c>
      <c r="Q408" s="10" t="str">
        <f t="shared" si="40"/>
        <v>ZRPI</v>
      </c>
      <c r="R408" s="10" t="str">
        <f t="shared" si="41"/>
        <v>39121000</v>
      </c>
    </row>
    <row r="409" spans="1:18" ht="25.5" hidden="1" x14ac:dyDescent="0.2">
      <c r="A409" s="21" t="s">
        <v>3380</v>
      </c>
      <c r="B409" s="8" t="s">
        <v>3379</v>
      </c>
      <c r="C409" s="8" t="s">
        <v>40</v>
      </c>
      <c r="D409" s="8" t="s">
        <v>78</v>
      </c>
      <c r="E409" s="7">
        <v>6</v>
      </c>
      <c r="F409" s="8" t="s">
        <v>39</v>
      </c>
      <c r="G409" s="8" t="s">
        <v>240</v>
      </c>
      <c r="H409" s="8" t="s">
        <v>37</v>
      </c>
      <c r="I409" s="8" t="s">
        <v>53</v>
      </c>
      <c r="J409" s="8" t="s">
        <v>46</v>
      </c>
      <c r="K409" s="8" t="s">
        <v>3378</v>
      </c>
      <c r="L409" s="7">
        <v>7147</v>
      </c>
      <c r="M409" s="10" t="str">
        <f t="shared" si="36"/>
        <v>CMI02090400</v>
      </c>
      <c r="N409" s="10" t="str">
        <f t="shared" si="37"/>
        <v>REP201000</v>
      </c>
      <c r="O409" s="10" t="str">
        <f t="shared" si="38"/>
        <v>E</v>
      </c>
      <c r="P409" s="10" t="str">
        <f t="shared" si="39"/>
        <v>50</v>
      </c>
      <c r="Q409" s="10" t="str">
        <f t="shared" si="40"/>
        <v>ZRPI</v>
      </c>
      <c r="R409" s="10" t="str">
        <f t="shared" si="41"/>
        <v>39121610</v>
      </c>
    </row>
    <row r="410" spans="1:18" ht="25.5" hidden="1" x14ac:dyDescent="0.2">
      <c r="A410" s="21" t="s">
        <v>3377</v>
      </c>
      <c r="B410" s="8" t="s">
        <v>3376</v>
      </c>
      <c r="C410" s="8" t="s">
        <v>40</v>
      </c>
      <c r="D410" s="8" t="s">
        <v>241</v>
      </c>
      <c r="E410" s="8" t="s">
        <v>40</v>
      </c>
      <c r="F410" s="8" t="s">
        <v>39</v>
      </c>
      <c r="G410" s="8" t="s">
        <v>240</v>
      </c>
      <c r="H410" s="8" t="s">
        <v>37</v>
      </c>
      <c r="I410" s="8" t="s">
        <v>53</v>
      </c>
      <c r="J410" s="8" t="s">
        <v>46</v>
      </c>
      <c r="K410" s="8" t="s">
        <v>3375</v>
      </c>
      <c r="L410" s="7">
        <v>7148</v>
      </c>
      <c r="M410" s="10" t="str">
        <f t="shared" si="36"/>
        <v>CMI02090300</v>
      </c>
      <c r="N410" s="10" t="str">
        <f t="shared" si="37"/>
        <v>REP201000</v>
      </c>
      <c r="O410" s="10" t="str">
        <f t="shared" si="38"/>
        <v>E</v>
      </c>
      <c r="P410" s="10" t="str">
        <f t="shared" si="39"/>
        <v>50</v>
      </c>
      <c r="Q410" s="10" t="str">
        <f t="shared" si="40"/>
        <v>ZRPI</v>
      </c>
      <c r="R410" s="10" t="str">
        <f t="shared" si="41"/>
        <v>39122335</v>
      </c>
    </row>
    <row r="411" spans="1:18" ht="25.5" hidden="1" x14ac:dyDescent="0.2">
      <c r="A411" s="21" t="s">
        <v>3374</v>
      </c>
      <c r="B411" s="8" t="s">
        <v>3373</v>
      </c>
      <c r="C411" s="8" t="s">
        <v>40</v>
      </c>
      <c r="D411" s="8" t="s">
        <v>241</v>
      </c>
      <c r="E411" s="8" t="s">
        <v>40</v>
      </c>
      <c r="F411" s="8" t="s">
        <v>39</v>
      </c>
      <c r="G411" s="8" t="s">
        <v>240</v>
      </c>
      <c r="H411" s="8" t="s">
        <v>37</v>
      </c>
      <c r="I411" s="8" t="s">
        <v>53</v>
      </c>
      <c r="J411" s="8" t="s">
        <v>46</v>
      </c>
      <c r="K411" s="8" t="s">
        <v>3372</v>
      </c>
      <c r="L411" s="7">
        <v>7149</v>
      </c>
      <c r="M411" s="10" t="str">
        <f t="shared" si="36"/>
        <v>CMI02090300</v>
      </c>
      <c r="N411" s="10" t="str">
        <f t="shared" si="37"/>
        <v>REP201000</v>
      </c>
      <c r="O411" s="10" t="str">
        <f t="shared" si="38"/>
        <v>E</v>
      </c>
      <c r="P411" s="10" t="str">
        <f t="shared" si="39"/>
        <v>50</v>
      </c>
      <c r="Q411" s="10" t="str">
        <f t="shared" si="40"/>
        <v>ZRPI</v>
      </c>
      <c r="R411" s="10" t="str">
        <f t="shared" si="41"/>
        <v>39121706</v>
      </c>
    </row>
    <row r="412" spans="1:18" ht="38.25" hidden="1" x14ac:dyDescent="0.2">
      <c r="A412" s="21" t="s">
        <v>3371</v>
      </c>
      <c r="B412" s="8" t="s">
        <v>3370</v>
      </c>
      <c r="C412" s="8" t="s">
        <v>40</v>
      </c>
      <c r="D412" s="8" t="s">
        <v>241</v>
      </c>
      <c r="E412" s="7">
        <v>6</v>
      </c>
      <c r="F412" s="8" t="s">
        <v>39</v>
      </c>
      <c r="G412" s="8" t="s">
        <v>54</v>
      </c>
      <c r="H412" s="8" t="s">
        <v>37</v>
      </c>
      <c r="I412" s="8" t="s">
        <v>53</v>
      </c>
      <c r="J412" s="8" t="s">
        <v>46</v>
      </c>
      <c r="K412" s="8" t="s">
        <v>3369</v>
      </c>
      <c r="L412" s="7">
        <v>7150</v>
      </c>
      <c r="M412" s="10" t="str">
        <f t="shared" si="36"/>
        <v>CMI02090300</v>
      </c>
      <c r="N412" s="10" t="str">
        <f t="shared" si="37"/>
        <v>REP201100</v>
      </c>
      <c r="O412" s="10" t="str">
        <f t="shared" si="38"/>
        <v>E</v>
      </c>
      <c r="P412" s="10" t="str">
        <f t="shared" si="39"/>
        <v>50</v>
      </c>
      <c r="Q412" s="10" t="str">
        <f t="shared" si="40"/>
        <v>ZRPI</v>
      </c>
      <c r="R412" s="10" t="str">
        <f t="shared" si="41"/>
        <v>24102000</v>
      </c>
    </row>
    <row r="413" spans="1:18" ht="25.5" hidden="1" x14ac:dyDescent="0.2">
      <c r="A413" s="21" t="s">
        <v>3368</v>
      </c>
      <c r="B413" s="8" t="s">
        <v>3367</v>
      </c>
      <c r="C413" s="8" t="s">
        <v>40</v>
      </c>
      <c r="D413" s="8" t="s">
        <v>78</v>
      </c>
      <c r="E413" s="8" t="s">
        <v>40</v>
      </c>
      <c r="F413" s="8" t="s">
        <v>39</v>
      </c>
      <c r="G413" s="8" t="s">
        <v>240</v>
      </c>
      <c r="H413" s="8" t="s">
        <v>37</v>
      </c>
      <c r="I413" s="8" t="s">
        <v>53</v>
      </c>
      <c r="J413" s="8" t="s">
        <v>46</v>
      </c>
      <c r="K413" s="8" t="s">
        <v>3366</v>
      </c>
      <c r="L413" s="7">
        <v>7151</v>
      </c>
      <c r="M413" s="10" t="str">
        <f t="shared" si="36"/>
        <v>CMI02090400</v>
      </c>
      <c r="N413" s="10" t="str">
        <f t="shared" si="37"/>
        <v>REP201000</v>
      </c>
      <c r="O413" s="10" t="str">
        <f t="shared" si="38"/>
        <v>E</v>
      </c>
      <c r="P413" s="10" t="str">
        <f t="shared" si="39"/>
        <v>50</v>
      </c>
      <c r="Q413" s="10" t="str">
        <f t="shared" si="40"/>
        <v>ZRPI</v>
      </c>
      <c r="R413" s="10" t="str">
        <f t="shared" si="41"/>
        <v>40151800</v>
      </c>
    </row>
    <row r="414" spans="1:18" ht="25.5" hidden="1" x14ac:dyDescent="0.2">
      <c r="A414" s="21" t="s">
        <v>3365</v>
      </c>
      <c r="B414" s="8" t="s">
        <v>3364</v>
      </c>
      <c r="C414" s="8" t="s">
        <v>40</v>
      </c>
      <c r="D414" s="8" t="s">
        <v>241</v>
      </c>
      <c r="E414" s="8" t="s">
        <v>40</v>
      </c>
      <c r="F414" s="8" t="s">
        <v>39</v>
      </c>
      <c r="G414" s="8" t="s">
        <v>240</v>
      </c>
      <c r="H414" s="8" t="s">
        <v>37</v>
      </c>
      <c r="I414" s="8" t="s">
        <v>53</v>
      </c>
      <c r="J414" s="8" t="s">
        <v>46</v>
      </c>
      <c r="K414" s="8" t="s">
        <v>1732</v>
      </c>
      <c r="L414" s="7">
        <v>7152</v>
      </c>
      <c r="M414" s="10" t="str">
        <f t="shared" si="36"/>
        <v>CMI02090300</v>
      </c>
      <c r="N414" s="10" t="str">
        <f t="shared" si="37"/>
        <v>REP201000</v>
      </c>
      <c r="O414" s="10" t="str">
        <f t="shared" si="38"/>
        <v>E</v>
      </c>
      <c r="P414" s="10" t="str">
        <f t="shared" si="39"/>
        <v>50</v>
      </c>
      <c r="Q414" s="10" t="str">
        <f t="shared" si="40"/>
        <v>ZRPI</v>
      </c>
      <c r="R414" s="10" t="str">
        <f t="shared" si="41"/>
        <v>39121402</v>
      </c>
    </row>
    <row r="415" spans="1:18" ht="25.5" hidden="1" x14ac:dyDescent="0.2">
      <c r="A415" s="21" t="s">
        <v>3363</v>
      </c>
      <c r="B415" s="8" t="s">
        <v>3362</v>
      </c>
      <c r="C415" s="8" t="s">
        <v>40</v>
      </c>
      <c r="D415" s="8" t="s">
        <v>241</v>
      </c>
      <c r="E415" s="8" t="s">
        <v>40</v>
      </c>
      <c r="F415" s="8" t="s">
        <v>39</v>
      </c>
      <c r="G415" s="8" t="s">
        <v>240</v>
      </c>
      <c r="H415" s="8" t="s">
        <v>37</v>
      </c>
      <c r="I415" s="8" t="s">
        <v>53</v>
      </c>
      <c r="J415" s="8" t="s">
        <v>46</v>
      </c>
      <c r="K415" s="8" t="s">
        <v>3113</v>
      </c>
      <c r="L415" s="7">
        <v>7153</v>
      </c>
      <c r="M415" s="10" t="str">
        <f t="shared" si="36"/>
        <v>CMI02090300</v>
      </c>
      <c r="N415" s="10" t="str">
        <f t="shared" si="37"/>
        <v>REP201000</v>
      </c>
      <c r="O415" s="10" t="str">
        <f t="shared" si="38"/>
        <v>E</v>
      </c>
      <c r="P415" s="10" t="str">
        <f t="shared" si="39"/>
        <v>50</v>
      </c>
      <c r="Q415" s="10" t="str">
        <f t="shared" si="40"/>
        <v>ZRPI</v>
      </c>
      <c r="R415" s="10" t="str">
        <f t="shared" si="41"/>
        <v>39121522</v>
      </c>
    </row>
    <row r="416" spans="1:18" ht="25.5" hidden="1" x14ac:dyDescent="0.2">
      <c r="A416" s="21" t="s">
        <v>3361</v>
      </c>
      <c r="B416" s="8" t="s">
        <v>3360</v>
      </c>
      <c r="C416" s="8" t="s">
        <v>40</v>
      </c>
      <c r="D416" s="8" t="s">
        <v>969</v>
      </c>
      <c r="E416" s="8" t="s">
        <v>40</v>
      </c>
      <c r="F416" s="8" t="s">
        <v>39</v>
      </c>
      <c r="G416" s="8" t="s">
        <v>240</v>
      </c>
      <c r="H416" s="8" t="s">
        <v>37</v>
      </c>
      <c r="I416" s="8" t="s">
        <v>53</v>
      </c>
      <c r="J416" s="8" t="s">
        <v>46</v>
      </c>
      <c r="K416" s="8" t="s">
        <v>2305</v>
      </c>
      <c r="L416" s="7">
        <v>7154</v>
      </c>
      <c r="M416" s="10" t="str">
        <f t="shared" si="36"/>
        <v>CMI02051200</v>
      </c>
      <c r="N416" s="10" t="str">
        <f t="shared" si="37"/>
        <v>REP201000</v>
      </c>
      <c r="O416" s="10" t="str">
        <f t="shared" si="38"/>
        <v>E</v>
      </c>
      <c r="P416" s="10" t="str">
        <f t="shared" si="39"/>
        <v>50</v>
      </c>
      <c r="Q416" s="10" t="str">
        <f t="shared" si="40"/>
        <v>ZRPI</v>
      </c>
      <c r="R416" s="10" t="str">
        <f t="shared" si="41"/>
        <v>40141700</v>
      </c>
    </row>
    <row r="417" spans="1:18" ht="25.5" hidden="1" x14ac:dyDescent="0.2">
      <c r="A417" s="21" t="s">
        <v>3359</v>
      </c>
      <c r="B417" s="8" t="s">
        <v>3358</v>
      </c>
      <c r="C417" s="8" t="s">
        <v>40</v>
      </c>
      <c r="D417" s="8" t="s">
        <v>78</v>
      </c>
      <c r="E417" s="7">
        <v>6</v>
      </c>
      <c r="F417" s="8" t="s">
        <v>39</v>
      </c>
      <c r="G417" s="8" t="s">
        <v>240</v>
      </c>
      <c r="H417" s="8" t="s">
        <v>37</v>
      </c>
      <c r="I417" s="8" t="s">
        <v>53</v>
      </c>
      <c r="J417" s="8" t="s">
        <v>46</v>
      </c>
      <c r="K417" s="8" t="s">
        <v>3357</v>
      </c>
      <c r="L417" s="7">
        <v>7155</v>
      </c>
      <c r="M417" s="10" t="str">
        <f t="shared" si="36"/>
        <v>CMI02090400</v>
      </c>
      <c r="N417" s="10" t="str">
        <f t="shared" si="37"/>
        <v>REP201000</v>
      </c>
      <c r="O417" s="10" t="str">
        <f t="shared" si="38"/>
        <v>E</v>
      </c>
      <c r="P417" s="10" t="str">
        <f t="shared" si="39"/>
        <v>50</v>
      </c>
      <c r="Q417" s="10" t="str">
        <f t="shared" si="40"/>
        <v>ZRPI</v>
      </c>
      <c r="R417" s="10" t="str">
        <f t="shared" si="41"/>
        <v>32101513</v>
      </c>
    </row>
    <row r="418" spans="1:18" ht="25.5" hidden="1" x14ac:dyDescent="0.2">
      <c r="A418" s="21" t="s">
        <v>3356</v>
      </c>
      <c r="B418" s="8" t="s">
        <v>3355</v>
      </c>
      <c r="C418" s="8" t="s">
        <v>40</v>
      </c>
      <c r="D418" s="8" t="s">
        <v>969</v>
      </c>
      <c r="E418" s="8" t="s">
        <v>40</v>
      </c>
      <c r="F418" s="8" t="s">
        <v>39</v>
      </c>
      <c r="G418" s="8" t="s">
        <v>240</v>
      </c>
      <c r="H418" s="8" t="s">
        <v>37</v>
      </c>
      <c r="I418" s="8" t="s">
        <v>53</v>
      </c>
      <c r="J418" s="8" t="s">
        <v>46</v>
      </c>
      <c r="K418" s="8" t="s">
        <v>3354</v>
      </c>
      <c r="L418" s="7">
        <v>7156</v>
      </c>
      <c r="M418" s="10" t="str">
        <f t="shared" si="36"/>
        <v>CMI02051200</v>
      </c>
      <c r="N418" s="10" t="str">
        <f t="shared" si="37"/>
        <v>REP201000</v>
      </c>
      <c r="O418" s="10" t="str">
        <f t="shared" si="38"/>
        <v>E</v>
      </c>
      <c r="P418" s="10" t="str">
        <f t="shared" si="39"/>
        <v>50</v>
      </c>
      <c r="Q418" s="10" t="str">
        <f t="shared" si="40"/>
        <v>ZRPI</v>
      </c>
      <c r="R418" s="10" t="str">
        <f t="shared" si="41"/>
        <v>39121618</v>
      </c>
    </row>
    <row r="419" spans="1:18" ht="25.5" hidden="1" x14ac:dyDescent="0.2">
      <c r="A419" s="21" t="s">
        <v>3353</v>
      </c>
      <c r="B419" s="8" t="s">
        <v>3352</v>
      </c>
      <c r="C419" s="8" t="s">
        <v>40</v>
      </c>
      <c r="D419" s="8" t="s">
        <v>969</v>
      </c>
      <c r="E419" s="8" t="s">
        <v>40</v>
      </c>
      <c r="F419" s="8" t="s">
        <v>39</v>
      </c>
      <c r="G419" s="8" t="s">
        <v>240</v>
      </c>
      <c r="H419" s="8" t="s">
        <v>37</v>
      </c>
      <c r="I419" s="8" t="s">
        <v>53</v>
      </c>
      <c r="J419" s="8" t="s">
        <v>46</v>
      </c>
      <c r="K419" s="8" t="s">
        <v>3351</v>
      </c>
      <c r="L419" s="7">
        <v>7157</v>
      </c>
      <c r="M419" s="10" t="str">
        <f t="shared" si="36"/>
        <v>CMI02051200</v>
      </c>
      <c r="N419" s="10" t="str">
        <f t="shared" si="37"/>
        <v>REP201000</v>
      </c>
      <c r="O419" s="10" t="str">
        <f t="shared" si="38"/>
        <v>E</v>
      </c>
      <c r="P419" s="10" t="str">
        <f t="shared" si="39"/>
        <v>50</v>
      </c>
      <c r="Q419" s="10" t="str">
        <f t="shared" si="40"/>
        <v>ZRPI</v>
      </c>
      <c r="R419" s="10" t="str">
        <f t="shared" si="41"/>
        <v>39121606</v>
      </c>
    </row>
    <row r="420" spans="1:18" ht="25.5" hidden="1" x14ac:dyDescent="0.2">
      <c r="A420" s="21" t="s">
        <v>3350</v>
      </c>
      <c r="B420" s="8" t="s">
        <v>3349</v>
      </c>
      <c r="C420" s="8" t="s">
        <v>40</v>
      </c>
      <c r="D420" s="8" t="s">
        <v>969</v>
      </c>
      <c r="E420" s="8" t="s">
        <v>40</v>
      </c>
      <c r="F420" s="8" t="s">
        <v>39</v>
      </c>
      <c r="G420" s="8" t="s">
        <v>240</v>
      </c>
      <c r="H420" s="8" t="s">
        <v>37</v>
      </c>
      <c r="I420" s="8" t="s">
        <v>53</v>
      </c>
      <c r="J420" s="8" t="s">
        <v>46</v>
      </c>
      <c r="K420" s="8" t="s">
        <v>3348</v>
      </c>
      <c r="L420" s="7">
        <v>7158</v>
      </c>
      <c r="M420" s="10" t="str">
        <f t="shared" si="36"/>
        <v>CMI02051200</v>
      </c>
      <c r="N420" s="10" t="str">
        <f t="shared" si="37"/>
        <v>REP201000</v>
      </c>
      <c r="O420" s="10" t="str">
        <f t="shared" si="38"/>
        <v>E</v>
      </c>
      <c r="P420" s="10" t="str">
        <f t="shared" si="39"/>
        <v>50</v>
      </c>
      <c r="Q420" s="10" t="str">
        <f t="shared" si="40"/>
        <v>ZRPI</v>
      </c>
      <c r="R420" s="10" t="str">
        <f t="shared" si="41"/>
        <v>39121611</v>
      </c>
    </row>
    <row r="421" spans="1:18" ht="25.5" hidden="1" x14ac:dyDescent="0.2">
      <c r="A421" s="21" t="s">
        <v>3347</v>
      </c>
      <c r="B421" s="8" t="s">
        <v>3346</v>
      </c>
      <c r="C421" s="8" t="s">
        <v>40</v>
      </c>
      <c r="D421" s="8" t="s">
        <v>969</v>
      </c>
      <c r="E421" s="8" t="s">
        <v>40</v>
      </c>
      <c r="F421" s="8" t="s">
        <v>39</v>
      </c>
      <c r="G421" s="8" t="s">
        <v>240</v>
      </c>
      <c r="H421" s="8" t="s">
        <v>37</v>
      </c>
      <c r="I421" s="8" t="s">
        <v>53</v>
      </c>
      <c r="J421" s="8" t="s">
        <v>46</v>
      </c>
      <c r="K421" s="8" t="s">
        <v>3345</v>
      </c>
      <c r="L421" s="7">
        <v>7159</v>
      </c>
      <c r="M421" s="10" t="str">
        <f t="shared" si="36"/>
        <v>CMI02051200</v>
      </c>
      <c r="N421" s="10" t="str">
        <f t="shared" si="37"/>
        <v>REP201000</v>
      </c>
      <c r="O421" s="10" t="str">
        <f t="shared" si="38"/>
        <v>E</v>
      </c>
      <c r="P421" s="10" t="str">
        <f t="shared" si="39"/>
        <v>50</v>
      </c>
      <c r="Q421" s="10" t="str">
        <f t="shared" si="40"/>
        <v>ZRPI</v>
      </c>
      <c r="R421" s="10" t="str">
        <f t="shared" si="41"/>
        <v>39121619</v>
      </c>
    </row>
    <row r="422" spans="1:18" ht="25.5" hidden="1" x14ac:dyDescent="0.2">
      <c r="A422" s="21" t="s">
        <v>3344</v>
      </c>
      <c r="B422" s="8" t="s">
        <v>3343</v>
      </c>
      <c r="C422" s="8" t="s">
        <v>40</v>
      </c>
      <c r="D422" s="8" t="s">
        <v>969</v>
      </c>
      <c r="E422" s="8" t="s">
        <v>40</v>
      </c>
      <c r="F422" s="8" t="s">
        <v>39</v>
      </c>
      <c r="G422" s="8" t="s">
        <v>240</v>
      </c>
      <c r="H422" s="8" t="s">
        <v>37</v>
      </c>
      <c r="I422" s="8" t="s">
        <v>53</v>
      </c>
      <c r="J422" s="8" t="s">
        <v>46</v>
      </c>
      <c r="K422" s="8" t="s">
        <v>3089</v>
      </c>
      <c r="L422" s="7">
        <v>7160</v>
      </c>
      <c r="M422" s="10" t="str">
        <f t="shared" si="36"/>
        <v>CMI02051200</v>
      </c>
      <c r="N422" s="10" t="str">
        <f t="shared" si="37"/>
        <v>REP201000</v>
      </c>
      <c r="O422" s="10" t="str">
        <f t="shared" si="38"/>
        <v>E</v>
      </c>
      <c r="P422" s="10" t="str">
        <f t="shared" si="39"/>
        <v>50</v>
      </c>
      <c r="Q422" s="10" t="str">
        <f t="shared" si="40"/>
        <v>ZRPI</v>
      </c>
      <c r="R422" s="10" t="str">
        <f t="shared" si="41"/>
        <v>39121604</v>
      </c>
    </row>
    <row r="423" spans="1:18" ht="25.5" hidden="1" x14ac:dyDescent="0.2">
      <c r="A423" s="21" t="s">
        <v>3342</v>
      </c>
      <c r="B423" s="8" t="s">
        <v>3090</v>
      </c>
      <c r="C423" s="8" t="s">
        <v>40</v>
      </c>
      <c r="D423" s="8" t="s">
        <v>969</v>
      </c>
      <c r="E423" s="8" t="s">
        <v>40</v>
      </c>
      <c r="F423" s="8" t="s">
        <v>39</v>
      </c>
      <c r="G423" s="8" t="s">
        <v>240</v>
      </c>
      <c r="H423" s="8" t="s">
        <v>37</v>
      </c>
      <c r="I423" s="8" t="s">
        <v>53</v>
      </c>
      <c r="J423" s="8" t="s">
        <v>46</v>
      </c>
      <c r="K423" s="8" t="s">
        <v>3341</v>
      </c>
      <c r="L423" s="7">
        <v>7161</v>
      </c>
      <c r="M423" s="10" t="str">
        <f t="shared" si="36"/>
        <v>CMI02051200</v>
      </c>
      <c r="N423" s="10" t="str">
        <f t="shared" si="37"/>
        <v>REP201000</v>
      </c>
      <c r="O423" s="10" t="str">
        <f t="shared" si="38"/>
        <v>E</v>
      </c>
      <c r="P423" s="10" t="str">
        <f t="shared" si="39"/>
        <v>50</v>
      </c>
      <c r="Q423" s="10" t="str">
        <f t="shared" si="40"/>
        <v>ZRPI</v>
      </c>
      <c r="R423" s="10" t="str">
        <f t="shared" si="41"/>
        <v>39121628</v>
      </c>
    </row>
    <row r="424" spans="1:18" ht="25.5" hidden="1" x14ac:dyDescent="0.2">
      <c r="A424" s="21" t="s">
        <v>3340</v>
      </c>
      <c r="B424" s="8" t="s">
        <v>3339</v>
      </c>
      <c r="C424" s="8" t="s">
        <v>40</v>
      </c>
      <c r="D424" s="8" t="s">
        <v>969</v>
      </c>
      <c r="E424" s="8" t="s">
        <v>40</v>
      </c>
      <c r="F424" s="8" t="s">
        <v>39</v>
      </c>
      <c r="G424" s="8" t="s">
        <v>240</v>
      </c>
      <c r="H424" s="8" t="s">
        <v>37</v>
      </c>
      <c r="I424" s="8" t="s">
        <v>53</v>
      </c>
      <c r="J424" s="8" t="s">
        <v>46</v>
      </c>
      <c r="K424" s="8" t="s">
        <v>3338</v>
      </c>
      <c r="L424" s="7">
        <v>7162</v>
      </c>
      <c r="M424" s="10" t="str">
        <f t="shared" si="36"/>
        <v>CMI02051200</v>
      </c>
      <c r="N424" s="10" t="str">
        <f t="shared" si="37"/>
        <v>REP201000</v>
      </c>
      <c r="O424" s="10" t="str">
        <f t="shared" si="38"/>
        <v>E</v>
      </c>
      <c r="P424" s="10" t="str">
        <f t="shared" si="39"/>
        <v>50</v>
      </c>
      <c r="Q424" s="10" t="str">
        <f t="shared" si="40"/>
        <v>ZRPI</v>
      </c>
      <c r="R424" s="10" t="str">
        <f t="shared" si="41"/>
        <v>39121624</v>
      </c>
    </row>
    <row r="425" spans="1:18" ht="25.5" hidden="1" x14ac:dyDescent="0.2">
      <c r="A425" s="21" t="s">
        <v>3337</v>
      </c>
      <c r="B425" s="8" t="s">
        <v>3336</v>
      </c>
      <c r="C425" s="8" t="s">
        <v>40</v>
      </c>
      <c r="D425" s="8" t="s">
        <v>969</v>
      </c>
      <c r="E425" s="8" t="s">
        <v>40</v>
      </c>
      <c r="F425" s="8" t="s">
        <v>39</v>
      </c>
      <c r="G425" s="8" t="s">
        <v>240</v>
      </c>
      <c r="H425" s="8" t="s">
        <v>37</v>
      </c>
      <c r="I425" s="8" t="s">
        <v>53</v>
      </c>
      <c r="J425" s="8" t="s">
        <v>46</v>
      </c>
      <c r="K425" s="8" t="s">
        <v>3335</v>
      </c>
      <c r="L425" s="7">
        <v>7163</v>
      </c>
      <c r="M425" s="10" t="str">
        <f t="shared" si="36"/>
        <v>CMI02051200</v>
      </c>
      <c r="N425" s="10" t="str">
        <f t="shared" si="37"/>
        <v>REP201000</v>
      </c>
      <c r="O425" s="10" t="str">
        <f t="shared" si="38"/>
        <v>E</v>
      </c>
      <c r="P425" s="10" t="str">
        <f t="shared" si="39"/>
        <v>50</v>
      </c>
      <c r="Q425" s="10" t="str">
        <f t="shared" si="40"/>
        <v>ZRPI</v>
      </c>
      <c r="R425" s="10" t="str">
        <f t="shared" si="41"/>
        <v>26101414</v>
      </c>
    </row>
    <row r="426" spans="1:18" ht="25.5" hidden="1" x14ac:dyDescent="0.2">
      <c r="A426" s="21" t="s">
        <v>3334</v>
      </c>
      <c r="B426" s="8" t="s">
        <v>3333</v>
      </c>
      <c r="C426" s="8" t="s">
        <v>40</v>
      </c>
      <c r="D426" s="8" t="s">
        <v>969</v>
      </c>
      <c r="E426" s="8" t="s">
        <v>40</v>
      </c>
      <c r="F426" s="8" t="s">
        <v>39</v>
      </c>
      <c r="G426" s="8" t="s">
        <v>240</v>
      </c>
      <c r="H426" s="8" t="s">
        <v>37</v>
      </c>
      <c r="I426" s="8" t="s">
        <v>53</v>
      </c>
      <c r="J426" s="8" t="s">
        <v>46</v>
      </c>
      <c r="K426" s="8" t="s">
        <v>3332</v>
      </c>
      <c r="L426" s="7">
        <v>7164</v>
      </c>
      <c r="M426" s="10" t="str">
        <f t="shared" si="36"/>
        <v>CMI02051200</v>
      </c>
      <c r="N426" s="10" t="str">
        <f t="shared" si="37"/>
        <v>REP201000</v>
      </c>
      <c r="O426" s="10" t="str">
        <f t="shared" si="38"/>
        <v>E</v>
      </c>
      <c r="P426" s="10" t="str">
        <f t="shared" si="39"/>
        <v>50</v>
      </c>
      <c r="Q426" s="10" t="str">
        <f t="shared" si="40"/>
        <v>ZRPI</v>
      </c>
      <c r="R426" s="10" t="str">
        <f t="shared" si="41"/>
        <v>32111503</v>
      </c>
    </row>
    <row r="427" spans="1:18" ht="25.5" hidden="1" x14ac:dyDescent="0.2">
      <c r="A427" s="21" t="s">
        <v>3331</v>
      </c>
      <c r="B427" s="8" t="s">
        <v>3330</v>
      </c>
      <c r="C427" s="8" t="s">
        <v>40</v>
      </c>
      <c r="D427" s="8" t="s">
        <v>969</v>
      </c>
      <c r="E427" s="8" t="s">
        <v>40</v>
      </c>
      <c r="F427" s="8" t="s">
        <v>39</v>
      </c>
      <c r="G427" s="8" t="s">
        <v>240</v>
      </c>
      <c r="H427" s="8" t="s">
        <v>37</v>
      </c>
      <c r="I427" s="8" t="s">
        <v>53</v>
      </c>
      <c r="J427" s="8" t="s">
        <v>46</v>
      </c>
      <c r="K427" s="8" t="s">
        <v>3329</v>
      </c>
      <c r="L427" s="7">
        <v>7165</v>
      </c>
      <c r="M427" s="10" t="str">
        <f t="shared" si="36"/>
        <v>CMI02051200</v>
      </c>
      <c r="N427" s="10" t="str">
        <f t="shared" si="37"/>
        <v>REP201000</v>
      </c>
      <c r="O427" s="10" t="str">
        <f t="shared" si="38"/>
        <v>E</v>
      </c>
      <c r="P427" s="10" t="str">
        <f t="shared" si="39"/>
        <v>50</v>
      </c>
      <c r="Q427" s="10" t="str">
        <f t="shared" si="40"/>
        <v>ZRPI</v>
      </c>
      <c r="R427" s="10" t="str">
        <f t="shared" si="41"/>
        <v>32151502</v>
      </c>
    </row>
    <row r="428" spans="1:18" ht="25.5" hidden="1" x14ac:dyDescent="0.2">
      <c r="A428" s="21" t="s">
        <v>3328</v>
      </c>
      <c r="B428" s="8" t="s">
        <v>3327</v>
      </c>
      <c r="C428" s="8" t="s">
        <v>40</v>
      </c>
      <c r="D428" s="8" t="s">
        <v>969</v>
      </c>
      <c r="E428" s="8" t="s">
        <v>40</v>
      </c>
      <c r="F428" s="8" t="s">
        <v>39</v>
      </c>
      <c r="G428" s="8" t="s">
        <v>240</v>
      </c>
      <c r="H428" s="8" t="s">
        <v>37</v>
      </c>
      <c r="I428" s="8" t="s">
        <v>53</v>
      </c>
      <c r="J428" s="8" t="s">
        <v>46</v>
      </c>
      <c r="K428" s="8" t="s">
        <v>2931</v>
      </c>
      <c r="L428" s="7">
        <v>7166</v>
      </c>
      <c r="M428" s="10" t="str">
        <f t="shared" si="36"/>
        <v>CMI02051200</v>
      </c>
      <c r="N428" s="10" t="str">
        <f t="shared" si="37"/>
        <v>REP201000</v>
      </c>
      <c r="O428" s="10" t="str">
        <f t="shared" si="38"/>
        <v>E</v>
      </c>
      <c r="P428" s="10" t="str">
        <f t="shared" si="39"/>
        <v>50</v>
      </c>
      <c r="Q428" s="10" t="str">
        <f t="shared" si="40"/>
        <v>ZRPI</v>
      </c>
      <c r="R428" s="10" t="str">
        <f t="shared" si="41"/>
        <v>32101600</v>
      </c>
    </row>
    <row r="429" spans="1:18" ht="25.5" hidden="1" x14ac:dyDescent="0.2">
      <c r="A429" s="21" t="s">
        <v>3326</v>
      </c>
      <c r="B429" s="8" t="s">
        <v>3325</v>
      </c>
      <c r="C429" s="8" t="s">
        <v>40</v>
      </c>
      <c r="D429" s="8" t="s">
        <v>969</v>
      </c>
      <c r="E429" s="8" t="s">
        <v>40</v>
      </c>
      <c r="F429" s="8" t="s">
        <v>39</v>
      </c>
      <c r="G429" s="8" t="s">
        <v>240</v>
      </c>
      <c r="H429" s="8" t="s">
        <v>37</v>
      </c>
      <c r="I429" s="8" t="s">
        <v>53</v>
      </c>
      <c r="J429" s="8" t="s">
        <v>46</v>
      </c>
      <c r="K429" s="8" t="s">
        <v>3324</v>
      </c>
      <c r="L429" s="7">
        <v>7167</v>
      </c>
      <c r="M429" s="10" t="str">
        <f t="shared" si="36"/>
        <v>CMI02051200</v>
      </c>
      <c r="N429" s="10" t="str">
        <f t="shared" si="37"/>
        <v>REP201000</v>
      </c>
      <c r="O429" s="10" t="str">
        <f t="shared" si="38"/>
        <v>E</v>
      </c>
      <c r="P429" s="10" t="str">
        <f t="shared" si="39"/>
        <v>50</v>
      </c>
      <c r="Q429" s="10" t="str">
        <f t="shared" si="40"/>
        <v>ZRPI</v>
      </c>
      <c r="R429" s="10" t="str">
        <f t="shared" si="41"/>
        <v>32111701</v>
      </c>
    </row>
    <row r="430" spans="1:18" ht="25.5" hidden="1" x14ac:dyDescent="0.2">
      <c r="A430" s="21" t="s">
        <v>3323</v>
      </c>
      <c r="B430" s="8" t="s">
        <v>3322</v>
      </c>
      <c r="C430" s="8" t="s">
        <v>40</v>
      </c>
      <c r="D430" s="8" t="s">
        <v>969</v>
      </c>
      <c r="E430" s="7">
        <v>6</v>
      </c>
      <c r="F430" s="8" t="s">
        <v>39</v>
      </c>
      <c r="G430" s="8" t="s">
        <v>240</v>
      </c>
      <c r="H430" s="8" t="s">
        <v>37</v>
      </c>
      <c r="I430" s="8" t="s">
        <v>36</v>
      </c>
      <c r="J430" s="8" t="s">
        <v>46</v>
      </c>
      <c r="K430" s="8" t="s">
        <v>3321</v>
      </c>
      <c r="L430" s="7">
        <v>7168</v>
      </c>
      <c r="M430" s="10" t="str">
        <f t="shared" si="36"/>
        <v>CMI02051200</v>
      </c>
      <c r="N430" s="10" t="str">
        <f t="shared" si="37"/>
        <v>REP201000</v>
      </c>
      <c r="O430" s="10" t="str">
        <f t="shared" si="38"/>
        <v>E</v>
      </c>
      <c r="P430" s="10" t="str">
        <f t="shared" si="39"/>
        <v>10</v>
      </c>
      <c r="Q430" s="10" t="str">
        <f t="shared" si="40"/>
        <v>ZRPI</v>
      </c>
      <c r="R430" s="10" t="str">
        <f t="shared" si="41"/>
        <v>46182103</v>
      </c>
    </row>
    <row r="431" spans="1:18" ht="25.5" hidden="1" x14ac:dyDescent="0.2">
      <c r="A431" s="21" t="s">
        <v>3320</v>
      </c>
      <c r="B431" s="8" t="s">
        <v>3319</v>
      </c>
      <c r="C431" s="8" t="s">
        <v>40</v>
      </c>
      <c r="D431" s="8" t="s">
        <v>969</v>
      </c>
      <c r="E431" s="8" t="s">
        <v>40</v>
      </c>
      <c r="F431" s="8" t="s">
        <v>39</v>
      </c>
      <c r="G431" s="8" t="s">
        <v>240</v>
      </c>
      <c r="H431" s="8" t="s">
        <v>37</v>
      </c>
      <c r="I431" s="8" t="s">
        <v>53</v>
      </c>
      <c r="J431" s="8" t="s">
        <v>46</v>
      </c>
      <c r="K431" s="8" t="s">
        <v>3040</v>
      </c>
      <c r="L431" s="7">
        <v>7169</v>
      </c>
      <c r="M431" s="10" t="str">
        <f t="shared" si="36"/>
        <v>CMI02051200</v>
      </c>
      <c r="N431" s="10" t="str">
        <f t="shared" si="37"/>
        <v>REP201000</v>
      </c>
      <c r="O431" s="10" t="str">
        <f t="shared" si="38"/>
        <v>E</v>
      </c>
      <c r="P431" s="10" t="str">
        <f t="shared" si="39"/>
        <v>50</v>
      </c>
      <c r="Q431" s="10" t="str">
        <f t="shared" si="40"/>
        <v>ZRPI</v>
      </c>
      <c r="R431" s="10" t="str">
        <f t="shared" si="41"/>
        <v>39122330</v>
      </c>
    </row>
    <row r="432" spans="1:18" ht="25.5" hidden="1" x14ac:dyDescent="0.2">
      <c r="A432" s="21" t="s">
        <v>3318</v>
      </c>
      <c r="B432" s="8" t="s">
        <v>3317</v>
      </c>
      <c r="C432" s="8" t="s">
        <v>40</v>
      </c>
      <c r="D432" s="8" t="s">
        <v>241</v>
      </c>
      <c r="E432" s="8" t="s">
        <v>40</v>
      </c>
      <c r="F432" s="8" t="s">
        <v>39</v>
      </c>
      <c r="G432" s="8" t="s">
        <v>54</v>
      </c>
      <c r="H432" s="8" t="s">
        <v>37</v>
      </c>
      <c r="I432" s="8" t="s">
        <v>53</v>
      </c>
      <c r="J432" s="8" t="s">
        <v>46</v>
      </c>
      <c r="K432" s="8" t="s">
        <v>3316</v>
      </c>
      <c r="L432" s="7">
        <v>7170</v>
      </c>
      <c r="M432" s="10" t="str">
        <f t="shared" si="36"/>
        <v>CMI02090300</v>
      </c>
      <c r="N432" s="10" t="str">
        <f t="shared" si="37"/>
        <v>REP201100</v>
      </c>
      <c r="O432" s="10" t="str">
        <f t="shared" si="38"/>
        <v>E</v>
      </c>
      <c r="P432" s="10" t="str">
        <f t="shared" si="39"/>
        <v>50</v>
      </c>
      <c r="Q432" s="10" t="str">
        <f t="shared" si="40"/>
        <v>ZRPI</v>
      </c>
      <c r="R432" s="10" t="str">
        <f t="shared" si="41"/>
        <v>39121635</v>
      </c>
    </row>
    <row r="433" spans="1:18" ht="25.5" hidden="1" x14ac:dyDescent="0.2">
      <c r="A433" s="21" t="s">
        <v>3315</v>
      </c>
      <c r="B433" s="8" t="s">
        <v>3314</v>
      </c>
      <c r="C433" s="8" t="s">
        <v>40</v>
      </c>
      <c r="D433" s="8" t="s">
        <v>969</v>
      </c>
      <c r="E433" s="7">
        <v>6</v>
      </c>
      <c r="F433" s="8" t="s">
        <v>39</v>
      </c>
      <c r="G433" s="8" t="s">
        <v>240</v>
      </c>
      <c r="H433" s="8" t="s">
        <v>37</v>
      </c>
      <c r="I433" s="8" t="s">
        <v>36</v>
      </c>
      <c r="J433" s="8" t="s">
        <v>46</v>
      </c>
      <c r="K433" s="8" t="s">
        <v>3313</v>
      </c>
      <c r="L433" s="7">
        <v>7171</v>
      </c>
      <c r="M433" s="10" t="str">
        <f t="shared" si="36"/>
        <v>CMI02051200</v>
      </c>
      <c r="N433" s="10" t="str">
        <f t="shared" si="37"/>
        <v>REP201000</v>
      </c>
      <c r="O433" s="10" t="str">
        <f t="shared" si="38"/>
        <v>E</v>
      </c>
      <c r="P433" s="10" t="str">
        <f t="shared" si="39"/>
        <v>10</v>
      </c>
      <c r="Q433" s="10" t="str">
        <f t="shared" si="40"/>
        <v>ZRPI</v>
      </c>
      <c r="R433" s="10" t="str">
        <f t="shared" si="41"/>
        <v>39122221</v>
      </c>
    </row>
    <row r="434" spans="1:18" ht="25.5" hidden="1" x14ac:dyDescent="0.2">
      <c r="A434" s="21" t="s">
        <v>3312</v>
      </c>
      <c r="B434" s="8" t="s">
        <v>3311</v>
      </c>
      <c r="C434" s="8" t="s">
        <v>40</v>
      </c>
      <c r="D434" s="8" t="s">
        <v>969</v>
      </c>
      <c r="E434" s="8" t="s">
        <v>40</v>
      </c>
      <c r="F434" s="8" t="s">
        <v>39</v>
      </c>
      <c r="G434" s="8" t="s">
        <v>240</v>
      </c>
      <c r="H434" s="8" t="s">
        <v>37</v>
      </c>
      <c r="I434" s="8" t="s">
        <v>53</v>
      </c>
      <c r="J434" s="8" t="s">
        <v>46</v>
      </c>
      <c r="K434" s="8" t="s">
        <v>3040</v>
      </c>
      <c r="L434" s="7">
        <v>7172</v>
      </c>
      <c r="M434" s="10" t="str">
        <f t="shared" si="36"/>
        <v>CMI02051200</v>
      </c>
      <c r="N434" s="10" t="str">
        <f t="shared" si="37"/>
        <v>REP201000</v>
      </c>
      <c r="O434" s="10" t="str">
        <f t="shared" si="38"/>
        <v>E</v>
      </c>
      <c r="P434" s="10" t="str">
        <f t="shared" si="39"/>
        <v>50</v>
      </c>
      <c r="Q434" s="10" t="str">
        <f t="shared" si="40"/>
        <v>ZRPI</v>
      </c>
      <c r="R434" s="10" t="str">
        <f t="shared" si="41"/>
        <v>39122330</v>
      </c>
    </row>
    <row r="435" spans="1:18" ht="25.5" hidden="1" x14ac:dyDescent="0.2">
      <c r="A435" s="21" t="s">
        <v>3310</v>
      </c>
      <c r="B435" s="8" t="s">
        <v>3309</v>
      </c>
      <c r="C435" s="8" t="s">
        <v>40</v>
      </c>
      <c r="D435" s="8" t="s">
        <v>969</v>
      </c>
      <c r="E435" s="8" t="s">
        <v>40</v>
      </c>
      <c r="F435" s="8" t="s">
        <v>39</v>
      </c>
      <c r="G435" s="8" t="s">
        <v>240</v>
      </c>
      <c r="H435" s="8" t="s">
        <v>37</v>
      </c>
      <c r="I435" s="8" t="s">
        <v>53</v>
      </c>
      <c r="J435" s="8" t="s">
        <v>46</v>
      </c>
      <c r="K435" s="8" t="s">
        <v>2815</v>
      </c>
      <c r="L435" s="7">
        <v>7173</v>
      </c>
      <c r="M435" s="10" t="str">
        <f t="shared" si="36"/>
        <v>CMI02051200</v>
      </c>
      <c r="N435" s="10" t="str">
        <f t="shared" si="37"/>
        <v>REP201000</v>
      </c>
      <c r="O435" s="10" t="str">
        <f t="shared" si="38"/>
        <v>E</v>
      </c>
      <c r="P435" s="10" t="str">
        <f t="shared" si="39"/>
        <v>50</v>
      </c>
      <c r="Q435" s="10" t="str">
        <f t="shared" si="40"/>
        <v>ZRPI</v>
      </c>
      <c r="R435" s="10" t="str">
        <f t="shared" si="41"/>
        <v>32121603</v>
      </c>
    </row>
    <row r="436" spans="1:18" ht="25.5" hidden="1" x14ac:dyDescent="0.2">
      <c r="A436" s="21" t="s">
        <v>3308</v>
      </c>
      <c r="B436" s="8" t="s">
        <v>3307</v>
      </c>
      <c r="C436" s="8" t="s">
        <v>40</v>
      </c>
      <c r="D436" s="8" t="s">
        <v>969</v>
      </c>
      <c r="E436" s="8" t="s">
        <v>40</v>
      </c>
      <c r="F436" s="8" t="s">
        <v>39</v>
      </c>
      <c r="G436" s="8" t="s">
        <v>240</v>
      </c>
      <c r="H436" s="8" t="s">
        <v>37</v>
      </c>
      <c r="I436" s="8" t="s">
        <v>53</v>
      </c>
      <c r="J436" s="8" t="s">
        <v>46</v>
      </c>
      <c r="K436" s="8" t="s">
        <v>3306</v>
      </c>
      <c r="L436" s="7">
        <v>7174</v>
      </c>
      <c r="M436" s="10" t="str">
        <f t="shared" si="36"/>
        <v>CMI02051200</v>
      </c>
      <c r="N436" s="10" t="str">
        <f t="shared" si="37"/>
        <v>REP201000</v>
      </c>
      <c r="O436" s="10" t="str">
        <f t="shared" si="38"/>
        <v>E</v>
      </c>
      <c r="P436" s="10" t="str">
        <f t="shared" si="39"/>
        <v>50</v>
      </c>
      <c r="Q436" s="10" t="str">
        <f t="shared" si="40"/>
        <v>ZRPI</v>
      </c>
      <c r="R436" s="10" t="str">
        <f t="shared" si="41"/>
        <v>32121610</v>
      </c>
    </row>
    <row r="437" spans="1:18" ht="25.5" hidden="1" x14ac:dyDescent="0.2">
      <c r="A437" s="21" t="s">
        <v>3305</v>
      </c>
      <c r="B437" s="8" t="s">
        <v>3304</v>
      </c>
      <c r="C437" s="8" t="s">
        <v>40</v>
      </c>
      <c r="D437" s="8" t="s">
        <v>969</v>
      </c>
      <c r="E437" s="8" t="s">
        <v>40</v>
      </c>
      <c r="F437" s="8" t="s">
        <v>39</v>
      </c>
      <c r="G437" s="8" t="s">
        <v>240</v>
      </c>
      <c r="H437" s="8" t="s">
        <v>37</v>
      </c>
      <c r="I437" s="8" t="s">
        <v>53</v>
      </c>
      <c r="J437" s="8" t="s">
        <v>46</v>
      </c>
      <c r="K437" s="8" t="s">
        <v>3303</v>
      </c>
      <c r="L437" s="7">
        <v>7175</v>
      </c>
      <c r="M437" s="10" t="str">
        <f t="shared" si="36"/>
        <v>CMI02051200</v>
      </c>
      <c r="N437" s="10" t="str">
        <f t="shared" si="37"/>
        <v>REP201000</v>
      </c>
      <c r="O437" s="10" t="str">
        <f t="shared" si="38"/>
        <v>E</v>
      </c>
      <c r="P437" s="10" t="str">
        <f t="shared" si="39"/>
        <v>50</v>
      </c>
      <c r="Q437" s="10" t="str">
        <f t="shared" si="40"/>
        <v>ZRPI</v>
      </c>
      <c r="R437" s="10" t="str">
        <f t="shared" si="41"/>
        <v>32111702</v>
      </c>
    </row>
    <row r="438" spans="1:18" ht="25.5" hidden="1" x14ac:dyDescent="0.2">
      <c r="A438" s="21" t="s">
        <v>3302</v>
      </c>
      <c r="B438" s="8" t="s">
        <v>3301</v>
      </c>
      <c r="C438" s="8" t="s">
        <v>40</v>
      </c>
      <c r="D438" s="8" t="s">
        <v>969</v>
      </c>
      <c r="E438" s="8" t="s">
        <v>40</v>
      </c>
      <c r="F438" s="8" t="s">
        <v>39</v>
      </c>
      <c r="G438" s="8" t="s">
        <v>240</v>
      </c>
      <c r="H438" s="8" t="s">
        <v>37</v>
      </c>
      <c r="I438" s="8" t="s">
        <v>53</v>
      </c>
      <c r="J438" s="8" t="s">
        <v>46</v>
      </c>
      <c r="K438" s="8" t="s">
        <v>3300</v>
      </c>
      <c r="L438" s="7">
        <v>7176</v>
      </c>
      <c r="M438" s="10" t="str">
        <f t="shared" si="36"/>
        <v>CMI02051200</v>
      </c>
      <c r="N438" s="10" t="str">
        <f t="shared" si="37"/>
        <v>REP201000</v>
      </c>
      <c r="O438" s="10" t="str">
        <f t="shared" si="38"/>
        <v>E</v>
      </c>
      <c r="P438" s="10" t="str">
        <f t="shared" si="39"/>
        <v>50</v>
      </c>
      <c r="Q438" s="10" t="str">
        <f t="shared" si="40"/>
        <v>ZRPI</v>
      </c>
      <c r="R438" s="10" t="str">
        <f t="shared" si="41"/>
        <v>32111502</v>
      </c>
    </row>
    <row r="439" spans="1:18" ht="25.5" hidden="1" x14ac:dyDescent="0.2">
      <c r="A439" s="21" t="s">
        <v>3299</v>
      </c>
      <c r="B439" s="8" t="s">
        <v>3298</v>
      </c>
      <c r="C439" s="8" t="s">
        <v>40</v>
      </c>
      <c r="D439" s="8" t="s">
        <v>969</v>
      </c>
      <c r="E439" s="8" t="s">
        <v>40</v>
      </c>
      <c r="F439" s="8" t="s">
        <v>39</v>
      </c>
      <c r="G439" s="8" t="s">
        <v>240</v>
      </c>
      <c r="H439" s="8" t="s">
        <v>37</v>
      </c>
      <c r="I439" s="8" t="s">
        <v>53</v>
      </c>
      <c r="J439" s="8" t="s">
        <v>46</v>
      </c>
      <c r="K439" s="8" t="s">
        <v>3297</v>
      </c>
      <c r="L439" s="7">
        <v>7177</v>
      </c>
      <c r="M439" s="10" t="str">
        <f t="shared" si="36"/>
        <v>CMI02051200</v>
      </c>
      <c r="N439" s="10" t="str">
        <f t="shared" si="37"/>
        <v>REP201000</v>
      </c>
      <c r="O439" s="10" t="str">
        <f t="shared" si="38"/>
        <v>E</v>
      </c>
      <c r="P439" s="10" t="str">
        <f t="shared" si="39"/>
        <v>50</v>
      </c>
      <c r="Q439" s="10" t="str">
        <f t="shared" si="40"/>
        <v>ZRPI</v>
      </c>
      <c r="R439" s="10" t="str">
        <f t="shared" si="41"/>
        <v>39121425</v>
      </c>
    </row>
    <row r="440" spans="1:18" ht="25.5" hidden="1" x14ac:dyDescent="0.2">
      <c r="A440" s="21" t="s">
        <v>3296</v>
      </c>
      <c r="B440" s="8" t="s">
        <v>3295</v>
      </c>
      <c r="C440" s="8" t="s">
        <v>40</v>
      </c>
      <c r="D440" s="8" t="s">
        <v>969</v>
      </c>
      <c r="E440" s="8" t="s">
        <v>40</v>
      </c>
      <c r="F440" s="8" t="s">
        <v>39</v>
      </c>
      <c r="G440" s="8" t="s">
        <v>54</v>
      </c>
      <c r="H440" s="8" t="s">
        <v>37</v>
      </c>
      <c r="I440" s="8" t="s">
        <v>53</v>
      </c>
      <c r="J440" s="8" t="s">
        <v>46</v>
      </c>
      <c r="K440" s="8" t="s">
        <v>3294</v>
      </c>
      <c r="L440" s="7">
        <v>7178</v>
      </c>
      <c r="M440" s="10" t="str">
        <f t="shared" si="36"/>
        <v>CMI02051200</v>
      </c>
      <c r="N440" s="10" t="str">
        <f t="shared" si="37"/>
        <v>REP201100</v>
      </c>
      <c r="O440" s="10" t="str">
        <f t="shared" si="38"/>
        <v>E</v>
      </c>
      <c r="P440" s="10" t="str">
        <f t="shared" si="39"/>
        <v>50</v>
      </c>
      <c r="Q440" s="10" t="str">
        <f t="shared" si="40"/>
        <v>ZRPI</v>
      </c>
      <c r="R440" s="10" t="str">
        <f t="shared" si="41"/>
        <v>31251510</v>
      </c>
    </row>
    <row r="441" spans="1:18" ht="25.5" hidden="1" x14ac:dyDescent="0.2">
      <c r="A441" s="21" t="s">
        <v>3293</v>
      </c>
      <c r="B441" s="8" t="s">
        <v>3292</v>
      </c>
      <c r="C441" s="8" t="s">
        <v>40</v>
      </c>
      <c r="D441" s="8" t="s">
        <v>969</v>
      </c>
      <c r="E441" s="8" t="s">
        <v>40</v>
      </c>
      <c r="F441" s="8" t="s">
        <v>39</v>
      </c>
      <c r="G441" s="8" t="s">
        <v>240</v>
      </c>
      <c r="H441" s="8" t="s">
        <v>37</v>
      </c>
      <c r="I441" s="8" t="s">
        <v>53</v>
      </c>
      <c r="J441" s="8" t="s">
        <v>46</v>
      </c>
      <c r="K441" s="8" t="s">
        <v>3291</v>
      </c>
      <c r="L441" s="7">
        <v>7179</v>
      </c>
      <c r="M441" s="10" t="str">
        <f t="shared" si="36"/>
        <v>CMI02051200</v>
      </c>
      <c r="N441" s="10" t="str">
        <f t="shared" si="37"/>
        <v>REP201000</v>
      </c>
      <c r="O441" s="10" t="str">
        <f t="shared" si="38"/>
        <v>E</v>
      </c>
      <c r="P441" s="10" t="str">
        <f t="shared" si="39"/>
        <v>50</v>
      </c>
      <c r="Q441" s="10" t="str">
        <f t="shared" si="40"/>
        <v>ZRPI</v>
      </c>
      <c r="R441" s="10" t="str">
        <f t="shared" si="41"/>
        <v>39122202</v>
      </c>
    </row>
    <row r="442" spans="1:18" ht="25.5" hidden="1" x14ac:dyDescent="0.2">
      <c r="A442" s="21" t="s">
        <v>3290</v>
      </c>
      <c r="B442" s="8" t="s">
        <v>3009</v>
      </c>
      <c r="C442" s="8" t="s">
        <v>40</v>
      </c>
      <c r="D442" s="8" t="s">
        <v>969</v>
      </c>
      <c r="E442" s="8" t="s">
        <v>40</v>
      </c>
      <c r="F442" s="8" t="s">
        <v>39</v>
      </c>
      <c r="G442" s="8" t="s">
        <v>240</v>
      </c>
      <c r="H442" s="8" t="s">
        <v>37</v>
      </c>
      <c r="I442" s="8" t="s">
        <v>53</v>
      </c>
      <c r="J442" s="8" t="s">
        <v>46</v>
      </c>
      <c r="K442" s="8" t="s">
        <v>3008</v>
      </c>
      <c r="L442" s="7">
        <v>7180</v>
      </c>
      <c r="M442" s="10" t="str">
        <f t="shared" si="36"/>
        <v>CMI02051200</v>
      </c>
      <c r="N442" s="10" t="str">
        <f t="shared" si="37"/>
        <v>REP201000</v>
      </c>
      <c r="O442" s="10" t="str">
        <f t="shared" si="38"/>
        <v>E</v>
      </c>
      <c r="P442" s="10" t="str">
        <f t="shared" si="39"/>
        <v>50</v>
      </c>
      <c r="Q442" s="10" t="str">
        <f t="shared" si="40"/>
        <v>ZRPI</v>
      </c>
      <c r="R442" s="10" t="str">
        <f t="shared" si="41"/>
        <v>39122210</v>
      </c>
    </row>
    <row r="443" spans="1:18" ht="25.5" hidden="1" x14ac:dyDescent="0.2">
      <c r="A443" s="21" t="s">
        <v>3289</v>
      </c>
      <c r="B443" s="8" t="s">
        <v>3288</v>
      </c>
      <c r="C443" s="8" t="s">
        <v>40</v>
      </c>
      <c r="D443" s="8" t="s">
        <v>969</v>
      </c>
      <c r="E443" s="8" t="s">
        <v>40</v>
      </c>
      <c r="F443" s="8" t="s">
        <v>39</v>
      </c>
      <c r="G443" s="8" t="s">
        <v>240</v>
      </c>
      <c r="H443" s="8" t="s">
        <v>37</v>
      </c>
      <c r="I443" s="8" t="s">
        <v>53</v>
      </c>
      <c r="J443" s="8" t="s">
        <v>46</v>
      </c>
      <c r="K443" s="8" t="s">
        <v>3287</v>
      </c>
      <c r="L443" s="7">
        <v>7181</v>
      </c>
      <c r="M443" s="10" t="str">
        <f t="shared" si="36"/>
        <v>CMI02051200</v>
      </c>
      <c r="N443" s="10" t="str">
        <f t="shared" si="37"/>
        <v>REP201000</v>
      </c>
      <c r="O443" s="10" t="str">
        <f t="shared" si="38"/>
        <v>E</v>
      </c>
      <c r="P443" s="10" t="str">
        <f t="shared" si="39"/>
        <v>50</v>
      </c>
      <c r="Q443" s="10" t="str">
        <f t="shared" si="40"/>
        <v>ZRPI</v>
      </c>
      <c r="R443" s="10" t="str">
        <f t="shared" si="41"/>
        <v>39122213</v>
      </c>
    </row>
    <row r="444" spans="1:18" ht="25.5" hidden="1" x14ac:dyDescent="0.2">
      <c r="A444" s="21" t="s">
        <v>3286</v>
      </c>
      <c r="B444" s="8" t="s">
        <v>2906</v>
      </c>
      <c r="C444" s="8" t="s">
        <v>40</v>
      </c>
      <c r="D444" s="8" t="s">
        <v>969</v>
      </c>
      <c r="E444" s="8" t="s">
        <v>40</v>
      </c>
      <c r="F444" s="8" t="s">
        <v>39</v>
      </c>
      <c r="G444" s="8" t="s">
        <v>240</v>
      </c>
      <c r="H444" s="8" t="s">
        <v>37</v>
      </c>
      <c r="I444" s="8" t="s">
        <v>53</v>
      </c>
      <c r="J444" s="8" t="s">
        <v>46</v>
      </c>
      <c r="K444" s="8" t="s">
        <v>3285</v>
      </c>
      <c r="L444" s="7">
        <v>7182</v>
      </c>
      <c r="M444" s="10" t="str">
        <f t="shared" si="36"/>
        <v>CMI02051200</v>
      </c>
      <c r="N444" s="10" t="str">
        <f t="shared" si="37"/>
        <v>REP201000</v>
      </c>
      <c r="O444" s="10" t="str">
        <f t="shared" si="38"/>
        <v>E</v>
      </c>
      <c r="P444" s="10" t="str">
        <f t="shared" si="39"/>
        <v>50</v>
      </c>
      <c r="Q444" s="10" t="str">
        <f t="shared" si="40"/>
        <v>ZRPI</v>
      </c>
      <c r="R444" s="10" t="str">
        <f t="shared" si="41"/>
        <v>39122250</v>
      </c>
    </row>
    <row r="445" spans="1:18" ht="25.5" hidden="1" x14ac:dyDescent="0.2">
      <c r="A445" s="21" t="s">
        <v>3284</v>
      </c>
      <c r="B445" s="8" t="s">
        <v>3283</v>
      </c>
      <c r="C445" s="8" t="s">
        <v>40</v>
      </c>
      <c r="D445" s="8" t="s">
        <v>78</v>
      </c>
      <c r="E445" s="8" t="s">
        <v>40</v>
      </c>
      <c r="F445" s="8" t="s">
        <v>39</v>
      </c>
      <c r="G445" s="8" t="s">
        <v>54</v>
      </c>
      <c r="H445" s="8" t="s">
        <v>37</v>
      </c>
      <c r="I445" s="8" t="s">
        <v>53</v>
      </c>
      <c r="J445" s="8" t="s">
        <v>46</v>
      </c>
      <c r="K445" s="8" t="s">
        <v>3282</v>
      </c>
      <c r="L445" s="7">
        <v>7183</v>
      </c>
      <c r="M445" s="10" t="str">
        <f t="shared" si="36"/>
        <v>CMI02090400</v>
      </c>
      <c r="N445" s="10" t="str">
        <f t="shared" si="37"/>
        <v>REP201100</v>
      </c>
      <c r="O445" s="10" t="str">
        <f t="shared" si="38"/>
        <v>E</v>
      </c>
      <c r="P445" s="10" t="str">
        <f t="shared" si="39"/>
        <v>50</v>
      </c>
      <c r="Q445" s="10" t="str">
        <f t="shared" si="40"/>
        <v>ZRPI</v>
      </c>
      <c r="R445" s="10" t="str">
        <f t="shared" si="41"/>
        <v>39122209</v>
      </c>
    </row>
    <row r="446" spans="1:18" ht="25.5" hidden="1" x14ac:dyDescent="0.2">
      <c r="A446" s="21" t="s">
        <v>3281</v>
      </c>
      <c r="B446" s="8" t="s">
        <v>3280</v>
      </c>
      <c r="C446" s="8" t="s">
        <v>40</v>
      </c>
      <c r="D446" s="8" t="s">
        <v>969</v>
      </c>
      <c r="E446" s="7">
        <v>6</v>
      </c>
      <c r="F446" s="8" t="s">
        <v>39</v>
      </c>
      <c r="G446" s="8" t="s">
        <v>240</v>
      </c>
      <c r="H446" s="8" t="s">
        <v>37</v>
      </c>
      <c r="I446" s="8" t="s">
        <v>53</v>
      </c>
      <c r="J446" s="8" t="s">
        <v>46</v>
      </c>
      <c r="K446" s="8" t="s">
        <v>1713</v>
      </c>
      <c r="L446" s="7">
        <v>7184</v>
      </c>
      <c r="M446" s="10" t="str">
        <f t="shared" si="36"/>
        <v>CMI02051200</v>
      </c>
      <c r="N446" s="10" t="str">
        <f t="shared" si="37"/>
        <v>REP201000</v>
      </c>
      <c r="O446" s="10" t="str">
        <f t="shared" si="38"/>
        <v>E</v>
      </c>
      <c r="P446" s="10" t="str">
        <f t="shared" si="39"/>
        <v>50</v>
      </c>
      <c r="Q446" s="10" t="str">
        <f t="shared" si="40"/>
        <v>ZRPI</v>
      </c>
      <c r="R446" s="10" t="str">
        <f t="shared" si="41"/>
        <v>39121432</v>
      </c>
    </row>
    <row r="447" spans="1:18" ht="38.25" hidden="1" x14ac:dyDescent="0.2">
      <c r="A447" s="21" t="s">
        <v>3279</v>
      </c>
      <c r="B447" s="8" t="s">
        <v>3278</v>
      </c>
      <c r="C447" s="8" t="s">
        <v>40</v>
      </c>
      <c r="D447" s="8" t="s">
        <v>969</v>
      </c>
      <c r="E447" s="8" t="s">
        <v>40</v>
      </c>
      <c r="F447" s="8" t="s">
        <v>39</v>
      </c>
      <c r="G447" s="8" t="s">
        <v>240</v>
      </c>
      <c r="H447" s="8" t="s">
        <v>37</v>
      </c>
      <c r="I447" s="8" t="s">
        <v>53</v>
      </c>
      <c r="J447" s="8" t="s">
        <v>46</v>
      </c>
      <c r="K447" s="8" t="s">
        <v>3277</v>
      </c>
      <c r="L447" s="7">
        <v>7185</v>
      </c>
      <c r="M447" s="10" t="str">
        <f t="shared" si="36"/>
        <v>CMI02051200</v>
      </c>
      <c r="N447" s="10" t="str">
        <f t="shared" si="37"/>
        <v>REP201000</v>
      </c>
      <c r="O447" s="10" t="str">
        <f t="shared" si="38"/>
        <v>E</v>
      </c>
      <c r="P447" s="10" t="str">
        <f t="shared" si="39"/>
        <v>50</v>
      </c>
      <c r="Q447" s="10" t="str">
        <f t="shared" si="40"/>
        <v>ZRPI</v>
      </c>
      <c r="R447" s="10" t="str">
        <f t="shared" si="41"/>
        <v>39121032</v>
      </c>
    </row>
    <row r="448" spans="1:18" ht="38.25" hidden="1" x14ac:dyDescent="0.2">
      <c r="A448" s="21" t="s">
        <v>3276</v>
      </c>
      <c r="B448" s="8" t="s">
        <v>3275</v>
      </c>
      <c r="C448" s="8" t="s">
        <v>40</v>
      </c>
      <c r="D448" s="8" t="s">
        <v>969</v>
      </c>
      <c r="E448" s="8" t="s">
        <v>40</v>
      </c>
      <c r="F448" s="8" t="s">
        <v>39</v>
      </c>
      <c r="G448" s="8" t="s">
        <v>240</v>
      </c>
      <c r="H448" s="8" t="s">
        <v>37</v>
      </c>
      <c r="I448" s="8" t="s">
        <v>53</v>
      </c>
      <c r="J448" s="8" t="s">
        <v>46</v>
      </c>
      <c r="K448" s="8" t="s">
        <v>3274</v>
      </c>
      <c r="L448" s="7">
        <v>7186</v>
      </c>
      <c r="M448" s="10" t="str">
        <f t="shared" si="36"/>
        <v>CMI02051200</v>
      </c>
      <c r="N448" s="10" t="str">
        <f t="shared" si="37"/>
        <v>REP201000</v>
      </c>
      <c r="O448" s="10" t="str">
        <f t="shared" si="38"/>
        <v>E</v>
      </c>
      <c r="P448" s="10" t="str">
        <f t="shared" si="39"/>
        <v>50</v>
      </c>
      <c r="Q448" s="10" t="str">
        <f t="shared" si="40"/>
        <v>ZRPI</v>
      </c>
      <c r="R448" s="10" t="str">
        <f t="shared" si="41"/>
        <v>39121022</v>
      </c>
    </row>
    <row r="449" spans="1:18" ht="25.5" hidden="1" x14ac:dyDescent="0.2">
      <c r="A449" s="21" t="s">
        <v>3273</v>
      </c>
      <c r="B449" s="8" t="s">
        <v>3272</v>
      </c>
      <c r="C449" s="8" t="s">
        <v>40</v>
      </c>
      <c r="D449" s="8" t="s">
        <v>969</v>
      </c>
      <c r="E449" s="8" t="s">
        <v>40</v>
      </c>
      <c r="F449" s="8" t="s">
        <v>39</v>
      </c>
      <c r="G449" s="8" t="s">
        <v>240</v>
      </c>
      <c r="H449" s="8" t="s">
        <v>37</v>
      </c>
      <c r="I449" s="8" t="s">
        <v>53</v>
      </c>
      <c r="J449" s="8" t="s">
        <v>46</v>
      </c>
      <c r="K449" s="8" t="s">
        <v>3271</v>
      </c>
      <c r="L449" s="7">
        <v>7187</v>
      </c>
      <c r="M449" s="10" t="str">
        <f t="shared" si="36"/>
        <v>CMI02051200</v>
      </c>
      <c r="N449" s="10" t="str">
        <f t="shared" si="37"/>
        <v>REP201000</v>
      </c>
      <c r="O449" s="10" t="str">
        <f t="shared" si="38"/>
        <v>E</v>
      </c>
      <c r="P449" s="10" t="str">
        <f t="shared" si="39"/>
        <v>50</v>
      </c>
      <c r="Q449" s="10" t="str">
        <f t="shared" si="40"/>
        <v>ZRPI</v>
      </c>
      <c r="R449" s="10" t="str">
        <f t="shared" si="41"/>
        <v>32111611</v>
      </c>
    </row>
    <row r="450" spans="1:18" ht="25.5" hidden="1" x14ac:dyDescent="0.2">
      <c r="A450" s="21" t="s">
        <v>3270</v>
      </c>
      <c r="B450" s="8" t="s">
        <v>3269</v>
      </c>
      <c r="C450" s="8" t="s">
        <v>40</v>
      </c>
      <c r="D450" s="8" t="s">
        <v>947</v>
      </c>
      <c r="E450" s="8" t="s">
        <v>40</v>
      </c>
      <c r="F450" s="8" t="s">
        <v>39</v>
      </c>
      <c r="G450" s="8" t="s">
        <v>240</v>
      </c>
      <c r="H450" s="8" t="s">
        <v>37</v>
      </c>
      <c r="I450" s="8" t="s">
        <v>53</v>
      </c>
      <c r="J450" s="8" t="s">
        <v>46</v>
      </c>
      <c r="K450" s="8" t="s">
        <v>3268</v>
      </c>
      <c r="L450" s="7">
        <v>7188</v>
      </c>
      <c r="M450" s="10" t="str">
        <f t="shared" si="36"/>
        <v>CMI02160200</v>
      </c>
      <c r="N450" s="10" t="str">
        <f t="shared" si="37"/>
        <v>REP201000</v>
      </c>
      <c r="O450" s="10" t="str">
        <f t="shared" si="38"/>
        <v>E</v>
      </c>
      <c r="P450" s="10" t="str">
        <f t="shared" si="39"/>
        <v>50</v>
      </c>
      <c r="Q450" s="10" t="str">
        <f t="shared" si="40"/>
        <v>ZRPI</v>
      </c>
      <c r="R450" s="10" t="str">
        <f t="shared" si="41"/>
        <v>43223310</v>
      </c>
    </row>
    <row r="451" spans="1:18" ht="25.5" hidden="1" x14ac:dyDescent="0.2">
      <c r="A451" s="21" t="s">
        <v>3267</v>
      </c>
      <c r="B451" s="8" t="s">
        <v>3266</v>
      </c>
      <c r="C451" s="8" t="s">
        <v>40</v>
      </c>
      <c r="D451" s="8" t="s">
        <v>947</v>
      </c>
      <c r="E451" s="8" t="s">
        <v>40</v>
      </c>
      <c r="F451" s="8" t="s">
        <v>39</v>
      </c>
      <c r="G451" s="8" t="s">
        <v>240</v>
      </c>
      <c r="H451" s="8" t="s">
        <v>37</v>
      </c>
      <c r="I451" s="8" t="s">
        <v>53</v>
      </c>
      <c r="J451" s="8" t="s">
        <v>46</v>
      </c>
      <c r="K451" s="8" t="s">
        <v>3265</v>
      </c>
      <c r="L451" s="7">
        <v>7189</v>
      </c>
      <c r="M451" s="10" t="str">
        <f t="shared" ref="M451:M514" si="42">+LEFT(D451,11)</f>
        <v>CMI02160200</v>
      </c>
      <c r="N451" s="10" t="str">
        <f t="shared" ref="N451:N514" si="43">+LEFT(G451,9)</f>
        <v>REP201000</v>
      </c>
      <c r="O451" s="10" t="str">
        <f t="shared" ref="O451:O514" si="44">+LEFT(H451,1)</f>
        <v>E</v>
      </c>
      <c r="P451" s="10" t="str">
        <f t="shared" ref="P451:P514" si="45">+LEFT(I451,2)</f>
        <v>50</v>
      </c>
      <c r="Q451" s="10" t="str">
        <f t="shared" ref="Q451:Q514" si="46">+LEFT(J451,4)</f>
        <v>ZRPI</v>
      </c>
      <c r="R451" s="10" t="str">
        <f t="shared" ref="R451:R514" si="47">+LEFT(K451,8)</f>
        <v>26111711</v>
      </c>
    </row>
    <row r="452" spans="1:18" ht="25.5" hidden="1" x14ac:dyDescent="0.2">
      <c r="A452" s="21" t="s">
        <v>3264</v>
      </c>
      <c r="B452" s="8" t="s">
        <v>3263</v>
      </c>
      <c r="C452" s="8" t="s">
        <v>40</v>
      </c>
      <c r="D452" s="8" t="s">
        <v>947</v>
      </c>
      <c r="E452" s="8" t="s">
        <v>40</v>
      </c>
      <c r="F452" s="8" t="s">
        <v>39</v>
      </c>
      <c r="G452" s="8" t="s">
        <v>54</v>
      </c>
      <c r="H452" s="8" t="s">
        <v>37</v>
      </c>
      <c r="I452" s="8" t="s">
        <v>53</v>
      </c>
      <c r="J452" s="8" t="s">
        <v>46</v>
      </c>
      <c r="K452" s="8" t="s">
        <v>1698</v>
      </c>
      <c r="L452" s="7">
        <v>7190</v>
      </c>
      <c r="M452" s="10" t="str">
        <f t="shared" si="42"/>
        <v>CMI02160200</v>
      </c>
      <c r="N452" s="10" t="str">
        <f t="shared" si="43"/>
        <v>REP201100</v>
      </c>
      <c r="O452" s="10" t="str">
        <f t="shared" si="44"/>
        <v>E</v>
      </c>
      <c r="P452" s="10" t="str">
        <f t="shared" si="45"/>
        <v>50</v>
      </c>
      <c r="Q452" s="10" t="str">
        <f t="shared" si="46"/>
        <v>ZRPI</v>
      </c>
      <c r="R452" s="10" t="str">
        <f t="shared" si="47"/>
        <v>26111704</v>
      </c>
    </row>
    <row r="453" spans="1:18" ht="25.5" hidden="1" x14ac:dyDescent="0.2">
      <c r="A453" s="21" t="s">
        <v>3262</v>
      </c>
      <c r="B453" s="8" t="s">
        <v>3261</v>
      </c>
      <c r="C453" s="8" t="s">
        <v>40</v>
      </c>
      <c r="D453" s="8" t="s">
        <v>241</v>
      </c>
      <c r="E453" s="8" t="s">
        <v>40</v>
      </c>
      <c r="F453" s="8" t="s">
        <v>39</v>
      </c>
      <c r="G453" s="8" t="s">
        <v>240</v>
      </c>
      <c r="H453" s="8" t="s">
        <v>37</v>
      </c>
      <c r="I453" s="8" t="s">
        <v>53</v>
      </c>
      <c r="J453" s="8" t="s">
        <v>46</v>
      </c>
      <c r="K453" s="8" t="s">
        <v>2788</v>
      </c>
      <c r="L453" s="7">
        <v>7191</v>
      </c>
      <c r="M453" s="10" t="str">
        <f t="shared" si="42"/>
        <v>CMI02090300</v>
      </c>
      <c r="N453" s="10" t="str">
        <f t="shared" si="43"/>
        <v>REP201000</v>
      </c>
      <c r="O453" s="10" t="str">
        <f t="shared" si="44"/>
        <v>E</v>
      </c>
      <c r="P453" s="10" t="str">
        <f t="shared" si="45"/>
        <v>50</v>
      </c>
      <c r="Q453" s="10" t="str">
        <f t="shared" si="46"/>
        <v>ZRPI</v>
      </c>
      <c r="R453" s="10" t="str">
        <f t="shared" si="47"/>
        <v>40151700</v>
      </c>
    </row>
    <row r="454" spans="1:18" ht="25.5" hidden="1" x14ac:dyDescent="0.2">
      <c r="A454" s="21" t="s">
        <v>3260</v>
      </c>
      <c r="B454" s="8" t="s">
        <v>3259</v>
      </c>
      <c r="C454" s="8" t="s">
        <v>40</v>
      </c>
      <c r="D454" s="8" t="s">
        <v>1648</v>
      </c>
      <c r="E454" s="8" t="s">
        <v>40</v>
      </c>
      <c r="F454" s="8" t="s">
        <v>39</v>
      </c>
      <c r="G454" s="8" t="s">
        <v>54</v>
      </c>
      <c r="H454" s="8" t="s">
        <v>37</v>
      </c>
      <c r="I454" s="8" t="s">
        <v>53</v>
      </c>
      <c r="J454" s="8" t="s">
        <v>46</v>
      </c>
      <c r="K454" s="8" t="s">
        <v>3258</v>
      </c>
      <c r="L454" s="7">
        <v>7192</v>
      </c>
      <c r="M454" s="10" t="str">
        <f t="shared" si="42"/>
        <v>CMI02070100</v>
      </c>
      <c r="N454" s="10" t="str">
        <f t="shared" si="43"/>
        <v>REP201100</v>
      </c>
      <c r="O454" s="10" t="str">
        <f t="shared" si="44"/>
        <v>E</v>
      </c>
      <c r="P454" s="10" t="str">
        <f t="shared" si="45"/>
        <v>50</v>
      </c>
      <c r="Q454" s="10" t="str">
        <f t="shared" si="46"/>
        <v>ZRPI</v>
      </c>
      <c r="R454" s="10" t="str">
        <f t="shared" si="47"/>
        <v>26101302</v>
      </c>
    </row>
    <row r="455" spans="1:18" ht="25.5" hidden="1" x14ac:dyDescent="0.2">
      <c r="A455" s="21" t="s">
        <v>3257</v>
      </c>
      <c r="B455" s="8" t="s">
        <v>3256</v>
      </c>
      <c r="C455" s="8" t="s">
        <v>40</v>
      </c>
      <c r="D455" s="8" t="s">
        <v>241</v>
      </c>
      <c r="E455" s="8" t="s">
        <v>40</v>
      </c>
      <c r="F455" s="8" t="s">
        <v>39</v>
      </c>
      <c r="G455" s="8" t="s">
        <v>54</v>
      </c>
      <c r="H455" s="8" t="s">
        <v>37</v>
      </c>
      <c r="I455" s="8" t="s">
        <v>53</v>
      </c>
      <c r="J455" s="8" t="s">
        <v>46</v>
      </c>
      <c r="K455" s="8" t="s">
        <v>3255</v>
      </c>
      <c r="L455" s="7">
        <v>7193</v>
      </c>
      <c r="M455" s="10" t="str">
        <f t="shared" si="42"/>
        <v>CMI02090300</v>
      </c>
      <c r="N455" s="10" t="str">
        <f t="shared" si="43"/>
        <v>REP201100</v>
      </c>
      <c r="O455" s="10" t="str">
        <f t="shared" si="44"/>
        <v>E</v>
      </c>
      <c r="P455" s="10" t="str">
        <f t="shared" si="45"/>
        <v>50</v>
      </c>
      <c r="Q455" s="10" t="str">
        <f t="shared" si="46"/>
        <v>ZRPI</v>
      </c>
      <c r="R455" s="10" t="str">
        <f t="shared" si="47"/>
        <v>26100000</v>
      </c>
    </row>
    <row r="456" spans="1:18" ht="25.5" hidden="1" x14ac:dyDescent="0.2">
      <c r="A456" s="21" t="s">
        <v>3254</v>
      </c>
      <c r="B456" s="8" t="s">
        <v>3253</v>
      </c>
      <c r="C456" s="8" t="s">
        <v>40</v>
      </c>
      <c r="D456" s="8" t="s">
        <v>241</v>
      </c>
      <c r="E456" s="8" t="s">
        <v>40</v>
      </c>
      <c r="F456" s="8" t="s">
        <v>39</v>
      </c>
      <c r="G456" s="8" t="s">
        <v>240</v>
      </c>
      <c r="H456" s="8" t="s">
        <v>37</v>
      </c>
      <c r="I456" s="8" t="s">
        <v>53</v>
      </c>
      <c r="J456" s="8" t="s">
        <v>46</v>
      </c>
      <c r="K456" s="8" t="s">
        <v>3252</v>
      </c>
      <c r="L456" s="7">
        <v>7194</v>
      </c>
      <c r="M456" s="10" t="str">
        <f t="shared" si="42"/>
        <v>CMI02090300</v>
      </c>
      <c r="N456" s="10" t="str">
        <f t="shared" si="43"/>
        <v>REP201000</v>
      </c>
      <c r="O456" s="10" t="str">
        <f t="shared" si="44"/>
        <v>E</v>
      </c>
      <c r="P456" s="10" t="str">
        <f t="shared" si="45"/>
        <v>50</v>
      </c>
      <c r="Q456" s="10" t="str">
        <f t="shared" si="46"/>
        <v>ZRPI</v>
      </c>
      <c r="R456" s="10" t="str">
        <f t="shared" si="47"/>
        <v>26101100</v>
      </c>
    </row>
    <row r="457" spans="1:18" ht="25.5" hidden="1" x14ac:dyDescent="0.2">
      <c r="A457" s="21" t="s">
        <v>3251</v>
      </c>
      <c r="B457" s="8" t="s">
        <v>3250</v>
      </c>
      <c r="C457" s="8" t="s">
        <v>40</v>
      </c>
      <c r="D457" s="8" t="s">
        <v>241</v>
      </c>
      <c r="E457" s="8" t="s">
        <v>40</v>
      </c>
      <c r="F457" s="8" t="s">
        <v>39</v>
      </c>
      <c r="G457" s="8" t="s">
        <v>240</v>
      </c>
      <c r="H457" s="8" t="s">
        <v>37</v>
      </c>
      <c r="I457" s="8" t="s">
        <v>53</v>
      </c>
      <c r="J457" s="8" t="s">
        <v>46</v>
      </c>
      <c r="K457" s="8" t="s">
        <v>3249</v>
      </c>
      <c r="L457" s="7">
        <v>7195</v>
      </c>
      <c r="M457" s="10" t="str">
        <f t="shared" si="42"/>
        <v>CMI02090300</v>
      </c>
      <c r="N457" s="10" t="str">
        <f t="shared" si="43"/>
        <v>REP201000</v>
      </c>
      <c r="O457" s="10" t="str">
        <f t="shared" si="44"/>
        <v>E</v>
      </c>
      <c r="P457" s="10" t="str">
        <f t="shared" si="45"/>
        <v>50</v>
      </c>
      <c r="Q457" s="10" t="str">
        <f t="shared" si="46"/>
        <v>ZRPI</v>
      </c>
      <c r="R457" s="10" t="str">
        <f t="shared" si="47"/>
        <v>39121031</v>
      </c>
    </row>
    <row r="458" spans="1:18" ht="25.5" hidden="1" x14ac:dyDescent="0.2">
      <c r="A458" s="21" t="s">
        <v>3248</v>
      </c>
      <c r="B458" s="8" t="s">
        <v>3247</v>
      </c>
      <c r="C458" s="8" t="s">
        <v>40</v>
      </c>
      <c r="D458" s="8" t="s">
        <v>241</v>
      </c>
      <c r="E458" s="8" t="s">
        <v>40</v>
      </c>
      <c r="F458" s="8" t="s">
        <v>39</v>
      </c>
      <c r="G458" s="8" t="s">
        <v>240</v>
      </c>
      <c r="H458" s="8" t="s">
        <v>37</v>
      </c>
      <c r="I458" s="8" t="s">
        <v>53</v>
      </c>
      <c r="J458" s="8" t="s">
        <v>46</v>
      </c>
      <c r="K458" s="8" t="s">
        <v>3246</v>
      </c>
      <c r="L458" s="7">
        <v>7196</v>
      </c>
      <c r="M458" s="10" t="str">
        <f t="shared" si="42"/>
        <v>CMI02090300</v>
      </c>
      <c r="N458" s="10" t="str">
        <f t="shared" si="43"/>
        <v>REP201000</v>
      </c>
      <c r="O458" s="10" t="str">
        <f t="shared" si="44"/>
        <v>E</v>
      </c>
      <c r="P458" s="10" t="str">
        <f t="shared" si="45"/>
        <v>50</v>
      </c>
      <c r="Q458" s="10" t="str">
        <f t="shared" si="46"/>
        <v>ZRPI</v>
      </c>
      <c r="R458" s="10" t="str">
        <f t="shared" si="47"/>
        <v>39121004</v>
      </c>
    </row>
    <row r="459" spans="1:18" ht="38.25" hidden="1" x14ac:dyDescent="0.2">
      <c r="A459" s="21" t="s">
        <v>3245</v>
      </c>
      <c r="B459" s="8" t="s">
        <v>3244</v>
      </c>
      <c r="C459" s="8" t="s">
        <v>40</v>
      </c>
      <c r="D459" s="8" t="s">
        <v>241</v>
      </c>
      <c r="E459" s="8" t="s">
        <v>40</v>
      </c>
      <c r="F459" s="8" t="s">
        <v>39</v>
      </c>
      <c r="G459" s="8" t="s">
        <v>240</v>
      </c>
      <c r="H459" s="8" t="s">
        <v>37</v>
      </c>
      <c r="I459" s="8" t="s">
        <v>53</v>
      </c>
      <c r="J459" s="8" t="s">
        <v>46</v>
      </c>
      <c r="K459" s="8" t="s">
        <v>1692</v>
      </c>
      <c r="L459" s="7">
        <v>7197</v>
      </c>
      <c r="M459" s="10" t="str">
        <f t="shared" si="42"/>
        <v>CMI02090300</v>
      </c>
      <c r="N459" s="10" t="str">
        <f t="shared" si="43"/>
        <v>REP201000</v>
      </c>
      <c r="O459" s="10" t="str">
        <f t="shared" si="44"/>
        <v>E</v>
      </c>
      <c r="P459" s="10" t="str">
        <f t="shared" si="45"/>
        <v>50</v>
      </c>
      <c r="Q459" s="10" t="str">
        <f t="shared" si="46"/>
        <v>ZRPI</v>
      </c>
      <c r="R459" s="10" t="str">
        <f t="shared" si="47"/>
        <v>39121009</v>
      </c>
    </row>
    <row r="460" spans="1:18" ht="25.5" hidden="1" x14ac:dyDescent="0.2">
      <c r="A460" s="21" t="s">
        <v>3243</v>
      </c>
      <c r="B460" s="8" t="s">
        <v>3242</v>
      </c>
      <c r="C460" s="8" t="s">
        <v>40</v>
      </c>
      <c r="D460" s="8" t="s">
        <v>1648</v>
      </c>
      <c r="E460" s="8" t="s">
        <v>40</v>
      </c>
      <c r="F460" s="8" t="s">
        <v>39</v>
      </c>
      <c r="G460" s="8" t="s">
        <v>240</v>
      </c>
      <c r="H460" s="8" t="s">
        <v>37</v>
      </c>
      <c r="I460" s="8" t="s">
        <v>53</v>
      </c>
      <c r="J460" s="8" t="s">
        <v>46</v>
      </c>
      <c r="K460" s="8" t="s">
        <v>3241</v>
      </c>
      <c r="L460" s="7">
        <v>7198</v>
      </c>
      <c r="M460" s="10" t="str">
        <f t="shared" si="42"/>
        <v>CMI02070100</v>
      </c>
      <c r="N460" s="10" t="str">
        <f t="shared" si="43"/>
        <v>REP201000</v>
      </c>
      <c r="O460" s="10" t="str">
        <f t="shared" si="44"/>
        <v>E</v>
      </c>
      <c r="P460" s="10" t="str">
        <f t="shared" si="45"/>
        <v>50</v>
      </c>
      <c r="Q460" s="10" t="str">
        <f t="shared" si="46"/>
        <v>ZRPI</v>
      </c>
      <c r="R460" s="10" t="str">
        <f t="shared" si="47"/>
        <v>46171602</v>
      </c>
    </row>
    <row r="461" spans="1:18" ht="25.5" hidden="1" x14ac:dyDescent="0.2">
      <c r="A461" s="21" t="s">
        <v>3240</v>
      </c>
      <c r="B461" s="8" t="s">
        <v>3239</v>
      </c>
      <c r="C461" s="8" t="s">
        <v>40</v>
      </c>
      <c r="D461" s="8" t="s">
        <v>969</v>
      </c>
      <c r="E461" s="8" t="s">
        <v>40</v>
      </c>
      <c r="F461" s="8" t="s">
        <v>39</v>
      </c>
      <c r="G461" s="8" t="s">
        <v>54</v>
      </c>
      <c r="H461" s="8" t="s">
        <v>37</v>
      </c>
      <c r="I461" s="8" t="s">
        <v>53</v>
      </c>
      <c r="J461" s="8" t="s">
        <v>46</v>
      </c>
      <c r="K461" s="8" t="s">
        <v>3238</v>
      </c>
      <c r="L461" s="7">
        <v>7199</v>
      </c>
      <c r="M461" s="10" t="str">
        <f t="shared" si="42"/>
        <v>CMI02051200</v>
      </c>
      <c r="N461" s="10" t="str">
        <f t="shared" si="43"/>
        <v>REP201100</v>
      </c>
      <c r="O461" s="10" t="str">
        <f t="shared" si="44"/>
        <v>E</v>
      </c>
      <c r="P461" s="10" t="str">
        <f t="shared" si="45"/>
        <v>50</v>
      </c>
      <c r="Q461" s="10" t="str">
        <f t="shared" si="46"/>
        <v>ZRPI</v>
      </c>
      <c r="R461" s="10" t="str">
        <f t="shared" si="47"/>
        <v>46191501</v>
      </c>
    </row>
    <row r="462" spans="1:18" ht="25.5" hidden="1" x14ac:dyDescent="0.2">
      <c r="A462" s="21" t="s">
        <v>3237</v>
      </c>
      <c r="B462" s="8" t="s">
        <v>3236</v>
      </c>
      <c r="C462" s="8" t="s">
        <v>40</v>
      </c>
      <c r="D462" s="8" t="s">
        <v>969</v>
      </c>
      <c r="E462" s="8" t="s">
        <v>40</v>
      </c>
      <c r="F462" s="8" t="s">
        <v>39</v>
      </c>
      <c r="G462" s="8" t="s">
        <v>240</v>
      </c>
      <c r="H462" s="8" t="s">
        <v>37</v>
      </c>
      <c r="I462" s="8" t="s">
        <v>53</v>
      </c>
      <c r="J462" s="8" t="s">
        <v>46</v>
      </c>
      <c r="K462" s="8" t="s">
        <v>3235</v>
      </c>
      <c r="L462" s="7">
        <v>7200</v>
      </c>
      <c r="M462" s="10" t="str">
        <f t="shared" si="42"/>
        <v>CMI02051200</v>
      </c>
      <c r="N462" s="10" t="str">
        <f t="shared" si="43"/>
        <v>REP201000</v>
      </c>
      <c r="O462" s="10" t="str">
        <f t="shared" si="44"/>
        <v>E</v>
      </c>
      <c r="P462" s="10" t="str">
        <f t="shared" si="45"/>
        <v>50</v>
      </c>
      <c r="Q462" s="10" t="str">
        <f t="shared" si="46"/>
        <v>ZRPI</v>
      </c>
      <c r="R462" s="10" t="str">
        <f t="shared" si="47"/>
        <v>41111901</v>
      </c>
    </row>
    <row r="463" spans="1:18" ht="38.25" hidden="1" x14ac:dyDescent="0.2">
      <c r="A463" s="21" t="s">
        <v>3234</v>
      </c>
      <c r="B463" s="8" t="s">
        <v>3233</v>
      </c>
      <c r="C463" s="8" t="s">
        <v>40</v>
      </c>
      <c r="D463" s="8" t="s">
        <v>55</v>
      </c>
      <c r="E463" s="8" t="s">
        <v>40</v>
      </c>
      <c r="F463" s="8" t="s">
        <v>39</v>
      </c>
      <c r="G463" s="8" t="s">
        <v>240</v>
      </c>
      <c r="H463" s="8" t="s">
        <v>37</v>
      </c>
      <c r="I463" s="8" t="s">
        <v>53</v>
      </c>
      <c r="J463" s="8" t="s">
        <v>46</v>
      </c>
      <c r="K463" s="8" t="s">
        <v>3232</v>
      </c>
      <c r="L463" s="7">
        <v>7201</v>
      </c>
      <c r="M463" s="10" t="str">
        <f t="shared" si="42"/>
        <v>CMI02140300</v>
      </c>
      <c r="N463" s="10" t="str">
        <f t="shared" si="43"/>
        <v>REP201000</v>
      </c>
      <c r="O463" s="10" t="str">
        <f t="shared" si="44"/>
        <v>E</v>
      </c>
      <c r="P463" s="10" t="str">
        <f t="shared" si="45"/>
        <v>50</v>
      </c>
      <c r="Q463" s="10" t="str">
        <f t="shared" si="46"/>
        <v>ZRPI</v>
      </c>
      <c r="R463" s="10" t="str">
        <f t="shared" si="47"/>
        <v>41113734</v>
      </c>
    </row>
    <row r="464" spans="1:18" ht="38.25" hidden="1" x14ac:dyDescent="0.2">
      <c r="A464" s="21" t="s">
        <v>3231</v>
      </c>
      <c r="B464" s="8" t="s">
        <v>3230</v>
      </c>
      <c r="C464" s="8" t="s">
        <v>40</v>
      </c>
      <c r="D464" s="8" t="s">
        <v>55</v>
      </c>
      <c r="E464" s="8" t="s">
        <v>40</v>
      </c>
      <c r="F464" s="8" t="s">
        <v>39</v>
      </c>
      <c r="G464" s="8" t="s">
        <v>54</v>
      </c>
      <c r="H464" s="8" t="s">
        <v>37</v>
      </c>
      <c r="I464" s="8" t="s">
        <v>53</v>
      </c>
      <c r="J464" s="8" t="s">
        <v>46</v>
      </c>
      <c r="K464" s="8" t="s">
        <v>3229</v>
      </c>
      <c r="L464" s="7">
        <v>7202</v>
      </c>
      <c r="M464" s="10" t="str">
        <f t="shared" si="42"/>
        <v>CMI02140300</v>
      </c>
      <c r="N464" s="10" t="str">
        <f t="shared" si="43"/>
        <v>REP201100</v>
      </c>
      <c r="O464" s="10" t="str">
        <f t="shared" si="44"/>
        <v>E</v>
      </c>
      <c r="P464" s="10" t="str">
        <f t="shared" si="45"/>
        <v>50</v>
      </c>
      <c r="Q464" s="10" t="str">
        <f t="shared" si="46"/>
        <v>ZRPI</v>
      </c>
      <c r="R464" s="10" t="str">
        <f t="shared" si="47"/>
        <v>41112406</v>
      </c>
    </row>
    <row r="465" spans="1:18" ht="38.25" hidden="1" x14ac:dyDescent="0.2">
      <c r="A465" s="21" t="s">
        <v>3228</v>
      </c>
      <c r="B465" s="8" t="s">
        <v>3227</v>
      </c>
      <c r="C465" s="8" t="s">
        <v>40</v>
      </c>
      <c r="D465" s="8" t="s">
        <v>55</v>
      </c>
      <c r="E465" s="7">
        <v>6</v>
      </c>
      <c r="F465" s="8" t="s">
        <v>39</v>
      </c>
      <c r="G465" s="8" t="s">
        <v>54</v>
      </c>
      <c r="H465" s="8" t="s">
        <v>37</v>
      </c>
      <c r="I465" s="8" t="s">
        <v>53</v>
      </c>
      <c r="J465" s="8" t="s">
        <v>46</v>
      </c>
      <c r="K465" s="8" t="s">
        <v>3226</v>
      </c>
      <c r="L465" s="7">
        <v>7203</v>
      </c>
      <c r="M465" s="10" t="str">
        <f t="shared" si="42"/>
        <v>CMI02140300</v>
      </c>
      <c r="N465" s="10" t="str">
        <f t="shared" si="43"/>
        <v>REP201100</v>
      </c>
      <c r="O465" s="10" t="str">
        <f t="shared" si="44"/>
        <v>E</v>
      </c>
      <c r="P465" s="10" t="str">
        <f t="shared" si="45"/>
        <v>50</v>
      </c>
      <c r="Q465" s="10" t="str">
        <f t="shared" si="46"/>
        <v>ZRPI</v>
      </c>
      <c r="R465" s="10" t="str">
        <f t="shared" si="47"/>
        <v>41112514</v>
      </c>
    </row>
    <row r="466" spans="1:18" ht="38.25" hidden="1" x14ac:dyDescent="0.2">
      <c r="A466" s="21" t="s">
        <v>3225</v>
      </c>
      <c r="B466" s="8" t="s">
        <v>3224</v>
      </c>
      <c r="C466" s="8" t="s">
        <v>40</v>
      </c>
      <c r="D466" s="8" t="s">
        <v>55</v>
      </c>
      <c r="E466" s="8" t="s">
        <v>40</v>
      </c>
      <c r="F466" s="8" t="s">
        <v>39</v>
      </c>
      <c r="G466" s="8" t="s">
        <v>54</v>
      </c>
      <c r="H466" s="8" t="s">
        <v>37</v>
      </c>
      <c r="I466" s="8" t="s">
        <v>53</v>
      </c>
      <c r="J466" s="8" t="s">
        <v>46</v>
      </c>
      <c r="K466" s="8" t="s">
        <v>3223</v>
      </c>
      <c r="L466" s="7">
        <v>7204</v>
      </c>
      <c r="M466" s="10" t="str">
        <f t="shared" si="42"/>
        <v>CMI02140300</v>
      </c>
      <c r="N466" s="10" t="str">
        <f t="shared" si="43"/>
        <v>REP201100</v>
      </c>
      <c r="O466" s="10" t="str">
        <f t="shared" si="44"/>
        <v>E</v>
      </c>
      <c r="P466" s="10" t="str">
        <f t="shared" si="45"/>
        <v>50</v>
      </c>
      <c r="Q466" s="10" t="str">
        <f t="shared" si="46"/>
        <v>ZRPI</v>
      </c>
      <c r="R466" s="10" t="str">
        <f t="shared" si="47"/>
        <v>40141746</v>
      </c>
    </row>
    <row r="467" spans="1:18" ht="38.25" hidden="1" x14ac:dyDescent="0.2">
      <c r="A467" s="21" t="s">
        <v>3222</v>
      </c>
      <c r="B467" s="8" t="s">
        <v>3221</v>
      </c>
      <c r="C467" s="8" t="s">
        <v>40</v>
      </c>
      <c r="D467" s="8" t="s">
        <v>55</v>
      </c>
      <c r="E467" s="8" t="s">
        <v>40</v>
      </c>
      <c r="F467" s="8" t="s">
        <v>39</v>
      </c>
      <c r="G467" s="8" t="s">
        <v>240</v>
      </c>
      <c r="H467" s="8" t="s">
        <v>37</v>
      </c>
      <c r="I467" s="8" t="s">
        <v>53</v>
      </c>
      <c r="J467" s="8" t="s">
        <v>46</v>
      </c>
      <c r="K467" s="8" t="s">
        <v>3220</v>
      </c>
      <c r="L467" s="7">
        <v>7205</v>
      </c>
      <c r="M467" s="10" t="str">
        <f t="shared" si="42"/>
        <v>CMI02140300</v>
      </c>
      <c r="N467" s="10" t="str">
        <f t="shared" si="43"/>
        <v>REP201000</v>
      </c>
      <c r="O467" s="10" t="str">
        <f t="shared" si="44"/>
        <v>E</v>
      </c>
      <c r="P467" s="10" t="str">
        <f t="shared" si="45"/>
        <v>50</v>
      </c>
      <c r="Q467" s="10" t="str">
        <f t="shared" si="46"/>
        <v>ZRPI</v>
      </c>
      <c r="R467" s="10" t="str">
        <f t="shared" si="47"/>
        <v>41112301</v>
      </c>
    </row>
    <row r="468" spans="1:18" ht="38.25" hidden="1" x14ac:dyDescent="0.2">
      <c r="A468" s="21" t="s">
        <v>3219</v>
      </c>
      <c r="B468" s="8" t="s">
        <v>3218</v>
      </c>
      <c r="C468" s="8" t="s">
        <v>40</v>
      </c>
      <c r="D468" s="8" t="s">
        <v>55</v>
      </c>
      <c r="E468" s="8" t="s">
        <v>40</v>
      </c>
      <c r="F468" s="8" t="s">
        <v>39</v>
      </c>
      <c r="G468" s="8" t="s">
        <v>240</v>
      </c>
      <c r="H468" s="8" t="s">
        <v>37</v>
      </c>
      <c r="I468" s="8" t="s">
        <v>53</v>
      </c>
      <c r="J468" s="8" t="s">
        <v>46</v>
      </c>
      <c r="K468" s="8" t="s">
        <v>262</v>
      </c>
      <c r="L468" s="7">
        <v>7206</v>
      </c>
      <c r="M468" s="10" t="str">
        <f t="shared" si="42"/>
        <v>CMI02140300</v>
      </c>
      <c r="N468" s="10" t="str">
        <f t="shared" si="43"/>
        <v>REP201000</v>
      </c>
      <c r="O468" s="10" t="str">
        <f t="shared" si="44"/>
        <v>E</v>
      </c>
      <c r="P468" s="10" t="str">
        <f t="shared" si="45"/>
        <v>50</v>
      </c>
      <c r="Q468" s="10" t="str">
        <f t="shared" si="46"/>
        <v>ZRPI</v>
      </c>
      <c r="R468" s="10" t="str">
        <f t="shared" si="47"/>
        <v>41111900</v>
      </c>
    </row>
    <row r="469" spans="1:18" ht="38.25" hidden="1" x14ac:dyDescent="0.2">
      <c r="A469" s="21" t="s">
        <v>3217</v>
      </c>
      <c r="B469" s="8" t="s">
        <v>3216</v>
      </c>
      <c r="C469" s="8" t="s">
        <v>40</v>
      </c>
      <c r="D469" s="8" t="s">
        <v>55</v>
      </c>
      <c r="E469" s="8" t="s">
        <v>40</v>
      </c>
      <c r="F469" s="8" t="s">
        <v>39</v>
      </c>
      <c r="G469" s="8" t="s">
        <v>240</v>
      </c>
      <c r="H469" s="8" t="s">
        <v>37</v>
      </c>
      <c r="I469" s="8" t="s">
        <v>53</v>
      </c>
      <c r="J469" s="8" t="s">
        <v>46</v>
      </c>
      <c r="K469" s="8" t="s">
        <v>2845</v>
      </c>
      <c r="L469" s="7">
        <v>7207</v>
      </c>
      <c r="M469" s="10" t="str">
        <f t="shared" si="42"/>
        <v>CMI02140300</v>
      </c>
      <c r="N469" s="10" t="str">
        <f t="shared" si="43"/>
        <v>REP201000</v>
      </c>
      <c r="O469" s="10" t="str">
        <f t="shared" si="44"/>
        <v>E</v>
      </c>
      <c r="P469" s="10" t="str">
        <f t="shared" si="45"/>
        <v>50</v>
      </c>
      <c r="Q469" s="10" t="str">
        <f t="shared" si="46"/>
        <v>ZRPI</v>
      </c>
      <c r="R469" s="10" t="str">
        <f t="shared" si="47"/>
        <v>41113600</v>
      </c>
    </row>
    <row r="470" spans="1:18" ht="38.25" hidden="1" x14ac:dyDescent="0.2">
      <c r="A470" s="21" t="s">
        <v>3215</v>
      </c>
      <c r="B470" s="8" t="s">
        <v>3214</v>
      </c>
      <c r="C470" s="8" t="s">
        <v>40</v>
      </c>
      <c r="D470" s="8" t="s">
        <v>55</v>
      </c>
      <c r="E470" s="8" t="s">
        <v>40</v>
      </c>
      <c r="F470" s="8" t="s">
        <v>39</v>
      </c>
      <c r="G470" s="8" t="s">
        <v>240</v>
      </c>
      <c r="H470" s="8" t="s">
        <v>37</v>
      </c>
      <c r="I470" s="8" t="s">
        <v>53</v>
      </c>
      <c r="J470" s="8" t="s">
        <v>46</v>
      </c>
      <c r="K470" s="8" t="s">
        <v>3068</v>
      </c>
      <c r="L470" s="7">
        <v>7208</v>
      </c>
      <c r="M470" s="10" t="str">
        <f t="shared" si="42"/>
        <v>CMI02140300</v>
      </c>
      <c r="N470" s="10" t="str">
        <f t="shared" si="43"/>
        <v>REP201000</v>
      </c>
      <c r="O470" s="10" t="str">
        <f t="shared" si="44"/>
        <v>E</v>
      </c>
      <c r="P470" s="10" t="str">
        <f t="shared" si="45"/>
        <v>50</v>
      </c>
      <c r="Q470" s="10" t="str">
        <f t="shared" si="46"/>
        <v>ZRPI</v>
      </c>
      <c r="R470" s="10" t="str">
        <f t="shared" si="47"/>
        <v>41115305</v>
      </c>
    </row>
    <row r="471" spans="1:18" ht="38.25" hidden="1" x14ac:dyDescent="0.2">
      <c r="A471" s="21" t="s">
        <v>3213</v>
      </c>
      <c r="B471" s="8" t="s">
        <v>3212</v>
      </c>
      <c r="C471" s="8" t="s">
        <v>40</v>
      </c>
      <c r="D471" s="8" t="s">
        <v>55</v>
      </c>
      <c r="E471" s="8" t="s">
        <v>40</v>
      </c>
      <c r="F471" s="8" t="s">
        <v>39</v>
      </c>
      <c r="G471" s="8" t="s">
        <v>240</v>
      </c>
      <c r="H471" s="8" t="s">
        <v>37</v>
      </c>
      <c r="I471" s="8" t="s">
        <v>53</v>
      </c>
      <c r="J471" s="8" t="s">
        <v>46</v>
      </c>
      <c r="K471" s="8" t="s">
        <v>52</v>
      </c>
      <c r="L471" s="7">
        <v>7209</v>
      </c>
      <c r="M471" s="10" t="str">
        <f t="shared" si="42"/>
        <v>CMI02140300</v>
      </c>
      <c r="N471" s="10" t="str">
        <f t="shared" si="43"/>
        <v>REP201000</v>
      </c>
      <c r="O471" s="10" t="str">
        <f t="shared" si="44"/>
        <v>E</v>
      </c>
      <c r="P471" s="10" t="str">
        <f t="shared" si="45"/>
        <v>50</v>
      </c>
      <c r="Q471" s="10" t="str">
        <f t="shared" si="46"/>
        <v>ZRPI</v>
      </c>
      <c r="R471" s="10" t="str">
        <f t="shared" si="47"/>
        <v>41113708</v>
      </c>
    </row>
    <row r="472" spans="1:18" ht="38.25" hidden="1" x14ac:dyDescent="0.2">
      <c r="A472" s="21" t="s">
        <v>3211</v>
      </c>
      <c r="B472" s="8" t="s">
        <v>3210</v>
      </c>
      <c r="C472" s="8" t="s">
        <v>40</v>
      </c>
      <c r="D472" s="8" t="s">
        <v>55</v>
      </c>
      <c r="E472" s="8" t="s">
        <v>40</v>
      </c>
      <c r="F472" s="8" t="s">
        <v>39</v>
      </c>
      <c r="G472" s="8" t="s">
        <v>240</v>
      </c>
      <c r="H472" s="8" t="s">
        <v>37</v>
      </c>
      <c r="I472" s="8" t="s">
        <v>53</v>
      </c>
      <c r="J472" s="8" t="s">
        <v>46</v>
      </c>
      <c r="K472" s="8" t="s">
        <v>3209</v>
      </c>
      <c r="L472" s="7">
        <v>7210</v>
      </c>
      <c r="M472" s="10" t="str">
        <f t="shared" si="42"/>
        <v>CMI02140300</v>
      </c>
      <c r="N472" s="10" t="str">
        <f t="shared" si="43"/>
        <v>REP201000</v>
      </c>
      <c r="O472" s="10" t="str">
        <f t="shared" si="44"/>
        <v>E</v>
      </c>
      <c r="P472" s="10" t="str">
        <f t="shared" si="45"/>
        <v>50</v>
      </c>
      <c r="Q472" s="10" t="str">
        <f t="shared" si="46"/>
        <v>ZRPI</v>
      </c>
      <c r="R472" s="10" t="str">
        <f t="shared" si="47"/>
        <v>41114200</v>
      </c>
    </row>
    <row r="473" spans="1:18" ht="38.25" hidden="1" x14ac:dyDescent="0.2">
      <c r="A473" s="21" t="s">
        <v>3208</v>
      </c>
      <c r="B473" s="8" t="s">
        <v>3207</v>
      </c>
      <c r="C473" s="8" t="s">
        <v>40</v>
      </c>
      <c r="D473" s="8" t="s">
        <v>990</v>
      </c>
      <c r="E473" s="8" t="s">
        <v>40</v>
      </c>
      <c r="F473" s="8" t="s">
        <v>39</v>
      </c>
      <c r="G473" s="8" t="s">
        <v>240</v>
      </c>
      <c r="H473" s="8" t="s">
        <v>37</v>
      </c>
      <c r="I473" s="8" t="s">
        <v>53</v>
      </c>
      <c r="J473" s="8" t="s">
        <v>46</v>
      </c>
      <c r="K473" s="8" t="s">
        <v>3206</v>
      </c>
      <c r="L473" s="7">
        <v>7211</v>
      </c>
      <c r="M473" s="10" t="str">
        <f t="shared" si="42"/>
        <v>CMI02090500</v>
      </c>
      <c r="N473" s="10" t="str">
        <f t="shared" si="43"/>
        <v>REP201000</v>
      </c>
      <c r="O473" s="10" t="str">
        <f t="shared" si="44"/>
        <v>E</v>
      </c>
      <c r="P473" s="10" t="str">
        <f t="shared" si="45"/>
        <v>50</v>
      </c>
      <c r="Q473" s="10" t="str">
        <f t="shared" si="46"/>
        <v>ZRPI</v>
      </c>
      <c r="R473" s="10" t="str">
        <f t="shared" si="47"/>
        <v>31241502</v>
      </c>
    </row>
    <row r="474" spans="1:18" ht="38.25" hidden="1" x14ac:dyDescent="0.2">
      <c r="A474" s="21" t="s">
        <v>3205</v>
      </c>
      <c r="B474" s="8" t="s">
        <v>3204</v>
      </c>
      <c r="C474" s="8" t="s">
        <v>40</v>
      </c>
      <c r="D474" s="8" t="s">
        <v>55</v>
      </c>
      <c r="E474" s="8" t="s">
        <v>40</v>
      </c>
      <c r="F474" s="8" t="s">
        <v>39</v>
      </c>
      <c r="G474" s="8" t="s">
        <v>240</v>
      </c>
      <c r="H474" s="8" t="s">
        <v>37</v>
      </c>
      <c r="I474" s="8" t="s">
        <v>53</v>
      </c>
      <c r="J474" s="8" t="s">
        <v>46</v>
      </c>
      <c r="K474" s="8" t="s">
        <v>3203</v>
      </c>
      <c r="L474" s="7">
        <v>7212</v>
      </c>
      <c r="M474" s="10" t="str">
        <f t="shared" si="42"/>
        <v>CMI02140300</v>
      </c>
      <c r="N474" s="10" t="str">
        <f t="shared" si="43"/>
        <v>REP201000</v>
      </c>
      <c r="O474" s="10" t="str">
        <f t="shared" si="44"/>
        <v>E</v>
      </c>
      <c r="P474" s="10" t="str">
        <f t="shared" si="45"/>
        <v>50</v>
      </c>
      <c r="Q474" s="10" t="str">
        <f t="shared" si="46"/>
        <v>ZRPI</v>
      </c>
      <c r="R474" s="10" t="str">
        <f t="shared" si="47"/>
        <v>41111927</v>
      </c>
    </row>
    <row r="475" spans="1:18" ht="38.25" hidden="1" x14ac:dyDescent="0.2">
      <c r="A475" s="21" t="s">
        <v>3202</v>
      </c>
      <c r="B475" s="8" t="s">
        <v>3201</v>
      </c>
      <c r="C475" s="8" t="s">
        <v>40</v>
      </c>
      <c r="D475" s="8" t="s">
        <v>55</v>
      </c>
      <c r="E475" s="8" t="s">
        <v>40</v>
      </c>
      <c r="F475" s="8" t="s">
        <v>39</v>
      </c>
      <c r="G475" s="8" t="s">
        <v>240</v>
      </c>
      <c r="H475" s="8" t="s">
        <v>37</v>
      </c>
      <c r="I475" s="8" t="s">
        <v>53</v>
      </c>
      <c r="J475" s="8" t="s">
        <v>46</v>
      </c>
      <c r="K475" s="8" t="s">
        <v>3200</v>
      </c>
      <c r="L475" s="7">
        <v>7213</v>
      </c>
      <c r="M475" s="10" t="str">
        <f t="shared" si="42"/>
        <v>CMI02140300</v>
      </c>
      <c r="N475" s="10" t="str">
        <f t="shared" si="43"/>
        <v>REP201000</v>
      </c>
      <c r="O475" s="10" t="str">
        <f t="shared" si="44"/>
        <v>E</v>
      </c>
      <c r="P475" s="10" t="str">
        <f t="shared" si="45"/>
        <v>50</v>
      </c>
      <c r="Q475" s="10" t="str">
        <f t="shared" si="46"/>
        <v>ZRPI</v>
      </c>
      <c r="R475" s="10" t="str">
        <f t="shared" si="47"/>
        <v>41112802</v>
      </c>
    </row>
    <row r="476" spans="1:18" ht="38.25" hidden="1" x14ac:dyDescent="0.2">
      <c r="A476" s="21" t="s">
        <v>3199</v>
      </c>
      <c r="B476" s="8" t="s">
        <v>3198</v>
      </c>
      <c r="C476" s="8" t="s">
        <v>40</v>
      </c>
      <c r="D476" s="8" t="s">
        <v>55</v>
      </c>
      <c r="E476" s="8" t="s">
        <v>40</v>
      </c>
      <c r="F476" s="8" t="s">
        <v>39</v>
      </c>
      <c r="G476" s="8" t="s">
        <v>54</v>
      </c>
      <c r="H476" s="8" t="s">
        <v>37</v>
      </c>
      <c r="I476" s="8" t="s">
        <v>53</v>
      </c>
      <c r="J476" s="8" t="s">
        <v>46</v>
      </c>
      <c r="K476" s="8" t="s">
        <v>3197</v>
      </c>
      <c r="L476" s="7">
        <v>7214</v>
      </c>
      <c r="M476" s="10" t="str">
        <f t="shared" si="42"/>
        <v>CMI02140300</v>
      </c>
      <c r="N476" s="10" t="str">
        <f t="shared" si="43"/>
        <v>REP201100</v>
      </c>
      <c r="O476" s="10" t="str">
        <f t="shared" si="44"/>
        <v>E</v>
      </c>
      <c r="P476" s="10" t="str">
        <f t="shared" si="45"/>
        <v>50</v>
      </c>
      <c r="Q476" s="10" t="str">
        <f t="shared" si="46"/>
        <v>ZRPI</v>
      </c>
      <c r="R476" s="10" t="str">
        <f t="shared" si="47"/>
        <v>41112216</v>
      </c>
    </row>
    <row r="477" spans="1:18" ht="38.25" hidden="1" x14ac:dyDescent="0.2">
      <c r="A477" s="21" t="s">
        <v>3196</v>
      </c>
      <c r="B477" s="8" t="s">
        <v>3195</v>
      </c>
      <c r="C477" s="8" t="s">
        <v>40</v>
      </c>
      <c r="D477" s="8" t="s">
        <v>55</v>
      </c>
      <c r="E477" s="8" t="s">
        <v>40</v>
      </c>
      <c r="F477" s="8" t="s">
        <v>39</v>
      </c>
      <c r="G477" s="8" t="s">
        <v>240</v>
      </c>
      <c r="H477" s="8" t="s">
        <v>37</v>
      </c>
      <c r="I477" s="8" t="s">
        <v>53</v>
      </c>
      <c r="J477" s="8" t="s">
        <v>46</v>
      </c>
      <c r="K477" s="8" t="s">
        <v>3194</v>
      </c>
      <c r="L477" s="7">
        <v>7215</v>
      </c>
      <c r="M477" s="10" t="str">
        <f t="shared" si="42"/>
        <v>CMI02140300</v>
      </c>
      <c r="N477" s="10" t="str">
        <f t="shared" si="43"/>
        <v>REP201000</v>
      </c>
      <c r="O477" s="10" t="str">
        <f t="shared" si="44"/>
        <v>E</v>
      </c>
      <c r="P477" s="10" t="str">
        <f t="shared" si="45"/>
        <v>50</v>
      </c>
      <c r="Q477" s="10" t="str">
        <f t="shared" si="46"/>
        <v>ZRPI</v>
      </c>
      <c r="R477" s="10" t="str">
        <f t="shared" si="47"/>
        <v>39121523</v>
      </c>
    </row>
    <row r="478" spans="1:18" ht="38.25" hidden="1" x14ac:dyDescent="0.2">
      <c r="A478" s="21" t="s">
        <v>3193</v>
      </c>
      <c r="B478" s="8" t="s">
        <v>3192</v>
      </c>
      <c r="C478" s="8" t="s">
        <v>40</v>
      </c>
      <c r="D478" s="8" t="s">
        <v>55</v>
      </c>
      <c r="E478" s="8" t="s">
        <v>40</v>
      </c>
      <c r="F478" s="8" t="s">
        <v>39</v>
      </c>
      <c r="G478" s="8" t="s">
        <v>240</v>
      </c>
      <c r="H478" s="8" t="s">
        <v>37</v>
      </c>
      <c r="I478" s="8" t="s">
        <v>53</v>
      </c>
      <c r="J478" s="8" t="s">
        <v>46</v>
      </c>
      <c r="K478" s="8" t="s">
        <v>3191</v>
      </c>
      <c r="L478" s="7">
        <v>7216</v>
      </c>
      <c r="M478" s="10" t="str">
        <f t="shared" si="42"/>
        <v>CMI02140300</v>
      </c>
      <c r="N478" s="10" t="str">
        <f t="shared" si="43"/>
        <v>REP201000</v>
      </c>
      <c r="O478" s="10" t="str">
        <f t="shared" si="44"/>
        <v>E</v>
      </c>
      <c r="P478" s="10" t="str">
        <f t="shared" si="45"/>
        <v>50</v>
      </c>
      <c r="Q478" s="10" t="str">
        <f t="shared" si="46"/>
        <v>ZRPI</v>
      </c>
      <c r="R478" s="10" t="str">
        <f t="shared" si="47"/>
        <v>41112410</v>
      </c>
    </row>
    <row r="479" spans="1:18" ht="38.25" hidden="1" x14ac:dyDescent="0.2">
      <c r="A479" s="21" t="s">
        <v>3190</v>
      </c>
      <c r="B479" s="8" t="s">
        <v>3189</v>
      </c>
      <c r="C479" s="8" t="s">
        <v>40</v>
      </c>
      <c r="D479" s="8" t="s">
        <v>1059</v>
      </c>
      <c r="E479" s="8" t="s">
        <v>40</v>
      </c>
      <c r="F479" s="8" t="s">
        <v>39</v>
      </c>
      <c r="G479" s="8" t="s">
        <v>54</v>
      </c>
      <c r="H479" s="8" t="s">
        <v>37</v>
      </c>
      <c r="I479" s="8" t="s">
        <v>53</v>
      </c>
      <c r="J479" s="8" t="s">
        <v>46</v>
      </c>
      <c r="K479" s="8" t="s">
        <v>3026</v>
      </c>
      <c r="L479" s="7">
        <v>7217</v>
      </c>
      <c r="M479" s="10" t="str">
        <f t="shared" si="42"/>
        <v>CMI02090600</v>
      </c>
      <c r="N479" s="10" t="str">
        <f t="shared" si="43"/>
        <v>REP201100</v>
      </c>
      <c r="O479" s="10" t="str">
        <f t="shared" si="44"/>
        <v>E</v>
      </c>
      <c r="P479" s="10" t="str">
        <f t="shared" si="45"/>
        <v>50</v>
      </c>
      <c r="Q479" s="10" t="str">
        <f t="shared" si="46"/>
        <v>ZRPI</v>
      </c>
      <c r="R479" s="10" t="str">
        <f t="shared" si="47"/>
        <v>31411700</v>
      </c>
    </row>
    <row r="480" spans="1:18" ht="25.5" hidden="1" x14ac:dyDescent="0.2">
      <c r="A480" s="21" t="s">
        <v>3188</v>
      </c>
      <c r="B480" s="8" t="s">
        <v>3187</v>
      </c>
      <c r="C480" s="8" t="s">
        <v>40</v>
      </c>
      <c r="D480" s="8" t="s">
        <v>363</v>
      </c>
      <c r="E480" s="8" t="s">
        <v>40</v>
      </c>
      <c r="F480" s="8" t="s">
        <v>39</v>
      </c>
      <c r="G480" s="8" t="s">
        <v>54</v>
      </c>
      <c r="H480" s="8" t="s">
        <v>37</v>
      </c>
      <c r="I480" s="8" t="s">
        <v>53</v>
      </c>
      <c r="J480" s="8" t="s">
        <v>46</v>
      </c>
      <c r="K480" s="8" t="s">
        <v>3097</v>
      </c>
      <c r="L480" s="7">
        <v>7218</v>
      </c>
      <c r="M480" s="10" t="str">
        <f t="shared" si="42"/>
        <v>CMI02051300</v>
      </c>
      <c r="N480" s="10" t="str">
        <f t="shared" si="43"/>
        <v>REP201100</v>
      </c>
      <c r="O480" s="10" t="str">
        <f t="shared" si="44"/>
        <v>E</v>
      </c>
      <c r="P480" s="10" t="str">
        <f t="shared" si="45"/>
        <v>50</v>
      </c>
      <c r="Q480" s="10" t="str">
        <f t="shared" si="46"/>
        <v>ZRPI</v>
      </c>
      <c r="R480" s="10" t="str">
        <f t="shared" si="47"/>
        <v>24111802</v>
      </c>
    </row>
    <row r="481" spans="1:18" ht="38.25" hidden="1" x14ac:dyDescent="0.2">
      <c r="A481" s="21" t="s">
        <v>3186</v>
      </c>
      <c r="B481" s="8" t="s">
        <v>3185</v>
      </c>
      <c r="C481" s="8" t="s">
        <v>40</v>
      </c>
      <c r="D481" s="8" t="s">
        <v>1824</v>
      </c>
      <c r="E481" s="8" t="s">
        <v>40</v>
      </c>
      <c r="F481" s="8" t="s">
        <v>39</v>
      </c>
      <c r="G481" s="8" t="s">
        <v>54</v>
      </c>
      <c r="H481" s="8" t="s">
        <v>37</v>
      </c>
      <c r="I481" s="8" t="s">
        <v>53</v>
      </c>
      <c r="J481" s="8" t="s">
        <v>46</v>
      </c>
      <c r="K481" s="8" t="s">
        <v>3184</v>
      </c>
      <c r="L481" s="7">
        <v>7219</v>
      </c>
      <c r="M481" s="10" t="str">
        <f t="shared" si="42"/>
        <v>CMI02051000</v>
      </c>
      <c r="N481" s="10" t="str">
        <f t="shared" si="43"/>
        <v>REP201100</v>
      </c>
      <c r="O481" s="10" t="str">
        <f t="shared" si="44"/>
        <v>E</v>
      </c>
      <c r="P481" s="10" t="str">
        <f t="shared" si="45"/>
        <v>50</v>
      </c>
      <c r="Q481" s="10" t="str">
        <f t="shared" si="46"/>
        <v>ZRPI</v>
      </c>
      <c r="R481" s="10" t="str">
        <f t="shared" si="47"/>
        <v>30266408</v>
      </c>
    </row>
    <row r="482" spans="1:18" ht="25.5" hidden="1" x14ac:dyDescent="0.2">
      <c r="A482" s="21" t="s">
        <v>3183</v>
      </c>
      <c r="B482" s="8" t="s">
        <v>3182</v>
      </c>
      <c r="C482" s="8" t="s">
        <v>40</v>
      </c>
      <c r="D482" s="8" t="s">
        <v>363</v>
      </c>
      <c r="E482" s="8" t="s">
        <v>40</v>
      </c>
      <c r="F482" s="8" t="s">
        <v>39</v>
      </c>
      <c r="G482" s="8" t="s">
        <v>54</v>
      </c>
      <c r="H482" s="8" t="s">
        <v>37</v>
      </c>
      <c r="I482" s="8" t="s">
        <v>53</v>
      </c>
      <c r="J482" s="8" t="s">
        <v>46</v>
      </c>
      <c r="K482" s="8" t="s">
        <v>3181</v>
      </c>
      <c r="L482" s="7">
        <v>7220</v>
      </c>
      <c r="M482" s="10" t="str">
        <f t="shared" si="42"/>
        <v>CMI02051300</v>
      </c>
      <c r="N482" s="10" t="str">
        <f t="shared" si="43"/>
        <v>REP201100</v>
      </c>
      <c r="O482" s="10" t="str">
        <f t="shared" si="44"/>
        <v>E</v>
      </c>
      <c r="P482" s="10" t="str">
        <f t="shared" si="45"/>
        <v>50</v>
      </c>
      <c r="Q482" s="10" t="str">
        <f t="shared" si="46"/>
        <v>ZRPI</v>
      </c>
      <c r="R482" s="10" t="str">
        <f t="shared" si="47"/>
        <v>13101723</v>
      </c>
    </row>
    <row r="483" spans="1:18" ht="25.5" hidden="1" x14ac:dyDescent="0.2">
      <c r="A483" s="21" t="s">
        <v>3180</v>
      </c>
      <c r="B483" s="8" t="s">
        <v>3179</v>
      </c>
      <c r="C483" s="8" t="s">
        <v>40</v>
      </c>
      <c r="D483" s="8" t="s">
        <v>1177</v>
      </c>
      <c r="E483" s="7">
        <v>6</v>
      </c>
      <c r="F483" s="8" t="s">
        <v>39</v>
      </c>
      <c r="G483" s="8" t="s">
        <v>240</v>
      </c>
      <c r="H483" s="8" t="s">
        <v>37</v>
      </c>
      <c r="I483" s="8" t="s">
        <v>36</v>
      </c>
      <c r="J483" s="8" t="s">
        <v>46</v>
      </c>
      <c r="K483" s="8" t="s">
        <v>3178</v>
      </c>
      <c r="L483" s="7">
        <v>7221</v>
      </c>
      <c r="M483" s="10" t="str">
        <f t="shared" si="42"/>
        <v>CMI02051400</v>
      </c>
      <c r="N483" s="10" t="str">
        <f t="shared" si="43"/>
        <v>REP201000</v>
      </c>
      <c r="O483" s="10" t="str">
        <f t="shared" si="44"/>
        <v>E</v>
      </c>
      <c r="P483" s="10" t="str">
        <f t="shared" si="45"/>
        <v>10</v>
      </c>
      <c r="Q483" s="10" t="str">
        <f t="shared" si="46"/>
        <v>ZRPI</v>
      </c>
      <c r="R483" s="10" t="str">
        <f t="shared" si="47"/>
        <v>30262200</v>
      </c>
    </row>
    <row r="484" spans="1:18" ht="25.5" hidden="1" x14ac:dyDescent="0.2">
      <c r="A484" s="21" t="s">
        <v>3177</v>
      </c>
      <c r="B484" s="8" t="s">
        <v>3176</v>
      </c>
      <c r="C484" s="8" t="s">
        <v>40</v>
      </c>
      <c r="D484" s="8" t="s">
        <v>1177</v>
      </c>
      <c r="E484" s="8" t="s">
        <v>40</v>
      </c>
      <c r="F484" s="8" t="s">
        <v>39</v>
      </c>
      <c r="G484" s="8" t="s">
        <v>240</v>
      </c>
      <c r="H484" s="8" t="s">
        <v>37</v>
      </c>
      <c r="I484" s="8" t="s">
        <v>53</v>
      </c>
      <c r="J484" s="8" t="s">
        <v>46</v>
      </c>
      <c r="K484" s="8" t="s">
        <v>3175</v>
      </c>
      <c r="L484" s="7">
        <v>7222</v>
      </c>
      <c r="M484" s="10" t="str">
        <f t="shared" si="42"/>
        <v>CMI02051400</v>
      </c>
      <c r="N484" s="10" t="str">
        <f t="shared" si="43"/>
        <v>REP201000</v>
      </c>
      <c r="O484" s="10" t="str">
        <f t="shared" si="44"/>
        <v>E</v>
      </c>
      <c r="P484" s="10" t="str">
        <f t="shared" si="45"/>
        <v>50</v>
      </c>
      <c r="Q484" s="10" t="str">
        <f t="shared" si="46"/>
        <v>ZRPI</v>
      </c>
      <c r="R484" s="10" t="str">
        <f t="shared" si="47"/>
        <v>30102209</v>
      </c>
    </row>
    <row r="485" spans="1:18" ht="25.5" hidden="1" x14ac:dyDescent="0.2">
      <c r="A485" s="21" t="s">
        <v>3174</v>
      </c>
      <c r="B485" s="8" t="s">
        <v>3173</v>
      </c>
      <c r="C485" s="8" t="s">
        <v>40</v>
      </c>
      <c r="D485" s="8" t="s">
        <v>1648</v>
      </c>
      <c r="E485" s="8" t="s">
        <v>40</v>
      </c>
      <c r="F485" s="8" t="s">
        <v>39</v>
      </c>
      <c r="G485" s="8" t="s">
        <v>240</v>
      </c>
      <c r="H485" s="8" t="s">
        <v>37</v>
      </c>
      <c r="I485" s="8" t="s">
        <v>53</v>
      </c>
      <c r="J485" s="8" t="s">
        <v>46</v>
      </c>
      <c r="K485" s="8" t="s">
        <v>3172</v>
      </c>
      <c r="L485" s="7">
        <v>7223</v>
      </c>
      <c r="M485" s="10" t="str">
        <f t="shared" si="42"/>
        <v>CMI02070100</v>
      </c>
      <c r="N485" s="10" t="str">
        <f t="shared" si="43"/>
        <v>REP201000</v>
      </c>
      <c r="O485" s="10" t="str">
        <f t="shared" si="44"/>
        <v>E</v>
      </c>
      <c r="P485" s="10" t="str">
        <f t="shared" si="45"/>
        <v>50</v>
      </c>
      <c r="Q485" s="10" t="str">
        <f t="shared" si="46"/>
        <v>ZRPI</v>
      </c>
      <c r="R485" s="10" t="str">
        <f t="shared" si="47"/>
        <v>39121454</v>
      </c>
    </row>
    <row r="486" spans="1:18" ht="25.5" hidden="1" x14ac:dyDescent="0.2">
      <c r="A486" s="21" t="s">
        <v>3171</v>
      </c>
      <c r="B486" s="8" t="s">
        <v>3170</v>
      </c>
      <c r="C486" s="8" t="s">
        <v>40</v>
      </c>
      <c r="D486" s="8" t="s">
        <v>256</v>
      </c>
      <c r="E486" s="8" t="s">
        <v>40</v>
      </c>
      <c r="F486" s="8" t="s">
        <v>39</v>
      </c>
      <c r="G486" s="8" t="s">
        <v>54</v>
      </c>
      <c r="H486" s="8" t="s">
        <v>37</v>
      </c>
      <c r="I486" s="8" t="s">
        <v>53</v>
      </c>
      <c r="J486" s="8" t="s">
        <v>46</v>
      </c>
      <c r="K486" s="8" t="s">
        <v>3169</v>
      </c>
      <c r="L486" s="7">
        <v>7224</v>
      </c>
      <c r="M486" s="10" t="str">
        <f t="shared" si="42"/>
        <v>CMI02090900</v>
      </c>
      <c r="N486" s="10" t="str">
        <f t="shared" si="43"/>
        <v>REP201100</v>
      </c>
      <c r="O486" s="10" t="str">
        <f t="shared" si="44"/>
        <v>E</v>
      </c>
      <c r="P486" s="10" t="str">
        <f t="shared" si="45"/>
        <v>50</v>
      </c>
      <c r="Q486" s="10" t="str">
        <f t="shared" si="46"/>
        <v>ZRPI</v>
      </c>
      <c r="R486" s="10" t="str">
        <f t="shared" si="47"/>
        <v>26111512</v>
      </c>
    </row>
    <row r="487" spans="1:18" ht="25.5" hidden="1" x14ac:dyDescent="0.2">
      <c r="A487" s="21" t="s">
        <v>3168</v>
      </c>
      <c r="B487" s="8" t="s">
        <v>3167</v>
      </c>
      <c r="C487" s="8" t="s">
        <v>40</v>
      </c>
      <c r="D487" s="8" t="s">
        <v>256</v>
      </c>
      <c r="E487" s="8" t="s">
        <v>40</v>
      </c>
      <c r="F487" s="8" t="s">
        <v>39</v>
      </c>
      <c r="G487" s="8" t="s">
        <v>54</v>
      </c>
      <c r="H487" s="8" t="s">
        <v>37</v>
      </c>
      <c r="I487" s="8" t="s">
        <v>53</v>
      </c>
      <c r="J487" s="8" t="s">
        <v>46</v>
      </c>
      <c r="K487" s="8" t="s">
        <v>3166</v>
      </c>
      <c r="L487" s="7">
        <v>7225</v>
      </c>
      <c r="M487" s="10" t="str">
        <f t="shared" si="42"/>
        <v>CMI02090900</v>
      </c>
      <c r="N487" s="10" t="str">
        <f t="shared" si="43"/>
        <v>REP201100</v>
      </c>
      <c r="O487" s="10" t="str">
        <f t="shared" si="44"/>
        <v>E</v>
      </c>
      <c r="P487" s="10" t="str">
        <f t="shared" si="45"/>
        <v>50</v>
      </c>
      <c r="Q487" s="10" t="str">
        <f t="shared" si="46"/>
        <v>ZRPI</v>
      </c>
      <c r="R487" s="10" t="str">
        <f t="shared" si="47"/>
        <v>40151500</v>
      </c>
    </row>
    <row r="488" spans="1:18" ht="25.5" hidden="1" x14ac:dyDescent="0.2">
      <c r="A488" s="21" t="s">
        <v>3165</v>
      </c>
      <c r="B488" s="8" t="s">
        <v>3164</v>
      </c>
      <c r="C488" s="8" t="s">
        <v>40</v>
      </c>
      <c r="D488" s="8" t="s">
        <v>249</v>
      </c>
      <c r="E488" s="8" t="s">
        <v>40</v>
      </c>
      <c r="F488" s="8" t="s">
        <v>39</v>
      </c>
      <c r="G488" s="8" t="s">
        <v>240</v>
      </c>
      <c r="H488" s="8" t="s">
        <v>37</v>
      </c>
      <c r="I488" s="8" t="s">
        <v>53</v>
      </c>
      <c r="J488" s="8" t="s">
        <v>46</v>
      </c>
      <c r="K488" s="8" t="s">
        <v>2327</v>
      </c>
      <c r="L488" s="7">
        <v>7226</v>
      </c>
      <c r="M488" s="10" t="str">
        <f t="shared" si="42"/>
        <v>CMI02090700</v>
      </c>
      <c r="N488" s="10" t="str">
        <f t="shared" si="43"/>
        <v>REP201000</v>
      </c>
      <c r="O488" s="10" t="str">
        <f t="shared" si="44"/>
        <v>E</v>
      </c>
      <c r="P488" s="10" t="str">
        <f t="shared" si="45"/>
        <v>50</v>
      </c>
      <c r="Q488" s="10" t="str">
        <f t="shared" si="46"/>
        <v>ZRPI</v>
      </c>
      <c r="R488" s="10" t="str">
        <f t="shared" si="47"/>
        <v>39121719</v>
      </c>
    </row>
    <row r="489" spans="1:18" ht="25.5" hidden="1" x14ac:dyDescent="0.2">
      <c r="A489" s="21" t="s">
        <v>3163</v>
      </c>
      <c r="B489" s="8" t="s">
        <v>3162</v>
      </c>
      <c r="C489" s="8" t="s">
        <v>40</v>
      </c>
      <c r="D489" s="8" t="s">
        <v>241</v>
      </c>
      <c r="E489" s="8" t="s">
        <v>40</v>
      </c>
      <c r="F489" s="8" t="s">
        <v>39</v>
      </c>
      <c r="G489" s="8" t="s">
        <v>240</v>
      </c>
      <c r="H489" s="8" t="s">
        <v>37</v>
      </c>
      <c r="I489" s="8" t="s">
        <v>53</v>
      </c>
      <c r="J489" s="8" t="s">
        <v>46</v>
      </c>
      <c r="K489" s="8" t="s">
        <v>3161</v>
      </c>
      <c r="L489" s="7">
        <v>7227</v>
      </c>
      <c r="M489" s="10" t="str">
        <f t="shared" si="42"/>
        <v>CMI02090300</v>
      </c>
      <c r="N489" s="10" t="str">
        <f t="shared" si="43"/>
        <v>REP201000</v>
      </c>
      <c r="O489" s="10" t="str">
        <f t="shared" si="44"/>
        <v>E</v>
      </c>
      <c r="P489" s="10" t="str">
        <f t="shared" si="45"/>
        <v>50</v>
      </c>
      <c r="Q489" s="10" t="str">
        <f t="shared" si="46"/>
        <v>ZRPI</v>
      </c>
      <c r="R489" s="10" t="str">
        <f t="shared" si="47"/>
        <v>32121506</v>
      </c>
    </row>
    <row r="490" spans="1:18" ht="25.5" hidden="1" x14ac:dyDescent="0.2">
      <c r="A490" s="21" t="s">
        <v>3160</v>
      </c>
      <c r="B490" s="8" t="s">
        <v>3159</v>
      </c>
      <c r="C490" s="8" t="s">
        <v>40</v>
      </c>
      <c r="D490" s="8" t="s">
        <v>1508</v>
      </c>
      <c r="E490" s="8" t="s">
        <v>40</v>
      </c>
      <c r="F490" s="8" t="s">
        <v>39</v>
      </c>
      <c r="G490" s="8" t="s">
        <v>240</v>
      </c>
      <c r="H490" s="8" t="s">
        <v>37</v>
      </c>
      <c r="I490" s="8" t="s">
        <v>53</v>
      </c>
      <c r="J490" s="8" t="s">
        <v>46</v>
      </c>
      <c r="K490" s="8" t="s">
        <v>3158</v>
      </c>
      <c r="L490" s="7">
        <v>7228</v>
      </c>
      <c r="M490" s="10" t="str">
        <f t="shared" si="42"/>
        <v>CMI01030100</v>
      </c>
      <c r="N490" s="10" t="str">
        <f t="shared" si="43"/>
        <v>REP201000</v>
      </c>
      <c r="O490" s="10" t="str">
        <f t="shared" si="44"/>
        <v>E</v>
      </c>
      <c r="P490" s="10" t="str">
        <f t="shared" si="45"/>
        <v>50</v>
      </c>
      <c r="Q490" s="10" t="str">
        <f t="shared" si="46"/>
        <v>ZRPI</v>
      </c>
      <c r="R490" s="10" t="str">
        <f t="shared" si="47"/>
        <v>43211902</v>
      </c>
    </row>
    <row r="491" spans="1:18" ht="25.5" hidden="1" x14ac:dyDescent="0.2">
      <c r="A491" s="21" t="s">
        <v>3157</v>
      </c>
      <c r="B491" s="8" t="s">
        <v>3156</v>
      </c>
      <c r="C491" s="8" t="s">
        <v>40</v>
      </c>
      <c r="D491" s="8" t="s">
        <v>78</v>
      </c>
      <c r="E491" s="8" t="s">
        <v>40</v>
      </c>
      <c r="F491" s="8" t="s">
        <v>39</v>
      </c>
      <c r="G491" s="8" t="s">
        <v>240</v>
      </c>
      <c r="H491" s="8" t="s">
        <v>37</v>
      </c>
      <c r="I491" s="8" t="s">
        <v>53</v>
      </c>
      <c r="J491" s="8" t="s">
        <v>46</v>
      </c>
      <c r="K491" s="8" t="s">
        <v>2983</v>
      </c>
      <c r="L491" s="7">
        <v>7229</v>
      </c>
      <c r="M491" s="10" t="str">
        <f t="shared" si="42"/>
        <v>CMI02090400</v>
      </c>
      <c r="N491" s="10" t="str">
        <f t="shared" si="43"/>
        <v>REP201000</v>
      </c>
      <c r="O491" s="10" t="str">
        <f t="shared" si="44"/>
        <v>E</v>
      </c>
      <c r="P491" s="10" t="str">
        <f t="shared" si="45"/>
        <v>50</v>
      </c>
      <c r="Q491" s="10" t="str">
        <f t="shared" si="46"/>
        <v>ZRPI</v>
      </c>
      <c r="R491" s="10" t="str">
        <f t="shared" si="47"/>
        <v>32131006</v>
      </c>
    </row>
    <row r="492" spans="1:18" ht="25.5" hidden="1" x14ac:dyDescent="0.2">
      <c r="A492" s="21" t="s">
        <v>3155</v>
      </c>
      <c r="B492" s="8" t="s">
        <v>3154</v>
      </c>
      <c r="C492" s="8" t="s">
        <v>40</v>
      </c>
      <c r="D492" s="8" t="s">
        <v>78</v>
      </c>
      <c r="E492" s="7">
        <v>6</v>
      </c>
      <c r="F492" s="8" t="s">
        <v>39</v>
      </c>
      <c r="G492" s="8" t="s">
        <v>240</v>
      </c>
      <c r="H492" s="8" t="s">
        <v>37</v>
      </c>
      <c r="I492" s="8" t="s">
        <v>53</v>
      </c>
      <c r="J492" s="8" t="s">
        <v>46</v>
      </c>
      <c r="K492" s="8" t="s">
        <v>3153</v>
      </c>
      <c r="L492" s="7">
        <v>7230</v>
      </c>
      <c r="M492" s="10" t="str">
        <f t="shared" si="42"/>
        <v>CMI02090400</v>
      </c>
      <c r="N492" s="10" t="str">
        <f t="shared" si="43"/>
        <v>REP201000</v>
      </c>
      <c r="O492" s="10" t="str">
        <f t="shared" si="44"/>
        <v>E</v>
      </c>
      <c r="P492" s="10" t="str">
        <f t="shared" si="45"/>
        <v>50</v>
      </c>
      <c r="Q492" s="10" t="str">
        <f t="shared" si="46"/>
        <v>ZRPI</v>
      </c>
      <c r="R492" s="10" t="str">
        <f t="shared" si="47"/>
        <v>26121607</v>
      </c>
    </row>
    <row r="493" spans="1:18" ht="25.5" x14ac:dyDescent="0.2">
      <c r="A493" s="21" t="s">
        <v>3152</v>
      </c>
      <c r="B493" s="8" t="s">
        <v>3151</v>
      </c>
      <c r="C493" s="8" t="s">
        <v>40</v>
      </c>
      <c r="D493" s="8" t="s">
        <v>78</v>
      </c>
      <c r="E493" s="8" t="s">
        <v>40</v>
      </c>
      <c r="F493" s="8" t="s">
        <v>39</v>
      </c>
      <c r="G493" s="8" t="s">
        <v>54</v>
      </c>
      <c r="H493" s="8" t="s">
        <v>37</v>
      </c>
      <c r="I493" s="8" t="s">
        <v>53</v>
      </c>
      <c r="J493" s="8" t="s">
        <v>46</v>
      </c>
      <c r="K493" s="8" t="s">
        <v>3150</v>
      </c>
      <c r="L493" s="7">
        <v>7231</v>
      </c>
      <c r="M493" s="10" t="str">
        <f t="shared" si="42"/>
        <v>CMI02090400</v>
      </c>
      <c r="N493" s="10" t="str">
        <f t="shared" si="43"/>
        <v>REP201100</v>
      </c>
      <c r="O493" s="10" t="str">
        <f t="shared" si="44"/>
        <v>E</v>
      </c>
      <c r="P493" s="10" t="str">
        <f t="shared" si="45"/>
        <v>50</v>
      </c>
      <c r="Q493" s="10" t="str">
        <f t="shared" si="46"/>
        <v>ZRPI</v>
      </c>
      <c r="R493" s="10" t="str">
        <f t="shared" si="47"/>
        <v>43202211</v>
      </c>
    </row>
    <row r="494" spans="1:18" ht="25.5" hidden="1" x14ac:dyDescent="0.2">
      <c r="A494" s="21" t="s">
        <v>3149</v>
      </c>
      <c r="B494" s="8" t="s">
        <v>3148</v>
      </c>
      <c r="C494" s="8" t="s">
        <v>40</v>
      </c>
      <c r="D494" s="8" t="s">
        <v>3147</v>
      </c>
      <c r="E494" s="8" t="s">
        <v>40</v>
      </c>
      <c r="F494" s="8" t="s">
        <v>39</v>
      </c>
      <c r="G494" s="8" t="s">
        <v>54</v>
      </c>
      <c r="H494" s="8" t="s">
        <v>37</v>
      </c>
      <c r="I494" s="8" t="s">
        <v>53</v>
      </c>
      <c r="J494" s="8" t="s">
        <v>46</v>
      </c>
      <c r="K494" s="8" t="s">
        <v>3146</v>
      </c>
      <c r="L494" s="7">
        <v>7232</v>
      </c>
      <c r="M494" s="10" t="str">
        <f t="shared" si="42"/>
        <v>CMI01040100</v>
      </c>
      <c r="N494" s="10" t="str">
        <f t="shared" si="43"/>
        <v>REP201100</v>
      </c>
      <c r="O494" s="10" t="str">
        <f t="shared" si="44"/>
        <v>E</v>
      </c>
      <c r="P494" s="10" t="str">
        <f t="shared" si="45"/>
        <v>50</v>
      </c>
      <c r="Q494" s="10" t="str">
        <f t="shared" si="46"/>
        <v>ZRPI</v>
      </c>
      <c r="R494" s="10" t="str">
        <f t="shared" si="47"/>
        <v>24111803</v>
      </c>
    </row>
    <row r="495" spans="1:18" ht="25.5" hidden="1" x14ac:dyDescent="0.2">
      <c r="A495" s="21" t="s">
        <v>3145</v>
      </c>
      <c r="B495" s="8" t="s">
        <v>3144</v>
      </c>
      <c r="C495" s="8" t="s">
        <v>40</v>
      </c>
      <c r="D495" s="8" t="s">
        <v>241</v>
      </c>
      <c r="E495" s="8" t="s">
        <v>40</v>
      </c>
      <c r="F495" s="8" t="s">
        <v>39</v>
      </c>
      <c r="G495" s="8" t="s">
        <v>240</v>
      </c>
      <c r="H495" s="8" t="s">
        <v>37</v>
      </c>
      <c r="I495" s="8" t="s">
        <v>36</v>
      </c>
      <c r="J495" s="8" t="s">
        <v>46</v>
      </c>
      <c r="K495" s="8" t="s">
        <v>3143</v>
      </c>
      <c r="L495" s="7">
        <v>7233</v>
      </c>
      <c r="M495" s="10" t="str">
        <f t="shared" si="42"/>
        <v>CMI02090300</v>
      </c>
      <c r="N495" s="10" t="str">
        <f t="shared" si="43"/>
        <v>REP201000</v>
      </c>
      <c r="O495" s="10" t="str">
        <f t="shared" si="44"/>
        <v>E</v>
      </c>
      <c r="P495" s="10" t="str">
        <f t="shared" si="45"/>
        <v>10</v>
      </c>
      <c r="Q495" s="10" t="str">
        <f t="shared" si="46"/>
        <v>ZRPI</v>
      </c>
      <c r="R495" s="10" t="str">
        <f t="shared" si="47"/>
        <v>39121721</v>
      </c>
    </row>
    <row r="496" spans="1:18" ht="25.5" hidden="1" x14ac:dyDescent="0.2">
      <c r="A496" s="21" t="s">
        <v>3142</v>
      </c>
      <c r="B496" s="8" t="s">
        <v>3141</v>
      </c>
      <c r="C496" s="8" t="s">
        <v>40</v>
      </c>
      <c r="D496" s="8" t="s">
        <v>363</v>
      </c>
      <c r="E496" s="8" t="s">
        <v>40</v>
      </c>
      <c r="F496" s="8" t="s">
        <v>39</v>
      </c>
      <c r="G496" s="8" t="s">
        <v>54</v>
      </c>
      <c r="H496" s="8" t="s">
        <v>37</v>
      </c>
      <c r="I496" s="8" t="s">
        <v>53</v>
      </c>
      <c r="J496" s="8" t="s">
        <v>46</v>
      </c>
      <c r="K496" s="8" t="s">
        <v>2364</v>
      </c>
      <c r="L496" s="7">
        <v>7234</v>
      </c>
      <c r="M496" s="10" t="str">
        <f t="shared" si="42"/>
        <v>CMI02051300</v>
      </c>
      <c r="N496" s="10" t="str">
        <f t="shared" si="43"/>
        <v>REP201100</v>
      </c>
      <c r="O496" s="10" t="str">
        <f t="shared" si="44"/>
        <v>E</v>
      </c>
      <c r="P496" s="10" t="str">
        <f t="shared" si="45"/>
        <v>50</v>
      </c>
      <c r="Q496" s="10" t="str">
        <f t="shared" si="46"/>
        <v>ZRPI</v>
      </c>
      <c r="R496" s="10" t="str">
        <f t="shared" si="47"/>
        <v>30102200</v>
      </c>
    </row>
    <row r="497" spans="1:18" ht="38.25" hidden="1" x14ac:dyDescent="0.2">
      <c r="A497" s="21" t="s">
        <v>3140</v>
      </c>
      <c r="B497" s="8" t="s">
        <v>3139</v>
      </c>
      <c r="C497" s="8" t="s">
        <v>40</v>
      </c>
      <c r="D497" s="8" t="s">
        <v>1059</v>
      </c>
      <c r="E497" s="8" t="s">
        <v>40</v>
      </c>
      <c r="F497" s="8" t="s">
        <v>39</v>
      </c>
      <c r="G497" s="8" t="s">
        <v>54</v>
      </c>
      <c r="H497" s="8" t="s">
        <v>37</v>
      </c>
      <c r="I497" s="8" t="s">
        <v>53</v>
      </c>
      <c r="J497" s="8" t="s">
        <v>46</v>
      </c>
      <c r="K497" s="8" t="s">
        <v>2915</v>
      </c>
      <c r="L497" s="7">
        <v>7235</v>
      </c>
      <c r="M497" s="10" t="str">
        <f t="shared" si="42"/>
        <v>CMI02090600</v>
      </c>
      <c r="N497" s="10" t="str">
        <f t="shared" si="43"/>
        <v>REP201100</v>
      </c>
      <c r="O497" s="10" t="str">
        <f t="shared" si="44"/>
        <v>E</v>
      </c>
      <c r="P497" s="10" t="str">
        <f t="shared" si="45"/>
        <v>50</v>
      </c>
      <c r="Q497" s="10" t="str">
        <f t="shared" si="46"/>
        <v>ZRPI</v>
      </c>
      <c r="R497" s="10" t="str">
        <f t="shared" si="47"/>
        <v>31410000</v>
      </c>
    </row>
    <row r="498" spans="1:18" ht="25.5" hidden="1" x14ac:dyDescent="0.2">
      <c r="A498" s="21" t="s">
        <v>3138</v>
      </c>
      <c r="B498" s="8" t="s">
        <v>3137</v>
      </c>
      <c r="C498" s="8" t="s">
        <v>40</v>
      </c>
      <c r="D498" s="8" t="s">
        <v>249</v>
      </c>
      <c r="E498" s="8" t="s">
        <v>40</v>
      </c>
      <c r="F498" s="8" t="s">
        <v>39</v>
      </c>
      <c r="G498" s="8" t="s">
        <v>54</v>
      </c>
      <c r="H498" s="8" t="s">
        <v>37</v>
      </c>
      <c r="I498" s="8" t="s">
        <v>53</v>
      </c>
      <c r="J498" s="8" t="s">
        <v>46</v>
      </c>
      <c r="K498" s="8" t="s">
        <v>2989</v>
      </c>
      <c r="L498" s="7">
        <v>7236</v>
      </c>
      <c r="M498" s="10" t="str">
        <f t="shared" si="42"/>
        <v>CMI02090700</v>
      </c>
      <c r="N498" s="10" t="str">
        <f t="shared" si="43"/>
        <v>REP201100</v>
      </c>
      <c r="O498" s="10" t="str">
        <f t="shared" si="44"/>
        <v>E</v>
      </c>
      <c r="P498" s="10" t="str">
        <f t="shared" si="45"/>
        <v>50</v>
      </c>
      <c r="Q498" s="10" t="str">
        <f t="shared" si="46"/>
        <v>ZRPI</v>
      </c>
      <c r="R498" s="10" t="str">
        <f t="shared" si="47"/>
        <v>40151802</v>
      </c>
    </row>
    <row r="499" spans="1:18" ht="38.25" hidden="1" x14ac:dyDescent="0.2">
      <c r="A499" s="21" t="s">
        <v>3136</v>
      </c>
      <c r="B499" s="8" t="s">
        <v>3135</v>
      </c>
      <c r="C499" s="8" t="s">
        <v>40</v>
      </c>
      <c r="D499" s="8" t="s">
        <v>1059</v>
      </c>
      <c r="E499" s="8" t="s">
        <v>40</v>
      </c>
      <c r="F499" s="8" t="s">
        <v>39</v>
      </c>
      <c r="G499" s="8" t="s">
        <v>54</v>
      </c>
      <c r="H499" s="8" t="s">
        <v>37</v>
      </c>
      <c r="I499" s="8" t="s">
        <v>53</v>
      </c>
      <c r="J499" s="8" t="s">
        <v>46</v>
      </c>
      <c r="K499" s="8" t="s">
        <v>3134</v>
      </c>
      <c r="L499" s="7">
        <v>7237</v>
      </c>
      <c r="M499" s="10" t="str">
        <f t="shared" si="42"/>
        <v>CMI02090600</v>
      </c>
      <c r="N499" s="10" t="str">
        <f t="shared" si="43"/>
        <v>REP201100</v>
      </c>
      <c r="O499" s="10" t="str">
        <f t="shared" si="44"/>
        <v>E</v>
      </c>
      <c r="P499" s="10" t="str">
        <f t="shared" si="45"/>
        <v>50</v>
      </c>
      <c r="Q499" s="10" t="str">
        <f t="shared" si="46"/>
        <v>ZRPI</v>
      </c>
      <c r="R499" s="10" t="str">
        <f t="shared" si="47"/>
        <v>31161807</v>
      </c>
    </row>
    <row r="500" spans="1:18" ht="25.5" hidden="1" x14ac:dyDescent="0.2">
      <c r="A500" s="21" t="s">
        <v>3133</v>
      </c>
      <c r="B500" s="8" t="s">
        <v>3132</v>
      </c>
      <c r="C500" s="8" t="s">
        <v>40</v>
      </c>
      <c r="D500" s="8" t="s">
        <v>78</v>
      </c>
      <c r="E500" s="8" t="s">
        <v>40</v>
      </c>
      <c r="F500" s="8" t="s">
        <v>39</v>
      </c>
      <c r="G500" s="8" t="s">
        <v>240</v>
      </c>
      <c r="H500" s="8" t="s">
        <v>37</v>
      </c>
      <c r="I500" s="8" t="s">
        <v>53</v>
      </c>
      <c r="J500" s="8" t="s">
        <v>46</v>
      </c>
      <c r="K500" s="8" t="s">
        <v>3131</v>
      </c>
      <c r="L500" s="7">
        <v>7238</v>
      </c>
      <c r="M500" s="10" t="str">
        <f t="shared" si="42"/>
        <v>CMI02090400</v>
      </c>
      <c r="N500" s="10" t="str">
        <f t="shared" si="43"/>
        <v>REP201000</v>
      </c>
      <c r="O500" s="10" t="str">
        <f t="shared" si="44"/>
        <v>E</v>
      </c>
      <c r="P500" s="10" t="str">
        <f t="shared" si="45"/>
        <v>50</v>
      </c>
      <c r="Q500" s="10" t="str">
        <f t="shared" si="46"/>
        <v>ZRPI</v>
      </c>
      <c r="R500" s="10" t="str">
        <f t="shared" si="47"/>
        <v>81141506</v>
      </c>
    </row>
    <row r="501" spans="1:18" ht="25.5" hidden="1" x14ac:dyDescent="0.2">
      <c r="A501" s="21" t="s">
        <v>3130</v>
      </c>
      <c r="B501" s="8" t="s">
        <v>612</v>
      </c>
      <c r="C501" s="8" t="s">
        <v>40</v>
      </c>
      <c r="D501" s="8" t="s">
        <v>241</v>
      </c>
      <c r="E501" s="8" t="s">
        <v>40</v>
      </c>
      <c r="F501" s="8" t="s">
        <v>39</v>
      </c>
      <c r="G501" s="8" t="s">
        <v>54</v>
      </c>
      <c r="H501" s="8" t="s">
        <v>37</v>
      </c>
      <c r="I501" s="8" t="s">
        <v>53</v>
      </c>
      <c r="J501" s="8" t="s">
        <v>46</v>
      </c>
      <c r="K501" s="8" t="s">
        <v>611</v>
      </c>
      <c r="L501" s="7">
        <v>7239</v>
      </c>
      <c r="M501" s="10" t="str">
        <f t="shared" si="42"/>
        <v>CMI02090300</v>
      </c>
      <c r="N501" s="10" t="str">
        <f t="shared" si="43"/>
        <v>REP201100</v>
      </c>
      <c r="O501" s="10" t="str">
        <f t="shared" si="44"/>
        <v>E</v>
      </c>
      <c r="P501" s="10" t="str">
        <f t="shared" si="45"/>
        <v>50</v>
      </c>
      <c r="Q501" s="10" t="str">
        <f t="shared" si="46"/>
        <v>ZRPI</v>
      </c>
      <c r="R501" s="10" t="str">
        <f t="shared" si="47"/>
        <v>44121708</v>
      </c>
    </row>
    <row r="502" spans="1:18" ht="25.5" hidden="1" x14ac:dyDescent="0.2">
      <c r="A502" s="21" t="s">
        <v>3129</v>
      </c>
      <c r="B502" s="8" t="s">
        <v>3128</v>
      </c>
      <c r="C502" s="8" t="s">
        <v>40</v>
      </c>
      <c r="D502" s="8" t="s">
        <v>249</v>
      </c>
      <c r="E502" s="7">
        <v>6</v>
      </c>
      <c r="F502" s="8" t="s">
        <v>39</v>
      </c>
      <c r="G502" s="8" t="s">
        <v>54</v>
      </c>
      <c r="H502" s="8" t="s">
        <v>37</v>
      </c>
      <c r="I502" s="8" t="s">
        <v>53</v>
      </c>
      <c r="J502" s="8" t="s">
        <v>46</v>
      </c>
      <c r="K502" s="8" t="s">
        <v>3127</v>
      </c>
      <c r="L502" s="7">
        <v>7240</v>
      </c>
      <c r="M502" s="10" t="str">
        <f t="shared" si="42"/>
        <v>CMI02090700</v>
      </c>
      <c r="N502" s="10" t="str">
        <f t="shared" si="43"/>
        <v>REP201100</v>
      </c>
      <c r="O502" s="10" t="str">
        <f t="shared" si="44"/>
        <v>E</v>
      </c>
      <c r="P502" s="10" t="str">
        <f t="shared" si="45"/>
        <v>50</v>
      </c>
      <c r="Q502" s="10" t="str">
        <f t="shared" si="46"/>
        <v>ZRPI</v>
      </c>
      <c r="R502" s="10" t="str">
        <f t="shared" si="47"/>
        <v>40161500</v>
      </c>
    </row>
    <row r="503" spans="1:18" ht="38.25" hidden="1" x14ac:dyDescent="0.2">
      <c r="A503" s="21" t="s">
        <v>3126</v>
      </c>
      <c r="B503" s="8" t="s">
        <v>3125</v>
      </c>
      <c r="C503" s="8" t="s">
        <v>40</v>
      </c>
      <c r="D503" s="8" t="s">
        <v>1059</v>
      </c>
      <c r="E503" s="8" t="s">
        <v>40</v>
      </c>
      <c r="F503" s="8" t="s">
        <v>39</v>
      </c>
      <c r="G503" s="8" t="s">
        <v>54</v>
      </c>
      <c r="H503" s="8" t="s">
        <v>37</v>
      </c>
      <c r="I503" s="8" t="s">
        <v>53</v>
      </c>
      <c r="J503" s="8" t="s">
        <v>46</v>
      </c>
      <c r="K503" s="8" t="s">
        <v>3124</v>
      </c>
      <c r="L503" s="7">
        <v>7241</v>
      </c>
      <c r="M503" s="10" t="str">
        <f t="shared" si="42"/>
        <v>CMI02090600</v>
      </c>
      <c r="N503" s="10" t="str">
        <f t="shared" si="43"/>
        <v>REP201100</v>
      </c>
      <c r="O503" s="10" t="str">
        <f t="shared" si="44"/>
        <v>E</v>
      </c>
      <c r="P503" s="10" t="str">
        <f t="shared" si="45"/>
        <v>50</v>
      </c>
      <c r="Q503" s="10" t="str">
        <f t="shared" si="46"/>
        <v>ZRPI</v>
      </c>
      <c r="R503" s="10" t="str">
        <f t="shared" si="47"/>
        <v>31251503</v>
      </c>
    </row>
    <row r="504" spans="1:18" ht="25.5" hidden="1" x14ac:dyDescent="0.2">
      <c r="A504" s="21" t="s">
        <v>3123</v>
      </c>
      <c r="B504" s="8" t="s">
        <v>3122</v>
      </c>
      <c r="C504" s="8" t="s">
        <v>40</v>
      </c>
      <c r="D504" s="8" t="s">
        <v>256</v>
      </c>
      <c r="E504" s="8" t="s">
        <v>40</v>
      </c>
      <c r="F504" s="8" t="s">
        <v>39</v>
      </c>
      <c r="G504" s="8" t="s">
        <v>54</v>
      </c>
      <c r="H504" s="8" t="s">
        <v>37</v>
      </c>
      <c r="I504" s="8" t="s">
        <v>53</v>
      </c>
      <c r="J504" s="8" t="s">
        <v>46</v>
      </c>
      <c r="K504" s="8" t="s">
        <v>3121</v>
      </c>
      <c r="L504" s="7">
        <v>7242</v>
      </c>
      <c r="M504" s="10" t="str">
        <f t="shared" si="42"/>
        <v>CMI02090900</v>
      </c>
      <c r="N504" s="10" t="str">
        <f t="shared" si="43"/>
        <v>REP201100</v>
      </c>
      <c r="O504" s="10" t="str">
        <f t="shared" si="44"/>
        <v>E</v>
      </c>
      <c r="P504" s="10" t="str">
        <f t="shared" si="45"/>
        <v>50</v>
      </c>
      <c r="Q504" s="10" t="str">
        <f t="shared" si="46"/>
        <v>ZRPI</v>
      </c>
      <c r="R504" s="10" t="str">
        <f t="shared" si="47"/>
        <v>31171554</v>
      </c>
    </row>
    <row r="505" spans="1:18" ht="38.25" hidden="1" x14ac:dyDescent="0.2">
      <c r="A505" s="21" t="s">
        <v>3120</v>
      </c>
      <c r="B505" s="8" t="s">
        <v>3119</v>
      </c>
      <c r="C505" s="8" t="s">
        <v>40</v>
      </c>
      <c r="D505" s="8" t="s">
        <v>256</v>
      </c>
      <c r="E505" s="8" t="s">
        <v>40</v>
      </c>
      <c r="F505" s="8" t="s">
        <v>39</v>
      </c>
      <c r="G505" s="8" t="s">
        <v>54</v>
      </c>
      <c r="H505" s="8" t="s">
        <v>37</v>
      </c>
      <c r="I505" s="8" t="s">
        <v>53</v>
      </c>
      <c r="J505" s="8" t="s">
        <v>46</v>
      </c>
      <c r="K505" s="8" t="s">
        <v>3118</v>
      </c>
      <c r="L505" s="7">
        <v>7243</v>
      </c>
      <c r="M505" s="10" t="str">
        <f t="shared" si="42"/>
        <v>CMI02090900</v>
      </c>
      <c r="N505" s="10" t="str">
        <f t="shared" si="43"/>
        <v>REP201100</v>
      </c>
      <c r="O505" s="10" t="str">
        <f t="shared" si="44"/>
        <v>E</v>
      </c>
      <c r="P505" s="10" t="str">
        <f t="shared" si="45"/>
        <v>50</v>
      </c>
      <c r="Q505" s="10" t="str">
        <f t="shared" si="46"/>
        <v>ZRPI</v>
      </c>
      <c r="R505" s="10" t="str">
        <f t="shared" si="47"/>
        <v>31163218</v>
      </c>
    </row>
    <row r="506" spans="1:18" ht="25.5" hidden="1" x14ac:dyDescent="0.2">
      <c r="A506" s="21" t="s">
        <v>3117</v>
      </c>
      <c r="B506" s="8" t="s">
        <v>3116</v>
      </c>
      <c r="C506" s="8" t="s">
        <v>40</v>
      </c>
      <c r="D506" s="8" t="s">
        <v>256</v>
      </c>
      <c r="E506" s="8" t="s">
        <v>40</v>
      </c>
      <c r="F506" s="8" t="s">
        <v>39</v>
      </c>
      <c r="G506" s="8" t="s">
        <v>240</v>
      </c>
      <c r="H506" s="8" t="s">
        <v>37</v>
      </c>
      <c r="I506" s="8" t="s">
        <v>53</v>
      </c>
      <c r="J506" s="8" t="s">
        <v>46</v>
      </c>
      <c r="K506" s="8" t="s">
        <v>2893</v>
      </c>
      <c r="L506" s="7">
        <v>7244</v>
      </c>
      <c r="M506" s="10" t="str">
        <f t="shared" si="42"/>
        <v>CMI02090900</v>
      </c>
      <c r="N506" s="10" t="str">
        <f t="shared" si="43"/>
        <v>REP201000</v>
      </c>
      <c r="O506" s="10" t="str">
        <f t="shared" si="44"/>
        <v>E</v>
      </c>
      <c r="P506" s="10" t="str">
        <f t="shared" si="45"/>
        <v>50</v>
      </c>
      <c r="Q506" s="10" t="str">
        <f t="shared" si="46"/>
        <v>ZRPI</v>
      </c>
      <c r="R506" s="10" t="str">
        <f t="shared" si="47"/>
        <v>31171500</v>
      </c>
    </row>
    <row r="507" spans="1:18" ht="25.5" hidden="1" x14ac:dyDescent="0.2">
      <c r="A507" s="21" t="s">
        <v>3115</v>
      </c>
      <c r="B507" s="8" t="s">
        <v>3114</v>
      </c>
      <c r="C507" s="8" t="s">
        <v>40</v>
      </c>
      <c r="D507" s="8" t="s">
        <v>241</v>
      </c>
      <c r="E507" s="8" t="s">
        <v>40</v>
      </c>
      <c r="F507" s="8" t="s">
        <v>39</v>
      </c>
      <c r="G507" s="8" t="s">
        <v>240</v>
      </c>
      <c r="H507" s="8" t="s">
        <v>37</v>
      </c>
      <c r="I507" s="8" t="s">
        <v>53</v>
      </c>
      <c r="J507" s="8" t="s">
        <v>46</v>
      </c>
      <c r="K507" s="8" t="s">
        <v>3113</v>
      </c>
      <c r="L507" s="7">
        <v>7245</v>
      </c>
      <c r="M507" s="10" t="str">
        <f t="shared" si="42"/>
        <v>CMI02090300</v>
      </c>
      <c r="N507" s="10" t="str">
        <f t="shared" si="43"/>
        <v>REP201000</v>
      </c>
      <c r="O507" s="10" t="str">
        <f t="shared" si="44"/>
        <v>E</v>
      </c>
      <c r="P507" s="10" t="str">
        <f t="shared" si="45"/>
        <v>50</v>
      </c>
      <c r="Q507" s="10" t="str">
        <f t="shared" si="46"/>
        <v>ZRPI</v>
      </c>
      <c r="R507" s="10" t="str">
        <f t="shared" si="47"/>
        <v>39121522</v>
      </c>
    </row>
    <row r="508" spans="1:18" ht="25.5" hidden="1" x14ac:dyDescent="0.2">
      <c r="A508" s="21" t="s">
        <v>3112</v>
      </c>
      <c r="B508" s="8" t="s">
        <v>3111</v>
      </c>
      <c r="C508" s="8" t="s">
        <v>40</v>
      </c>
      <c r="D508" s="8" t="s">
        <v>241</v>
      </c>
      <c r="E508" s="8" t="s">
        <v>40</v>
      </c>
      <c r="F508" s="8" t="s">
        <v>39</v>
      </c>
      <c r="G508" s="8" t="s">
        <v>54</v>
      </c>
      <c r="H508" s="8" t="s">
        <v>37</v>
      </c>
      <c r="I508" s="8" t="s">
        <v>53</v>
      </c>
      <c r="J508" s="8" t="s">
        <v>46</v>
      </c>
      <c r="K508" s="8" t="s">
        <v>3110</v>
      </c>
      <c r="L508" s="7">
        <v>7246</v>
      </c>
      <c r="M508" s="10" t="str">
        <f t="shared" si="42"/>
        <v>CMI02090300</v>
      </c>
      <c r="N508" s="10" t="str">
        <f t="shared" si="43"/>
        <v>REP201100</v>
      </c>
      <c r="O508" s="10" t="str">
        <f t="shared" si="44"/>
        <v>E</v>
      </c>
      <c r="P508" s="10" t="str">
        <f t="shared" si="45"/>
        <v>50</v>
      </c>
      <c r="Q508" s="10" t="str">
        <f t="shared" si="46"/>
        <v>ZRPI</v>
      </c>
      <c r="R508" s="10" t="str">
        <f t="shared" si="47"/>
        <v>39121410</v>
      </c>
    </row>
    <row r="509" spans="1:18" ht="25.5" hidden="1" x14ac:dyDescent="0.2">
      <c r="A509" s="21" t="s">
        <v>3109</v>
      </c>
      <c r="B509" s="8" t="s">
        <v>3108</v>
      </c>
      <c r="C509" s="8" t="s">
        <v>40</v>
      </c>
      <c r="D509" s="8" t="s">
        <v>256</v>
      </c>
      <c r="E509" s="8" t="s">
        <v>40</v>
      </c>
      <c r="F509" s="8" t="s">
        <v>39</v>
      </c>
      <c r="G509" s="8" t="s">
        <v>54</v>
      </c>
      <c r="H509" s="8" t="s">
        <v>37</v>
      </c>
      <c r="I509" s="8" t="s">
        <v>53</v>
      </c>
      <c r="J509" s="8" t="s">
        <v>46</v>
      </c>
      <c r="K509" s="8" t="s">
        <v>3107</v>
      </c>
      <c r="L509" s="7">
        <v>7247</v>
      </c>
      <c r="M509" s="10" t="str">
        <f t="shared" si="42"/>
        <v>CMI02090900</v>
      </c>
      <c r="N509" s="10" t="str">
        <f t="shared" si="43"/>
        <v>REP201100</v>
      </c>
      <c r="O509" s="10" t="str">
        <f t="shared" si="44"/>
        <v>E</v>
      </c>
      <c r="P509" s="10" t="str">
        <f t="shared" si="45"/>
        <v>50</v>
      </c>
      <c r="Q509" s="10" t="str">
        <f t="shared" si="46"/>
        <v>ZRPI</v>
      </c>
      <c r="R509" s="10" t="str">
        <f t="shared" si="47"/>
        <v>31161603</v>
      </c>
    </row>
    <row r="510" spans="1:18" ht="25.5" hidden="1" x14ac:dyDescent="0.2">
      <c r="A510" s="21" t="s">
        <v>3106</v>
      </c>
      <c r="B510" s="8" t="s">
        <v>3105</v>
      </c>
      <c r="C510" s="8" t="s">
        <v>40</v>
      </c>
      <c r="D510" s="8" t="s">
        <v>969</v>
      </c>
      <c r="E510" s="7">
        <v>6</v>
      </c>
      <c r="F510" s="8" t="s">
        <v>39</v>
      </c>
      <c r="G510" s="8" t="s">
        <v>240</v>
      </c>
      <c r="H510" s="8" t="s">
        <v>37</v>
      </c>
      <c r="I510" s="8" t="s">
        <v>36</v>
      </c>
      <c r="J510" s="8" t="s">
        <v>46</v>
      </c>
      <c r="K510" s="8" t="s">
        <v>3104</v>
      </c>
      <c r="L510" s="7">
        <v>7248</v>
      </c>
      <c r="M510" s="10" t="str">
        <f t="shared" si="42"/>
        <v>CMI02051200</v>
      </c>
      <c r="N510" s="10" t="str">
        <f t="shared" si="43"/>
        <v>REP201000</v>
      </c>
      <c r="O510" s="10" t="str">
        <f t="shared" si="44"/>
        <v>E</v>
      </c>
      <c r="P510" s="10" t="str">
        <f t="shared" si="45"/>
        <v>10</v>
      </c>
      <c r="Q510" s="10" t="str">
        <f t="shared" si="46"/>
        <v>ZRPI</v>
      </c>
      <c r="R510" s="10" t="str">
        <f t="shared" si="47"/>
        <v>39121308</v>
      </c>
    </row>
    <row r="511" spans="1:18" ht="25.5" hidden="1" x14ac:dyDescent="0.2">
      <c r="A511" s="21" t="s">
        <v>3103</v>
      </c>
      <c r="B511" s="8" t="s">
        <v>3102</v>
      </c>
      <c r="C511" s="8" t="s">
        <v>40</v>
      </c>
      <c r="D511" s="8" t="s">
        <v>249</v>
      </c>
      <c r="E511" s="8" t="s">
        <v>40</v>
      </c>
      <c r="F511" s="8" t="s">
        <v>39</v>
      </c>
      <c r="G511" s="8" t="s">
        <v>54</v>
      </c>
      <c r="H511" s="8" t="s">
        <v>37</v>
      </c>
      <c r="I511" s="8" t="s">
        <v>53</v>
      </c>
      <c r="J511" s="8" t="s">
        <v>46</v>
      </c>
      <c r="K511" s="8" t="s">
        <v>3101</v>
      </c>
      <c r="L511" s="7">
        <v>7249</v>
      </c>
      <c r="M511" s="10" t="str">
        <f t="shared" si="42"/>
        <v>CMI02090700</v>
      </c>
      <c r="N511" s="10" t="str">
        <f t="shared" si="43"/>
        <v>REP201100</v>
      </c>
      <c r="O511" s="10" t="str">
        <f t="shared" si="44"/>
        <v>E</v>
      </c>
      <c r="P511" s="10" t="str">
        <f t="shared" si="45"/>
        <v>50</v>
      </c>
      <c r="Q511" s="10" t="str">
        <f t="shared" si="46"/>
        <v>ZRPI</v>
      </c>
      <c r="R511" s="10" t="str">
        <f t="shared" si="47"/>
        <v>40183107</v>
      </c>
    </row>
    <row r="512" spans="1:18" ht="38.25" hidden="1" x14ac:dyDescent="0.2">
      <c r="A512" s="21" t="s">
        <v>3100</v>
      </c>
      <c r="B512" s="8" t="s">
        <v>3099</v>
      </c>
      <c r="C512" s="8" t="s">
        <v>40</v>
      </c>
      <c r="D512" s="8" t="s">
        <v>3098</v>
      </c>
      <c r="E512" s="8" t="s">
        <v>40</v>
      </c>
      <c r="F512" s="8" t="s">
        <v>39</v>
      </c>
      <c r="G512" s="8" t="s">
        <v>54</v>
      </c>
      <c r="H512" s="8" t="s">
        <v>37</v>
      </c>
      <c r="I512" s="8" t="s">
        <v>53</v>
      </c>
      <c r="J512" s="8" t="s">
        <v>46</v>
      </c>
      <c r="K512" s="8" t="s">
        <v>3097</v>
      </c>
      <c r="L512" s="7">
        <v>7250</v>
      </c>
      <c r="M512" s="10" t="str">
        <f t="shared" si="42"/>
        <v>CMI02140800</v>
      </c>
      <c r="N512" s="10" t="str">
        <f t="shared" si="43"/>
        <v>REP201100</v>
      </c>
      <c r="O512" s="10" t="str">
        <f t="shared" si="44"/>
        <v>E</v>
      </c>
      <c r="P512" s="10" t="str">
        <f t="shared" si="45"/>
        <v>50</v>
      </c>
      <c r="Q512" s="10" t="str">
        <f t="shared" si="46"/>
        <v>ZRPI</v>
      </c>
      <c r="R512" s="10" t="str">
        <f t="shared" si="47"/>
        <v>24111802</v>
      </c>
    </row>
    <row r="513" spans="1:18" ht="38.25" hidden="1" x14ac:dyDescent="0.2">
      <c r="A513" s="21" t="s">
        <v>3096</v>
      </c>
      <c r="B513" s="8" t="s">
        <v>3095</v>
      </c>
      <c r="C513" s="8" t="s">
        <v>40</v>
      </c>
      <c r="D513" s="8" t="s">
        <v>1059</v>
      </c>
      <c r="E513" s="8" t="s">
        <v>40</v>
      </c>
      <c r="F513" s="8" t="s">
        <v>39</v>
      </c>
      <c r="G513" s="8" t="s">
        <v>54</v>
      </c>
      <c r="H513" s="8" t="s">
        <v>37</v>
      </c>
      <c r="I513" s="8" t="s">
        <v>53</v>
      </c>
      <c r="J513" s="8" t="s">
        <v>46</v>
      </c>
      <c r="K513" s="8" t="s">
        <v>3094</v>
      </c>
      <c r="L513" s="7">
        <v>7251</v>
      </c>
      <c r="M513" s="10" t="str">
        <f t="shared" si="42"/>
        <v>CMI02090600</v>
      </c>
      <c r="N513" s="10" t="str">
        <f t="shared" si="43"/>
        <v>REP201100</v>
      </c>
      <c r="O513" s="10" t="str">
        <f t="shared" si="44"/>
        <v>E</v>
      </c>
      <c r="P513" s="10" t="str">
        <f t="shared" si="45"/>
        <v>50</v>
      </c>
      <c r="Q513" s="10" t="str">
        <f t="shared" si="46"/>
        <v>ZRPI</v>
      </c>
      <c r="R513" s="10" t="str">
        <f t="shared" si="47"/>
        <v>40161515</v>
      </c>
    </row>
    <row r="514" spans="1:18" ht="38.25" hidden="1" x14ac:dyDescent="0.2">
      <c r="A514" s="21" t="s">
        <v>3093</v>
      </c>
      <c r="B514" s="8" t="s">
        <v>3092</v>
      </c>
      <c r="C514" s="8" t="s">
        <v>40</v>
      </c>
      <c r="D514" s="8" t="s">
        <v>986</v>
      </c>
      <c r="E514" s="8" t="s">
        <v>40</v>
      </c>
      <c r="F514" s="8" t="s">
        <v>39</v>
      </c>
      <c r="G514" s="8" t="s">
        <v>54</v>
      </c>
      <c r="H514" s="8" t="s">
        <v>37</v>
      </c>
      <c r="I514" s="8" t="s">
        <v>53</v>
      </c>
      <c r="J514" s="8" t="s">
        <v>46</v>
      </c>
      <c r="K514" s="8" t="s">
        <v>1007</v>
      </c>
      <c r="L514" s="7">
        <v>7252</v>
      </c>
      <c r="M514" s="10" t="str">
        <f t="shared" si="42"/>
        <v>CMI02070300</v>
      </c>
      <c r="N514" s="10" t="str">
        <f t="shared" si="43"/>
        <v>REP201100</v>
      </c>
      <c r="O514" s="10" t="str">
        <f t="shared" si="44"/>
        <v>E</v>
      </c>
      <c r="P514" s="10" t="str">
        <f t="shared" si="45"/>
        <v>50</v>
      </c>
      <c r="Q514" s="10" t="str">
        <f t="shared" si="46"/>
        <v>ZRPI</v>
      </c>
      <c r="R514" s="10" t="str">
        <f t="shared" si="47"/>
        <v>40141736</v>
      </c>
    </row>
    <row r="515" spans="1:18" ht="25.5" hidden="1" x14ac:dyDescent="0.2">
      <c r="A515" s="21" t="s">
        <v>3091</v>
      </c>
      <c r="B515" s="8" t="s">
        <v>3090</v>
      </c>
      <c r="C515" s="8" t="s">
        <v>40</v>
      </c>
      <c r="D515" s="8" t="s">
        <v>241</v>
      </c>
      <c r="E515" s="8" t="s">
        <v>40</v>
      </c>
      <c r="F515" s="8" t="s">
        <v>39</v>
      </c>
      <c r="G515" s="8" t="s">
        <v>240</v>
      </c>
      <c r="H515" s="8" t="s">
        <v>37</v>
      </c>
      <c r="I515" s="8" t="s">
        <v>53</v>
      </c>
      <c r="J515" s="8" t="s">
        <v>46</v>
      </c>
      <c r="K515" s="8" t="s">
        <v>3089</v>
      </c>
      <c r="L515" s="7">
        <v>7253</v>
      </c>
      <c r="M515" s="10" t="str">
        <f t="shared" ref="M515:M578" si="48">+LEFT(D515,11)</f>
        <v>CMI02090300</v>
      </c>
      <c r="N515" s="10" t="str">
        <f t="shared" ref="N515:N578" si="49">+LEFT(G515,9)</f>
        <v>REP201000</v>
      </c>
      <c r="O515" s="10" t="str">
        <f t="shared" ref="O515:O578" si="50">+LEFT(H515,1)</f>
        <v>E</v>
      </c>
      <c r="P515" s="10" t="str">
        <f t="shared" ref="P515:P578" si="51">+LEFT(I515,2)</f>
        <v>50</v>
      </c>
      <c r="Q515" s="10" t="str">
        <f t="shared" ref="Q515:Q578" si="52">+LEFT(J515,4)</f>
        <v>ZRPI</v>
      </c>
      <c r="R515" s="10" t="str">
        <f t="shared" ref="R515:R578" si="53">+LEFT(K515,8)</f>
        <v>39121604</v>
      </c>
    </row>
    <row r="516" spans="1:18" ht="38.25" hidden="1" x14ac:dyDescent="0.2">
      <c r="A516" s="21" t="s">
        <v>3088</v>
      </c>
      <c r="B516" s="8" t="s">
        <v>3087</v>
      </c>
      <c r="C516" s="8" t="s">
        <v>40</v>
      </c>
      <c r="D516" s="8" t="s">
        <v>1059</v>
      </c>
      <c r="E516" s="8" t="s">
        <v>40</v>
      </c>
      <c r="F516" s="8" t="s">
        <v>39</v>
      </c>
      <c r="G516" s="8" t="s">
        <v>54</v>
      </c>
      <c r="H516" s="8" t="s">
        <v>37</v>
      </c>
      <c r="I516" s="8" t="s">
        <v>53</v>
      </c>
      <c r="J516" s="8" t="s">
        <v>46</v>
      </c>
      <c r="K516" s="8" t="s">
        <v>3086</v>
      </c>
      <c r="L516" s="7">
        <v>7254</v>
      </c>
      <c r="M516" s="10" t="str">
        <f t="shared" si="48"/>
        <v>CMI02090600</v>
      </c>
      <c r="N516" s="10" t="str">
        <f t="shared" si="49"/>
        <v>REP201100</v>
      </c>
      <c r="O516" s="10" t="str">
        <f t="shared" si="50"/>
        <v>E</v>
      </c>
      <c r="P516" s="10" t="str">
        <f t="shared" si="51"/>
        <v>50</v>
      </c>
      <c r="Q516" s="10" t="str">
        <f t="shared" si="52"/>
        <v>ZRPI</v>
      </c>
      <c r="R516" s="10" t="str">
        <f t="shared" si="53"/>
        <v>40101802</v>
      </c>
    </row>
    <row r="517" spans="1:18" ht="25.5" hidden="1" x14ac:dyDescent="0.2">
      <c r="A517" s="21" t="s">
        <v>3085</v>
      </c>
      <c r="B517" s="8" t="s">
        <v>3084</v>
      </c>
      <c r="C517" s="8" t="s">
        <v>40</v>
      </c>
      <c r="D517" s="8" t="s">
        <v>1023</v>
      </c>
      <c r="E517" s="8" t="s">
        <v>40</v>
      </c>
      <c r="F517" s="8" t="s">
        <v>39</v>
      </c>
      <c r="G517" s="8" t="s">
        <v>240</v>
      </c>
      <c r="H517" s="8" t="s">
        <v>37</v>
      </c>
      <c r="I517" s="8" t="s">
        <v>53</v>
      </c>
      <c r="J517" s="8" t="s">
        <v>46</v>
      </c>
      <c r="K517" s="8" t="s">
        <v>3083</v>
      </c>
      <c r="L517" s="7">
        <v>7255</v>
      </c>
      <c r="M517" s="10" t="str">
        <f t="shared" si="48"/>
        <v>CMI02050800</v>
      </c>
      <c r="N517" s="10" t="str">
        <f t="shared" si="49"/>
        <v>REP201000</v>
      </c>
      <c r="O517" s="10" t="str">
        <f t="shared" si="50"/>
        <v>E</v>
      </c>
      <c r="P517" s="10" t="str">
        <f t="shared" si="51"/>
        <v>50</v>
      </c>
      <c r="Q517" s="10" t="str">
        <f t="shared" si="52"/>
        <v>ZRPI</v>
      </c>
      <c r="R517" s="10" t="str">
        <f t="shared" si="53"/>
        <v>39101803</v>
      </c>
    </row>
    <row r="518" spans="1:18" ht="25.5" hidden="1" x14ac:dyDescent="0.2">
      <c r="A518" s="21" t="s">
        <v>3082</v>
      </c>
      <c r="B518" s="8" t="s">
        <v>3081</v>
      </c>
      <c r="C518" s="8" t="s">
        <v>40</v>
      </c>
      <c r="D518" s="8" t="s">
        <v>249</v>
      </c>
      <c r="E518" s="7">
        <v>6</v>
      </c>
      <c r="F518" s="8" t="s">
        <v>39</v>
      </c>
      <c r="G518" s="8" t="s">
        <v>54</v>
      </c>
      <c r="H518" s="8" t="s">
        <v>37</v>
      </c>
      <c r="I518" s="8" t="s">
        <v>36</v>
      </c>
      <c r="J518" s="8" t="s">
        <v>46</v>
      </c>
      <c r="K518" s="8" t="s">
        <v>3080</v>
      </c>
      <c r="L518" s="7">
        <v>7256</v>
      </c>
      <c r="M518" s="10" t="str">
        <f t="shared" si="48"/>
        <v>CMI02090700</v>
      </c>
      <c r="N518" s="10" t="str">
        <f t="shared" si="49"/>
        <v>REP201100</v>
      </c>
      <c r="O518" s="10" t="str">
        <f t="shared" si="50"/>
        <v>E</v>
      </c>
      <c r="P518" s="10" t="str">
        <f t="shared" si="51"/>
        <v>10</v>
      </c>
      <c r="Q518" s="10" t="str">
        <f t="shared" si="52"/>
        <v>ZRPI</v>
      </c>
      <c r="R518" s="10" t="str">
        <f t="shared" si="53"/>
        <v>40151730</v>
      </c>
    </row>
    <row r="519" spans="1:18" ht="25.5" hidden="1" x14ac:dyDescent="0.2">
      <c r="A519" s="21" t="s">
        <v>3079</v>
      </c>
      <c r="B519" s="8" t="s">
        <v>3078</v>
      </c>
      <c r="C519" s="8" t="s">
        <v>40</v>
      </c>
      <c r="D519" s="8" t="s">
        <v>249</v>
      </c>
      <c r="E519" s="8" t="s">
        <v>40</v>
      </c>
      <c r="F519" s="8" t="s">
        <v>39</v>
      </c>
      <c r="G519" s="8" t="s">
        <v>54</v>
      </c>
      <c r="H519" s="8" t="s">
        <v>37</v>
      </c>
      <c r="I519" s="8" t="s">
        <v>53</v>
      </c>
      <c r="J519" s="8" t="s">
        <v>46</v>
      </c>
      <c r="K519" s="8" t="s">
        <v>3077</v>
      </c>
      <c r="L519" s="7">
        <v>7257</v>
      </c>
      <c r="M519" s="10" t="str">
        <f t="shared" si="48"/>
        <v>CMI02090700</v>
      </c>
      <c r="N519" s="10" t="str">
        <f t="shared" si="49"/>
        <v>REP201100</v>
      </c>
      <c r="O519" s="10" t="str">
        <f t="shared" si="50"/>
        <v>E</v>
      </c>
      <c r="P519" s="10" t="str">
        <f t="shared" si="51"/>
        <v>50</v>
      </c>
      <c r="Q519" s="10" t="str">
        <f t="shared" si="52"/>
        <v>ZRPI</v>
      </c>
      <c r="R519" s="10" t="str">
        <f t="shared" si="53"/>
        <v>32101547</v>
      </c>
    </row>
    <row r="520" spans="1:18" ht="25.5" hidden="1" x14ac:dyDescent="0.2">
      <c r="A520" s="21" t="s">
        <v>3076</v>
      </c>
      <c r="B520" s="8" t="s">
        <v>3075</v>
      </c>
      <c r="C520" s="8" t="s">
        <v>40</v>
      </c>
      <c r="D520" s="8" t="s">
        <v>245</v>
      </c>
      <c r="E520" s="8" t="s">
        <v>40</v>
      </c>
      <c r="F520" s="8" t="s">
        <v>39</v>
      </c>
      <c r="G520" s="8" t="s">
        <v>54</v>
      </c>
      <c r="H520" s="8" t="s">
        <v>37</v>
      </c>
      <c r="I520" s="8" t="s">
        <v>53</v>
      </c>
      <c r="J520" s="8" t="s">
        <v>46</v>
      </c>
      <c r="K520" s="8" t="s">
        <v>3074</v>
      </c>
      <c r="L520" s="7">
        <v>7258</v>
      </c>
      <c r="M520" s="10" t="str">
        <f t="shared" si="48"/>
        <v>CMI01020300</v>
      </c>
      <c r="N520" s="10" t="str">
        <f t="shared" si="49"/>
        <v>REP201100</v>
      </c>
      <c r="O520" s="10" t="str">
        <f t="shared" si="50"/>
        <v>E</v>
      </c>
      <c r="P520" s="10" t="str">
        <f t="shared" si="51"/>
        <v>50</v>
      </c>
      <c r="Q520" s="10" t="str">
        <f t="shared" si="52"/>
        <v>ZRPI</v>
      </c>
      <c r="R520" s="10" t="str">
        <f t="shared" si="53"/>
        <v>41103311</v>
      </c>
    </row>
    <row r="521" spans="1:18" ht="25.5" hidden="1" x14ac:dyDescent="0.2">
      <c r="A521" s="21" t="s">
        <v>3073</v>
      </c>
      <c r="B521" s="8" t="s">
        <v>3072</v>
      </c>
      <c r="C521" s="8" t="s">
        <v>40</v>
      </c>
      <c r="D521" s="8" t="s">
        <v>363</v>
      </c>
      <c r="E521" s="8" t="s">
        <v>40</v>
      </c>
      <c r="F521" s="8" t="s">
        <v>39</v>
      </c>
      <c r="G521" s="8" t="s">
        <v>54</v>
      </c>
      <c r="H521" s="8" t="s">
        <v>37</v>
      </c>
      <c r="I521" s="8" t="s">
        <v>53</v>
      </c>
      <c r="J521" s="8" t="s">
        <v>46</v>
      </c>
      <c r="K521" s="8" t="s">
        <v>3071</v>
      </c>
      <c r="L521" s="7">
        <v>7259</v>
      </c>
      <c r="M521" s="10" t="str">
        <f t="shared" si="48"/>
        <v>CMI02051300</v>
      </c>
      <c r="N521" s="10" t="str">
        <f t="shared" si="49"/>
        <v>REP201100</v>
      </c>
      <c r="O521" s="10" t="str">
        <f t="shared" si="50"/>
        <v>E</v>
      </c>
      <c r="P521" s="10" t="str">
        <f t="shared" si="51"/>
        <v>50</v>
      </c>
      <c r="Q521" s="10" t="str">
        <f t="shared" si="52"/>
        <v>ZRPI</v>
      </c>
      <c r="R521" s="10" t="str">
        <f t="shared" si="53"/>
        <v>95131700</v>
      </c>
    </row>
    <row r="522" spans="1:18" ht="25.5" hidden="1" x14ac:dyDescent="0.2">
      <c r="A522" s="21" t="s">
        <v>3070</v>
      </c>
      <c r="B522" s="8" t="s">
        <v>3069</v>
      </c>
      <c r="C522" s="8" t="s">
        <v>40</v>
      </c>
      <c r="D522" s="8" t="s">
        <v>245</v>
      </c>
      <c r="E522" s="8" t="s">
        <v>40</v>
      </c>
      <c r="F522" s="8" t="s">
        <v>39</v>
      </c>
      <c r="G522" s="8" t="s">
        <v>54</v>
      </c>
      <c r="H522" s="8" t="s">
        <v>37</v>
      </c>
      <c r="I522" s="8" t="s">
        <v>53</v>
      </c>
      <c r="J522" s="8" t="s">
        <v>46</v>
      </c>
      <c r="K522" s="8" t="s">
        <v>3068</v>
      </c>
      <c r="L522" s="7">
        <v>7260</v>
      </c>
      <c r="M522" s="10" t="str">
        <f t="shared" si="48"/>
        <v>CMI01020300</v>
      </c>
      <c r="N522" s="10" t="str">
        <f t="shared" si="49"/>
        <v>REP201100</v>
      </c>
      <c r="O522" s="10" t="str">
        <f t="shared" si="50"/>
        <v>E</v>
      </c>
      <c r="P522" s="10" t="str">
        <f t="shared" si="51"/>
        <v>50</v>
      </c>
      <c r="Q522" s="10" t="str">
        <f t="shared" si="52"/>
        <v>ZRPI</v>
      </c>
      <c r="R522" s="10" t="str">
        <f t="shared" si="53"/>
        <v>41115305</v>
      </c>
    </row>
    <row r="523" spans="1:18" ht="25.5" hidden="1" x14ac:dyDescent="0.2">
      <c r="A523" s="21" t="s">
        <v>3067</v>
      </c>
      <c r="B523" s="8" t="s">
        <v>3066</v>
      </c>
      <c r="C523" s="8" t="s">
        <v>40</v>
      </c>
      <c r="D523" s="8" t="s">
        <v>136</v>
      </c>
      <c r="E523" s="8" t="s">
        <v>40</v>
      </c>
      <c r="F523" s="8" t="s">
        <v>39</v>
      </c>
      <c r="G523" s="8" t="s">
        <v>240</v>
      </c>
      <c r="H523" s="8" t="s">
        <v>37</v>
      </c>
      <c r="I523" s="8" t="s">
        <v>53</v>
      </c>
      <c r="J523" s="8" t="s">
        <v>46</v>
      </c>
      <c r="K523" s="8" t="s">
        <v>3065</v>
      </c>
      <c r="L523" s="7">
        <v>7261</v>
      </c>
      <c r="M523" s="10" t="str">
        <f t="shared" si="48"/>
        <v>CMI02200400</v>
      </c>
      <c r="N523" s="10" t="str">
        <f t="shared" si="49"/>
        <v>REP201000</v>
      </c>
      <c r="O523" s="10" t="str">
        <f t="shared" si="50"/>
        <v>E</v>
      </c>
      <c r="P523" s="10" t="str">
        <f t="shared" si="51"/>
        <v>50</v>
      </c>
      <c r="Q523" s="10" t="str">
        <f t="shared" si="52"/>
        <v>ZRPI</v>
      </c>
      <c r="R523" s="10" t="str">
        <f t="shared" si="53"/>
        <v>39122334</v>
      </c>
    </row>
    <row r="524" spans="1:18" ht="25.5" hidden="1" x14ac:dyDescent="0.2">
      <c r="A524" s="21" t="s">
        <v>3064</v>
      </c>
      <c r="B524" s="8" t="s">
        <v>3063</v>
      </c>
      <c r="C524" s="8" t="s">
        <v>40</v>
      </c>
      <c r="D524" s="8" t="s">
        <v>245</v>
      </c>
      <c r="E524" s="8" t="s">
        <v>40</v>
      </c>
      <c r="F524" s="8" t="s">
        <v>39</v>
      </c>
      <c r="G524" s="8" t="s">
        <v>240</v>
      </c>
      <c r="H524" s="8" t="s">
        <v>37</v>
      </c>
      <c r="I524" s="8" t="s">
        <v>53</v>
      </c>
      <c r="J524" s="8" t="s">
        <v>46</v>
      </c>
      <c r="K524" s="8" t="s">
        <v>3062</v>
      </c>
      <c r="L524" s="7">
        <v>7262</v>
      </c>
      <c r="M524" s="10" t="str">
        <f t="shared" si="48"/>
        <v>CMI01020300</v>
      </c>
      <c r="N524" s="10" t="str">
        <f t="shared" si="49"/>
        <v>REP201000</v>
      </c>
      <c r="O524" s="10" t="str">
        <f t="shared" si="50"/>
        <v>E</v>
      </c>
      <c r="P524" s="10" t="str">
        <f t="shared" si="51"/>
        <v>50</v>
      </c>
      <c r="Q524" s="10" t="str">
        <f t="shared" si="52"/>
        <v>ZRPI</v>
      </c>
      <c r="R524" s="10" t="str">
        <f t="shared" si="53"/>
        <v>26101500</v>
      </c>
    </row>
    <row r="525" spans="1:18" ht="25.5" hidden="1" x14ac:dyDescent="0.2">
      <c r="A525" s="21" t="s">
        <v>3061</v>
      </c>
      <c r="B525" s="8" t="s">
        <v>3060</v>
      </c>
      <c r="C525" s="8" t="s">
        <v>40</v>
      </c>
      <c r="D525" s="8" t="s">
        <v>245</v>
      </c>
      <c r="E525" s="8" t="s">
        <v>40</v>
      </c>
      <c r="F525" s="8" t="s">
        <v>39</v>
      </c>
      <c r="G525" s="8" t="s">
        <v>54</v>
      </c>
      <c r="H525" s="8" t="s">
        <v>37</v>
      </c>
      <c r="I525" s="8" t="s">
        <v>53</v>
      </c>
      <c r="J525" s="8" t="s">
        <v>46</v>
      </c>
      <c r="K525" s="8" t="s">
        <v>3059</v>
      </c>
      <c r="L525" s="7">
        <v>7263</v>
      </c>
      <c r="M525" s="10" t="str">
        <f t="shared" si="48"/>
        <v>CMI01020300</v>
      </c>
      <c r="N525" s="10" t="str">
        <f t="shared" si="49"/>
        <v>REP201100</v>
      </c>
      <c r="O525" s="10" t="str">
        <f t="shared" si="50"/>
        <v>E</v>
      </c>
      <c r="P525" s="10" t="str">
        <f t="shared" si="51"/>
        <v>50</v>
      </c>
      <c r="Q525" s="10" t="str">
        <f t="shared" si="52"/>
        <v>ZRPI</v>
      </c>
      <c r="R525" s="10" t="str">
        <f t="shared" si="53"/>
        <v>26101304</v>
      </c>
    </row>
    <row r="526" spans="1:18" ht="25.5" hidden="1" x14ac:dyDescent="0.2">
      <c r="A526" s="21" t="s">
        <v>3058</v>
      </c>
      <c r="B526" s="8" t="s">
        <v>3057</v>
      </c>
      <c r="C526" s="8" t="s">
        <v>40</v>
      </c>
      <c r="D526" s="8" t="s">
        <v>256</v>
      </c>
      <c r="E526" s="8" t="s">
        <v>40</v>
      </c>
      <c r="F526" s="8" t="s">
        <v>39</v>
      </c>
      <c r="G526" s="8" t="s">
        <v>54</v>
      </c>
      <c r="H526" s="8" t="s">
        <v>37</v>
      </c>
      <c r="I526" s="8" t="s">
        <v>53</v>
      </c>
      <c r="J526" s="8" t="s">
        <v>46</v>
      </c>
      <c r="K526" s="8" t="s">
        <v>3056</v>
      </c>
      <c r="L526" s="7">
        <v>7264</v>
      </c>
      <c r="M526" s="10" t="str">
        <f t="shared" si="48"/>
        <v>CMI02090900</v>
      </c>
      <c r="N526" s="10" t="str">
        <f t="shared" si="49"/>
        <v>REP201100</v>
      </c>
      <c r="O526" s="10" t="str">
        <f t="shared" si="50"/>
        <v>E</v>
      </c>
      <c r="P526" s="10" t="str">
        <f t="shared" si="51"/>
        <v>50</v>
      </c>
      <c r="Q526" s="10" t="str">
        <f t="shared" si="52"/>
        <v>ZRPI</v>
      </c>
      <c r="R526" s="10" t="str">
        <f t="shared" si="53"/>
        <v>26101736</v>
      </c>
    </row>
    <row r="527" spans="1:18" ht="38.25" hidden="1" x14ac:dyDescent="0.2">
      <c r="A527" s="21" t="s">
        <v>3055</v>
      </c>
      <c r="B527" s="8" t="s">
        <v>3054</v>
      </c>
      <c r="C527" s="8" t="s">
        <v>40</v>
      </c>
      <c r="D527" s="8" t="s">
        <v>256</v>
      </c>
      <c r="E527" s="8" t="s">
        <v>40</v>
      </c>
      <c r="F527" s="8" t="s">
        <v>39</v>
      </c>
      <c r="G527" s="8" t="s">
        <v>240</v>
      </c>
      <c r="H527" s="8" t="s">
        <v>37</v>
      </c>
      <c r="I527" s="8" t="s">
        <v>53</v>
      </c>
      <c r="J527" s="8" t="s">
        <v>46</v>
      </c>
      <c r="K527" s="8" t="s">
        <v>3053</v>
      </c>
      <c r="L527" s="7">
        <v>7265</v>
      </c>
      <c r="M527" s="10" t="str">
        <f t="shared" si="48"/>
        <v>CMI02090900</v>
      </c>
      <c r="N527" s="10" t="str">
        <f t="shared" si="49"/>
        <v>REP201000</v>
      </c>
      <c r="O527" s="10" t="str">
        <f t="shared" si="50"/>
        <v>E</v>
      </c>
      <c r="P527" s="10" t="str">
        <f t="shared" si="51"/>
        <v>50</v>
      </c>
      <c r="Q527" s="10" t="str">
        <f t="shared" si="52"/>
        <v>ZRPI</v>
      </c>
      <c r="R527" s="10" t="str">
        <f t="shared" si="53"/>
        <v>23153131</v>
      </c>
    </row>
    <row r="528" spans="1:18" ht="38.25" hidden="1" x14ac:dyDescent="0.2">
      <c r="A528" s="21" t="s">
        <v>3052</v>
      </c>
      <c r="B528" s="8" t="s">
        <v>2940</v>
      </c>
      <c r="C528" s="8" t="s">
        <v>40</v>
      </c>
      <c r="D528" s="8" t="s">
        <v>55</v>
      </c>
      <c r="E528" s="8" t="s">
        <v>40</v>
      </c>
      <c r="F528" s="8" t="s">
        <v>39</v>
      </c>
      <c r="G528" s="8" t="s">
        <v>240</v>
      </c>
      <c r="H528" s="8" t="s">
        <v>37</v>
      </c>
      <c r="I528" s="8" t="s">
        <v>53</v>
      </c>
      <c r="J528" s="8" t="s">
        <v>46</v>
      </c>
      <c r="K528" s="8" t="s">
        <v>262</v>
      </c>
      <c r="L528" s="7">
        <v>7266</v>
      </c>
      <c r="M528" s="10" t="str">
        <f t="shared" si="48"/>
        <v>CMI02140300</v>
      </c>
      <c r="N528" s="10" t="str">
        <f t="shared" si="49"/>
        <v>REP201000</v>
      </c>
      <c r="O528" s="10" t="str">
        <f t="shared" si="50"/>
        <v>E</v>
      </c>
      <c r="P528" s="10" t="str">
        <f t="shared" si="51"/>
        <v>50</v>
      </c>
      <c r="Q528" s="10" t="str">
        <f t="shared" si="52"/>
        <v>ZRPI</v>
      </c>
      <c r="R528" s="10" t="str">
        <f t="shared" si="53"/>
        <v>41111900</v>
      </c>
    </row>
    <row r="529" spans="1:18" ht="38.25" hidden="1" x14ac:dyDescent="0.2">
      <c r="A529" s="21" t="s">
        <v>3051</v>
      </c>
      <c r="B529" s="8" t="s">
        <v>3050</v>
      </c>
      <c r="C529" s="8" t="s">
        <v>40</v>
      </c>
      <c r="D529" s="8" t="s">
        <v>78</v>
      </c>
      <c r="E529" s="8" t="s">
        <v>40</v>
      </c>
      <c r="F529" s="8" t="s">
        <v>39</v>
      </c>
      <c r="G529" s="8" t="s">
        <v>240</v>
      </c>
      <c r="H529" s="8" t="s">
        <v>37</v>
      </c>
      <c r="I529" s="8" t="s">
        <v>53</v>
      </c>
      <c r="J529" s="8" t="s">
        <v>46</v>
      </c>
      <c r="K529" s="8" t="s">
        <v>3049</v>
      </c>
      <c r="L529" s="7">
        <v>7267</v>
      </c>
      <c r="M529" s="10" t="str">
        <f t="shared" si="48"/>
        <v>CMI02090400</v>
      </c>
      <c r="N529" s="10" t="str">
        <f t="shared" si="49"/>
        <v>REP201000</v>
      </c>
      <c r="O529" s="10" t="str">
        <f t="shared" si="50"/>
        <v>E</v>
      </c>
      <c r="P529" s="10" t="str">
        <f t="shared" si="51"/>
        <v>50</v>
      </c>
      <c r="Q529" s="10" t="str">
        <f t="shared" si="52"/>
        <v>ZRPI</v>
      </c>
      <c r="R529" s="10" t="str">
        <f t="shared" si="53"/>
        <v>32151700</v>
      </c>
    </row>
    <row r="530" spans="1:18" ht="25.5" hidden="1" x14ac:dyDescent="0.2">
      <c r="A530" s="21" t="s">
        <v>3048</v>
      </c>
      <c r="B530" s="8" t="s">
        <v>3047</v>
      </c>
      <c r="C530" s="8" t="s">
        <v>40</v>
      </c>
      <c r="D530" s="8" t="s">
        <v>245</v>
      </c>
      <c r="E530" s="8" t="s">
        <v>40</v>
      </c>
      <c r="F530" s="8" t="s">
        <v>39</v>
      </c>
      <c r="G530" s="8" t="s">
        <v>54</v>
      </c>
      <c r="H530" s="8" t="s">
        <v>37</v>
      </c>
      <c r="I530" s="8" t="s">
        <v>53</v>
      </c>
      <c r="J530" s="8" t="s">
        <v>46</v>
      </c>
      <c r="K530" s="8" t="s">
        <v>3046</v>
      </c>
      <c r="L530" s="7">
        <v>7268</v>
      </c>
      <c r="M530" s="10" t="str">
        <f t="shared" si="48"/>
        <v>CMI01020300</v>
      </c>
      <c r="N530" s="10" t="str">
        <f t="shared" si="49"/>
        <v>REP201100</v>
      </c>
      <c r="O530" s="10" t="str">
        <f t="shared" si="50"/>
        <v>E</v>
      </c>
      <c r="P530" s="10" t="str">
        <f t="shared" si="51"/>
        <v>50</v>
      </c>
      <c r="Q530" s="10" t="str">
        <f t="shared" si="52"/>
        <v>ZRPI</v>
      </c>
      <c r="R530" s="10" t="str">
        <f t="shared" si="53"/>
        <v>41112305</v>
      </c>
    </row>
    <row r="531" spans="1:18" ht="25.5" hidden="1" x14ac:dyDescent="0.2">
      <c r="A531" s="21" t="s">
        <v>3045</v>
      </c>
      <c r="B531" s="8" t="s">
        <v>3044</v>
      </c>
      <c r="C531" s="8" t="s">
        <v>40</v>
      </c>
      <c r="D531" s="8" t="s">
        <v>241</v>
      </c>
      <c r="E531" s="8" t="s">
        <v>40</v>
      </c>
      <c r="F531" s="8" t="s">
        <v>39</v>
      </c>
      <c r="G531" s="8" t="s">
        <v>240</v>
      </c>
      <c r="H531" s="8" t="s">
        <v>37</v>
      </c>
      <c r="I531" s="8" t="s">
        <v>53</v>
      </c>
      <c r="J531" s="8" t="s">
        <v>46</v>
      </c>
      <c r="K531" s="8" t="s">
        <v>3043</v>
      </c>
      <c r="L531" s="7">
        <v>7269</v>
      </c>
      <c r="M531" s="10" t="str">
        <f t="shared" si="48"/>
        <v>CMI02090300</v>
      </c>
      <c r="N531" s="10" t="str">
        <f t="shared" si="49"/>
        <v>REP201000</v>
      </c>
      <c r="O531" s="10" t="str">
        <f t="shared" si="50"/>
        <v>E</v>
      </c>
      <c r="P531" s="10" t="str">
        <f t="shared" si="51"/>
        <v>50</v>
      </c>
      <c r="Q531" s="10" t="str">
        <f t="shared" si="52"/>
        <v>ZRPI</v>
      </c>
      <c r="R531" s="10" t="str">
        <f t="shared" si="53"/>
        <v>39122331</v>
      </c>
    </row>
    <row r="532" spans="1:18" ht="25.5" hidden="1" x14ac:dyDescent="0.2">
      <c r="A532" s="21" t="s">
        <v>3042</v>
      </c>
      <c r="B532" s="8" t="s">
        <v>3041</v>
      </c>
      <c r="C532" s="8" t="s">
        <v>40</v>
      </c>
      <c r="D532" s="8" t="s">
        <v>241</v>
      </c>
      <c r="E532" s="8" t="s">
        <v>40</v>
      </c>
      <c r="F532" s="8" t="s">
        <v>39</v>
      </c>
      <c r="G532" s="8" t="s">
        <v>240</v>
      </c>
      <c r="H532" s="8" t="s">
        <v>37</v>
      </c>
      <c r="I532" s="8" t="s">
        <v>53</v>
      </c>
      <c r="J532" s="8" t="s">
        <v>46</v>
      </c>
      <c r="K532" s="8" t="s">
        <v>3040</v>
      </c>
      <c r="L532" s="7">
        <v>7270</v>
      </c>
      <c r="M532" s="10" t="str">
        <f t="shared" si="48"/>
        <v>CMI02090300</v>
      </c>
      <c r="N532" s="10" t="str">
        <f t="shared" si="49"/>
        <v>REP201000</v>
      </c>
      <c r="O532" s="10" t="str">
        <f t="shared" si="50"/>
        <v>E</v>
      </c>
      <c r="P532" s="10" t="str">
        <f t="shared" si="51"/>
        <v>50</v>
      </c>
      <c r="Q532" s="10" t="str">
        <f t="shared" si="52"/>
        <v>ZRPI</v>
      </c>
      <c r="R532" s="10" t="str">
        <f t="shared" si="53"/>
        <v>39122330</v>
      </c>
    </row>
    <row r="533" spans="1:18" ht="25.5" hidden="1" x14ac:dyDescent="0.2">
      <c r="A533" s="21" t="s">
        <v>3039</v>
      </c>
      <c r="B533" s="8" t="s">
        <v>3038</v>
      </c>
      <c r="C533" s="8" t="s">
        <v>40</v>
      </c>
      <c r="D533" s="8" t="s">
        <v>241</v>
      </c>
      <c r="E533" s="8" t="s">
        <v>40</v>
      </c>
      <c r="F533" s="8" t="s">
        <v>39</v>
      </c>
      <c r="G533" s="8" t="s">
        <v>240</v>
      </c>
      <c r="H533" s="8" t="s">
        <v>37</v>
      </c>
      <c r="I533" s="8" t="s">
        <v>53</v>
      </c>
      <c r="J533" s="8" t="s">
        <v>46</v>
      </c>
      <c r="K533" s="8" t="s">
        <v>3037</v>
      </c>
      <c r="L533" s="7">
        <v>7271</v>
      </c>
      <c r="M533" s="10" t="str">
        <f t="shared" si="48"/>
        <v>CMI02090300</v>
      </c>
      <c r="N533" s="10" t="str">
        <f t="shared" si="49"/>
        <v>REP201000</v>
      </c>
      <c r="O533" s="10" t="str">
        <f t="shared" si="50"/>
        <v>E</v>
      </c>
      <c r="P533" s="10" t="str">
        <f t="shared" si="51"/>
        <v>50</v>
      </c>
      <c r="Q533" s="10" t="str">
        <f t="shared" si="52"/>
        <v>ZRPI</v>
      </c>
      <c r="R533" s="10" t="str">
        <f t="shared" si="53"/>
        <v>39122300</v>
      </c>
    </row>
    <row r="534" spans="1:18" ht="38.25" hidden="1" x14ac:dyDescent="0.2">
      <c r="A534" s="21" t="s">
        <v>3036</v>
      </c>
      <c r="B534" s="8" t="s">
        <v>3035</v>
      </c>
      <c r="C534" s="8" t="s">
        <v>40</v>
      </c>
      <c r="D534" s="8" t="s">
        <v>986</v>
      </c>
      <c r="E534" s="8" t="s">
        <v>40</v>
      </c>
      <c r="F534" s="8" t="s">
        <v>39</v>
      </c>
      <c r="G534" s="8" t="s">
        <v>240</v>
      </c>
      <c r="H534" s="8" t="s">
        <v>37</v>
      </c>
      <c r="I534" s="8" t="s">
        <v>53</v>
      </c>
      <c r="J534" s="8" t="s">
        <v>46</v>
      </c>
      <c r="K534" s="8" t="s">
        <v>2915</v>
      </c>
      <c r="L534" s="7">
        <v>7272</v>
      </c>
      <c r="M534" s="10" t="str">
        <f t="shared" si="48"/>
        <v>CMI02070300</v>
      </c>
      <c r="N534" s="10" t="str">
        <f t="shared" si="49"/>
        <v>REP201000</v>
      </c>
      <c r="O534" s="10" t="str">
        <f t="shared" si="50"/>
        <v>E</v>
      </c>
      <c r="P534" s="10" t="str">
        <f t="shared" si="51"/>
        <v>50</v>
      </c>
      <c r="Q534" s="10" t="str">
        <f t="shared" si="52"/>
        <v>ZRPI</v>
      </c>
      <c r="R534" s="10" t="str">
        <f t="shared" si="53"/>
        <v>31410000</v>
      </c>
    </row>
    <row r="535" spans="1:18" ht="25.5" hidden="1" x14ac:dyDescent="0.2">
      <c r="A535" s="21" t="s">
        <v>3034</v>
      </c>
      <c r="B535" s="8" t="s">
        <v>3033</v>
      </c>
      <c r="C535" s="8" t="s">
        <v>40</v>
      </c>
      <c r="D535" s="8" t="s">
        <v>256</v>
      </c>
      <c r="E535" s="8" t="s">
        <v>40</v>
      </c>
      <c r="F535" s="8" t="s">
        <v>39</v>
      </c>
      <c r="G535" s="8" t="s">
        <v>240</v>
      </c>
      <c r="H535" s="8" t="s">
        <v>37</v>
      </c>
      <c r="I535" s="8" t="s">
        <v>53</v>
      </c>
      <c r="J535" s="8" t="s">
        <v>46</v>
      </c>
      <c r="K535" s="8" t="s">
        <v>3032</v>
      </c>
      <c r="L535" s="7">
        <v>7273</v>
      </c>
      <c r="M535" s="10" t="str">
        <f t="shared" si="48"/>
        <v>CMI02090900</v>
      </c>
      <c r="N535" s="10" t="str">
        <f t="shared" si="49"/>
        <v>REP201000</v>
      </c>
      <c r="O535" s="10" t="str">
        <f t="shared" si="50"/>
        <v>E</v>
      </c>
      <c r="P535" s="10" t="str">
        <f t="shared" si="51"/>
        <v>50</v>
      </c>
      <c r="Q535" s="10" t="str">
        <f t="shared" si="52"/>
        <v>ZRPI</v>
      </c>
      <c r="R535" s="10" t="str">
        <f t="shared" si="53"/>
        <v>25171705</v>
      </c>
    </row>
    <row r="536" spans="1:18" ht="38.25" hidden="1" x14ac:dyDescent="0.2">
      <c r="A536" s="21" t="s">
        <v>3031</v>
      </c>
      <c r="B536" s="8" t="s">
        <v>3030</v>
      </c>
      <c r="C536" s="8" t="s">
        <v>40</v>
      </c>
      <c r="D536" s="8" t="s">
        <v>986</v>
      </c>
      <c r="E536" s="8" t="s">
        <v>40</v>
      </c>
      <c r="F536" s="8" t="s">
        <v>39</v>
      </c>
      <c r="G536" s="8" t="s">
        <v>240</v>
      </c>
      <c r="H536" s="8" t="s">
        <v>37</v>
      </c>
      <c r="I536" s="8" t="s">
        <v>53</v>
      </c>
      <c r="J536" s="8" t="s">
        <v>46</v>
      </c>
      <c r="K536" s="8" t="s">
        <v>3029</v>
      </c>
      <c r="L536" s="7">
        <v>7274</v>
      </c>
      <c r="M536" s="10" t="str">
        <f t="shared" si="48"/>
        <v>CMI02070300</v>
      </c>
      <c r="N536" s="10" t="str">
        <f t="shared" si="49"/>
        <v>REP201000</v>
      </c>
      <c r="O536" s="10" t="str">
        <f t="shared" si="50"/>
        <v>E</v>
      </c>
      <c r="P536" s="10" t="str">
        <f t="shared" si="51"/>
        <v>50</v>
      </c>
      <c r="Q536" s="10" t="str">
        <f t="shared" si="52"/>
        <v>ZRPI</v>
      </c>
      <c r="R536" s="10" t="str">
        <f t="shared" si="53"/>
        <v>31411800</v>
      </c>
    </row>
    <row r="537" spans="1:18" ht="38.25" hidden="1" x14ac:dyDescent="0.2">
      <c r="A537" s="21" t="s">
        <v>3028</v>
      </c>
      <c r="B537" s="8" t="s">
        <v>3027</v>
      </c>
      <c r="C537" s="8" t="s">
        <v>40</v>
      </c>
      <c r="D537" s="8" t="s">
        <v>986</v>
      </c>
      <c r="E537" s="7">
        <v>6</v>
      </c>
      <c r="F537" s="8" t="s">
        <v>39</v>
      </c>
      <c r="G537" s="8" t="s">
        <v>54</v>
      </c>
      <c r="H537" s="8" t="s">
        <v>37</v>
      </c>
      <c r="I537" s="8" t="s">
        <v>53</v>
      </c>
      <c r="J537" s="8" t="s">
        <v>46</v>
      </c>
      <c r="K537" s="8" t="s">
        <v>3026</v>
      </c>
      <c r="L537" s="7">
        <v>7275</v>
      </c>
      <c r="M537" s="10" t="str">
        <f t="shared" si="48"/>
        <v>CMI02070300</v>
      </c>
      <c r="N537" s="10" t="str">
        <f t="shared" si="49"/>
        <v>REP201100</v>
      </c>
      <c r="O537" s="10" t="str">
        <f t="shared" si="50"/>
        <v>E</v>
      </c>
      <c r="P537" s="10" t="str">
        <f t="shared" si="51"/>
        <v>50</v>
      </c>
      <c r="Q537" s="10" t="str">
        <f t="shared" si="52"/>
        <v>ZRPI</v>
      </c>
      <c r="R537" s="10" t="str">
        <f t="shared" si="53"/>
        <v>31411700</v>
      </c>
    </row>
    <row r="538" spans="1:18" ht="25.5" hidden="1" x14ac:dyDescent="0.2">
      <c r="A538" s="21" t="s">
        <v>3025</v>
      </c>
      <c r="B538" s="8" t="s">
        <v>3024</v>
      </c>
      <c r="C538" s="8" t="s">
        <v>40</v>
      </c>
      <c r="D538" s="8" t="s">
        <v>249</v>
      </c>
      <c r="E538" s="8" t="s">
        <v>40</v>
      </c>
      <c r="F538" s="8" t="s">
        <v>39</v>
      </c>
      <c r="G538" s="8" t="s">
        <v>54</v>
      </c>
      <c r="H538" s="8" t="s">
        <v>37</v>
      </c>
      <c r="I538" s="8" t="s">
        <v>53</v>
      </c>
      <c r="J538" s="8" t="s">
        <v>46</v>
      </c>
      <c r="K538" s="8" t="s">
        <v>3023</v>
      </c>
      <c r="L538" s="7">
        <v>7276</v>
      </c>
      <c r="M538" s="10" t="str">
        <f t="shared" si="48"/>
        <v>CMI02090700</v>
      </c>
      <c r="N538" s="10" t="str">
        <f t="shared" si="49"/>
        <v>REP201100</v>
      </c>
      <c r="O538" s="10" t="str">
        <f t="shared" si="50"/>
        <v>E</v>
      </c>
      <c r="P538" s="10" t="str">
        <f t="shared" si="51"/>
        <v>50</v>
      </c>
      <c r="Q538" s="10" t="str">
        <f t="shared" si="52"/>
        <v>ZRPI</v>
      </c>
      <c r="R538" s="10" t="str">
        <f t="shared" si="53"/>
        <v>40161700</v>
      </c>
    </row>
    <row r="539" spans="1:18" ht="38.25" hidden="1" x14ac:dyDescent="0.2">
      <c r="A539" s="21" t="s">
        <v>3022</v>
      </c>
      <c r="B539" s="8" t="s">
        <v>3021</v>
      </c>
      <c r="C539" s="8" t="s">
        <v>40</v>
      </c>
      <c r="D539" s="8" t="s">
        <v>249</v>
      </c>
      <c r="E539" s="8" t="s">
        <v>40</v>
      </c>
      <c r="F539" s="8" t="s">
        <v>39</v>
      </c>
      <c r="G539" s="8" t="s">
        <v>54</v>
      </c>
      <c r="H539" s="8" t="s">
        <v>37</v>
      </c>
      <c r="I539" s="8" t="s">
        <v>53</v>
      </c>
      <c r="J539" s="8" t="s">
        <v>46</v>
      </c>
      <c r="K539" s="8" t="s">
        <v>3020</v>
      </c>
      <c r="L539" s="7">
        <v>7277</v>
      </c>
      <c r="M539" s="10" t="str">
        <f t="shared" si="48"/>
        <v>CMI02090700</v>
      </c>
      <c r="N539" s="10" t="str">
        <f t="shared" si="49"/>
        <v>REP201100</v>
      </c>
      <c r="O539" s="10" t="str">
        <f t="shared" si="50"/>
        <v>E</v>
      </c>
      <c r="P539" s="10" t="str">
        <f t="shared" si="51"/>
        <v>50</v>
      </c>
      <c r="Q539" s="10" t="str">
        <f t="shared" si="52"/>
        <v>ZRPI</v>
      </c>
      <c r="R539" s="10" t="str">
        <f t="shared" si="53"/>
        <v>31161816</v>
      </c>
    </row>
    <row r="540" spans="1:18" ht="25.5" hidden="1" x14ac:dyDescent="0.2">
      <c r="A540" s="21" t="s">
        <v>3019</v>
      </c>
      <c r="B540" s="8" t="s">
        <v>3018</v>
      </c>
      <c r="C540" s="8" t="s">
        <v>40</v>
      </c>
      <c r="D540" s="8" t="s">
        <v>78</v>
      </c>
      <c r="E540" s="8" t="s">
        <v>40</v>
      </c>
      <c r="F540" s="8" t="s">
        <v>39</v>
      </c>
      <c r="G540" s="8" t="s">
        <v>240</v>
      </c>
      <c r="H540" s="8" t="s">
        <v>37</v>
      </c>
      <c r="I540" s="8" t="s">
        <v>53</v>
      </c>
      <c r="J540" s="8" t="s">
        <v>46</v>
      </c>
      <c r="K540" s="8" t="s">
        <v>3017</v>
      </c>
      <c r="L540" s="7">
        <v>7278</v>
      </c>
      <c r="M540" s="10" t="str">
        <f t="shared" si="48"/>
        <v>CMI02090400</v>
      </c>
      <c r="N540" s="10" t="str">
        <f t="shared" si="49"/>
        <v>REP201000</v>
      </c>
      <c r="O540" s="10" t="str">
        <f t="shared" si="50"/>
        <v>E</v>
      </c>
      <c r="P540" s="10" t="str">
        <f t="shared" si="51"/>
        <v>50</v>
      </c>
      <c r="Q540" s="10" t="str">
        <f t="shared" si="52"/>
        <v>ZRPI</v>
      </c>
      <c r="R540" s="10" t="str">
        <f t="shared" si="53"/>
        <v>25173902</v>
      </c>
    </row>
    <row r="541" spans="1:18" ht="25.5" hidden="1" x14ac:dyDescent="0.2">
      <c r="A541" s="21" t="s">
        <v>3016</v>
      </c>
      <c r="B541" s="8" t="s">
        <v>3015</v>
      </c>
      <c r="C541" s="8" t="s">
        <v>40</v>
      </c>
      <c r="D541" s="8" t="s">
        <v>256</v>
      </c>
      <c r="E541" s="8" t="s">
        <v>40</v>
      </c>
      <c r="F541" s="8" t="s">
        <v>39</v>
      </c>
      <c r="G541" s="8" t="s">
        <v>54</v>
      </c>
      <c r="H541" s="8" t="s">
        <v>37</v>
      </c>
      <c r="I541" s="8" t="s">
        <v>53</v>
      </c>
      <c r="J541" s="8" t="s">
        <v>46</v>
      </c>
      <c r="K541" s="8" t="s">
        <v>1860</v>
      </c>
      <c r="L541" s="7">
        <v>7279</v>
      </c>
      <c r="M541" s="10" t="str">
        <f t="shared" si="48"/>
        <v>CMI02090900</v>
      </c>
      <c r="N541" s="10" t="str">
        <f t="shared" si="49"/>
        <v>REP201100</v>
      </c>
      <c r="O541" s="10" t="str">
        <f t="shared" si="50"/>
        <v>E</v>
      </c>
      <c r="P541" s="10" t="str">
        <f t="shared" si="51"/>
        <v>50</v>
      </c>
      <c r="Q541" s="10" t="str">
        <f t="shared" si="52"/>
        <v>ZRPI</v>
      </c>
      <c r="R541" s="10" t="str">
        <f t="shared" si="53"/>
        <v>31161619</v>
      </c>
    </row>
    <row r="542" spans="1:18" ht="25.5" hidden="1" x14ac:dyDescent="0.2">
      <c r="A542" s="21" t="s">
        <v>3014</v>
      </c>
      <c r="B542" s="8" t="s">
        <v>3013</v>
      </c>
      <c r="C542" s="8" t="s">
        <v>40</v>
      </c>
      <c r="D542" s="8" t="s">
        <v>241</v>
      </c>
      <c r="E542" s="8" t="s">
        <v>40</v>
      </c>
      <c r="F542" s="8" t="s">
        <v>39</v>
      </c>
      <c r="G542" s="8" t="s">
        <v>240</v>
      </c>
      <c r="H542" s="8" t="s">
        <v>37</v>
      </c>
      <c r="I542" s="8" t="s">
        <v>53</v>
      </c>
      <c r="J542" s="8" t="s">
        <v>46</v>
      </c>
      <c r="K542" s="8" t="s">
        <v>3012</v>
      </c>
      <c r="L542" s="7">
        <v>7280</v>
      </c>
      <c r="M542" s="10" t="str">
        <f t="shared" si="48"/>
        <v>CMI02090300</v>
      </c>
      <c r="N542" s="10" t="str">
        <f t="shared" si="49"/>
        <v>REP201000</v>
      </c>
      <c r="O542" s="10" t="str">
        <f t="shared" si="50"/>
        <v>E</v>
      </c>
      <c r="P542" s="10" t="str">
        <f t="shared" si="51"/>
        <v>50</v>
      </c>
      <c r="Q542" s="10" t="str">
        <f t="shared" si="52"/>
        <v>ZRPI</v>
      </c>
      <c r="R542" s="10" t="str">
        <f t="shared" si="53"/>
        <v>39122233</v>
      </c>
    </row>
    <row r="543" spans="1:18" ht="25.5" hidden="1" x14ac:dyDescent="0.2">
      <c r="A543" s="21" t="s">
        <v>3011</v>
      </c>
      <c r="B543" s="8" t="s">
        <v>2863</v>
      </c>
      <c r="C543" s="8" t="s">
        <v>40</v>
      </c>
      <c r="D543" s="8" t="s">
        <v>241</v>
      </c>
      <c r="E543" s="8" t="s">
        <v>40</v>
      </c>
      <c r="F543" s="8" t="s">
        <v>39</v>
      </c>
      <c r="G543" s="8" t="s">
        <v>240</v>
      </c>
      <c r="H543" s="8" t="s">
        <v>37</v>
      </c>
      <c r="I543" s="8" t="s">
        <v>53</v>
      </c>
      <c r="J543" s="8" t="s">
        <v>46</v>
      </c>
      <c r="K543" s="8" t="s">
        <v>2862</v>
      </c>
      <c r="L543" s="7">
        <v>7281</v>
      </c>
      <c r="M543" s="10" t="str">
        <f t="shared" si="48"/>
        <v>CMI02090300</v>
      </c>
      <c r="N543" s="10" t="str">
        <f t="shared" si="49"/>
        <v>REP201000</v>
      </c>
      <c r="O543" s="10" t="str">
        <f t="shared" si="50"/>
        <v>E</v>
      </c>
      <c r="P543" s="10" t="str">
        <f t="shared" si="51"/>
        <v>50</v>
      </c>
      <c r="Q543" s="10" t="str">
        <f t="shared" si="52"/>
        <v>ZRPI</v>
      </c>
      <c r="R543" s="10" t="str">
        <f t="shared" si="53"/>
        <v>39122219</v>
      </c>
    </row>
    <row r="544" spans="1:18" ht="25.5" hidden="1" x14ac:dyDescent="0.2">
      <c r="A544" s="21" t="s">
        <v>3010</v>
      </c>
      <c r="B544" s="8" t="s">
        <v>3009</v>
      </c>
      <c r="C544" s="8" t="s">
        <v>40</v>
      </c>
      <c r="D544" s="8" t="s">
        <v>241</v>
      </c>
      <c r="E544" s="8" t="s">
        <v>40</v>
      </c>
      <c r="F544" s="8" t="s">
        <v>39</v>
      </c>
      <c r="G544" s="8" t="s">
        <v>240</v>
      </c>
      <c r="H544" s="8" t="s">
        <v>37</v>
      </c>
      <c r="I544" s="8" t="s">
        <v>53</v>
      </c>
      <c r="J544" s="8" t="s">
        <v>46</v>
      </c>
      <c r="K544" s="8" t="s">
        <v>3008</v>
      </c>
      <c r="L544" s="7">
        <v>7282</v>
      </c>
      <c r="M544" s="10" t="str">
        <f t="shared" si="48"/>
        <v>CMI02090300</v>
      </c>
      <c r="N544" s="10" t="str">
        <f t="shared" si="49"/>
        <v>REP201000</v>
      </c>
      <c r="O544" s="10" t="str">
        <f t="shared" si="50"/>
        <v>E</v>
      </c>
      <c r="P544" s="10" t="str">
        <f t="shared" si="51"/>
        <v>50</v>
      </c>
      <c r="Q544" s="10" t="str">
        <f t="shared" si="52"/>
        <v>ZRPI</v>
      </c>
      <c r="R544" s="10" t="str">
        <f t="shared" si="53"/>
        <v>39122210</v>
      </c>
    </row>
    <row r="545" spans="1:18" ht="25.5" hidden="1" x14ac:dyDescent="0.2">
      <c r="A545" s="21" t="s">
        <v>3007</v>
      </c>
      <c r="B545" s="8" t="s">
        <v>3006</v>
      </c>
      <c r="C545" s="8" t="s">
        <v>40</v>
      </c>
      <c r="D545" s="8" t="s">
        <v>386</v>
      </c>
      <c r="E545" s="8" t="s">
        <v>40</v>
      </c>
      <c r="F545" s="8" t="s">
        <v>39</v>
      </c>
      <c r="G545" s="8" t="s">
        <v>240</v>
      </c>
      <c r="H545" s="8" t="s">
        <v>37</v>
      </c>
      <c r="I545" s="8" t="s">
        <v>53</v>
      </c>
      <c r="J545" s="8" t="s">
        <v>46</v>
      </c>
      <c r="K545" s="8" t="s">
        <v>1713</v>
      </c>
      <c r="L545" s="7">
        <v>7283</v>
      </c>
      <c r="M545" s="10" t="str">
        <f t="shared" si="48"/>
        <v>CMI02140100</v>
      </c>
      <c r="N545" s="10" t="str">
        <f t="shared" si="49"/>
        <v>REP201000</v>
      </c>
      <c r="O545" s="10" t="str">
        <f t="shared" si="50"/>
        <v>E</v>
      </c>
      <c r="P545" s="10" t="str">
        <f t="shared" si="51"/>
        <v>50</v>
      </c>
      <c r="Q545" s="10" t="str">
        <f t="shared" si="52"/>
        <v>ZRPI</v>
      </c>
      <c r="R545" s="10" t="str">
        <f t="shared" si="53"/>
        <v>39121432</v>
      </c>
    </row>
    <row r="546" spans="1:18" ht="38.25" hidden="1" x14ac:dyDescent="0.2">
      <c r="A546" s="21" t="s">
        <v>3005</v>
      </c>
      <c r="B546" s="8" t="s">
        <v>3004</v>
      </c>
      <c r="C546" s="8" t="s">
        <v>40</v>
      </c>
      <c r="D546" s="8" t="s">
        <v>55</v>
      </c>
      <c r="E546" s="8" t="s">
        <v>40</v>
      </c>
      <c r="F546" s="8" t="s">
        <v>39</v>
      </c>
      <c r="G546" s="8" t="s">
        <v>240</v>
      </c>
      <c r="H546" s="8" t="s">
        <v>37</v>
      </c>
      <c r="I546" s="8" t="s">
        <v>53</v>
      </c>
      <c r="J546" s="8" t="s">
        <v>46</v>
      </c>
      <c r="K546" s="8" t="s">
        <v>930</v>
      </c>
      <c r="L546" s="7">
        <v>7284</v>
      </c>
      <c r="M546" s="10" t="str">
        <f t="shared" si="48"/>
        <v>CMI02140300</v>
      </c>
      <c r="N546" s="10" t="str">
        <f t="shared" si="49"/>
        <v>REP201000</v>
      </c>
      <c r="O546" s="10" t="str">
        <f t="shared" si="50"/>
        <v>E</v>
      </c>
      <c r="P546" s="10" t="str">
        <f t="shared" si="51"/>
        <v>50</v>
      </c>
      <c r="Q546" s="10" t="str">
        <f t="shared" si="52"/>
        <v>ZRPI</v>
      </c>
      <c r="R546" s="10" t="str">
        <f t="shared" si="53"/>
        <v>41112100</v>
      </c>
    </row>
    <row r="547" spans="1:18" ht="25.5" hidden="1" x14ac:dyDescent="0.2">
      <c r="A547" s="21" t="s">
        <v>3003</v>
      </c>
      <c r="B547" s="8" t="s">
        <v>3002</v>
      </c>
      <c r="C547" s="8" t="s">
        <v>40</v>
      </c>
      <c r="D547" s="8" t="s">
        <v>245</v>
      </c>
      <c r="E547" s="8" t="s">
        <v>40</v>
      </c>
      <c r="F547" s="8" t="s">
        <v>39</v>
      </c>
      <c r="G547" s="8" t="s">
        <v>240</v>
      </c>
      <c r="H547" s="8" t="s">
        <v>37</v>
      </c>
      <c r="I547" s="8" t="s">
        <v>36</v>
      </c>
      <c r="J547" s="8" t="s">
        <v>46</v>
      </c>
      <c r="K547" s="8" t="s">
        <v>3001</v>
      </c>
      <c r="L547" s="7">
        <v>7285</v>
      </c>
      <c r="M547" s="10" t="str">
        <f t="shared" si="48"/>
        <v>CMI01020300</v>
      </c>
      <c r="N547" s="10" t="str">
        <f t="shared" si="49"/>
        <v>REP201000</v>
      </c>
      <c r="O547" s="10" t="str">
        <f t="shared" si="50"/>
        <v>E</v>
      </c>
      <c r="P547" s="10" t="str">
        <f t="shared" si="51"/>
        <v>10</v>
      </c>
      <c r="Q547" s="10" t="str">
        <f t="shared" si="52"/>
        <v>ZRPI</v>
      </c>
      <c r="R547" s="10" t="str">
        <f t="shared" si="53"/>
        <v>39121001</v>
      </c>
    </row>
    <row r="548" spans="1:18" ht="38.25" hidden="1" x14ac:dyDescent="0.2">
      <c r="A548" s="21" t="s">
        <v>3000</v>
      </c>
      <c r="B548" s="8" t="s">
        <v>2999</v>
      </c>
      <c r="C548" s="8" t="s">
        <v>40</v>
      </c>
      <c r="D548" s="8" t="s">
        <v>1059</v>
      </c>
      <c r="E548" s="8" t="s">
        <v>40</v>
      </c>
      <c r="F548" s="8" t="s">
        <v>39</v>
      </c>
      <c r="G548" s="8" t="s">
        <v>54</v>
      </c>
      <c r="H548" s="8" t="s">
        <v>37</v>
      </c>
      <c r="I548" s="8" t="s">
        <v>53</v>
      </c>
      <c r="J548" s="8" t="s">
        <v>46</v>
      </c>
      <c r="K548" s="8" t="s">
        <v>2998</v>
      </c>
      <c r="L548" s="7">
        <v>7286</v>
      </c>
      <c r="M548" s="10" t="str">
        <f t="shared" si="48"/>
        <v>CMI02090600</v>
      </c>
      <c r="N548" s="10" t="str">
        <f t="shared" si="49"/>
        <v>REP201100</v>
      </c>
      <c r="O548" s="10" t="str">
        <f t="shared" si="50"/>
        <v>E</v>
      </c>
      <c r="P548" s="10" t="str">
        <f t="shared" si="51"/>
        <v>50</v>
      </c>
      <c r="Q548" s="10" t="str">
        <f t="shared" si="52"/>
        <v>ZRPI</v>
      </c>
      <c r="R548" s="10" t="str">
        <f t="shared" si="53"/>
        <v>40141606</v>
      </c>
    </row>
    <row r="549" spans="1:18" ht="25.5" hidden="1" x14ac:dyDescent="0.2">
      <c r="A549" s="21" t="s">
        <v>2997</v>
      </c>
      <c r="B549" s="8" t="s">
        <v>2996</v>
      </c>
      <c r="C549" s="8" t="s">
        <v>40</v>
      </c>
      <c r="D549" s="8" t="s">
        <v>241</v>
      </c>
      <c r="E549" s="8" t="s">
        <v>40</v>
      </c>
      <c r="F549" s="8" t="s">
        <v>39</v>
      </c>
      <c r="G549" s="8" t="s">
        <v>240</v>
      </c>
      <c r="H549" s="8" t="s">
        <v>37</v>
      </c>
      <c r="I549" s="8" t="s">
        <v>53</v>
      </c>
      <c r="J549" s="8" t="s">
        <v>46</v>
      </c>
      <c r="K549" s="8" t="s">
        <v>2995</v>
      </c>
      <c r="L549" s="7">
        <v>7287</v>
      </c>
      <c r="M549" s="10" t="str">
        <f t="shared" si="48"/>
        <v>CMI02090300</v>
      </c>
      <c r="N549" s="10" t="str">
        <f t="shared" si="49"/>
        <v>REP201000</v>
      </c>
      <c r="O549" s="10" t="str">
        <f t="shared" si="50"/>
        <v>E</v>
      </c>
      <c r="P549" s="10" t="str">
        <f t="shared" si="51"/>
        <v>50</v>
      </c>
      <c r="Q549" s="10" t="str">
        <f t="shared" si="52"/>
        <v>ZRPI</v>
      </c>
      <c r="R549" s="10" t="str">
        <f t="shared" si="53"/>
        <v>39121623</v>
      </c>
    </row>
    <row r="550" spans="1:18" ht="38.25" hidden="1" x14ac:dyDescent="0.2">
      <c r="A550" s="22" t="s">
        <v>2994</v>
      </c>
      <c r="B550" s="8" t="s">
        <v>2993</v>
      </c>
      <c r="C550" s="8" t="s">
        <v>40</v>
      </c>
      <c r="D550" s="8" t="s">
        <v>55</v>
      </c>
      <c r="E550" s="8" t="s">
        <v>40</v>
      </c>
      <c r="F550" s="8" t="s">
        <v>39</v>
      </c>
      <c r="G550" s="8" t="s">
        <v>240</v>
      </c>
      <c r="H550" s="8" t="s">
        <v>37</v>
      </c>
      <c r="I550" s="8" t="s">
        <v>53</v>
      </c>
      <c r="J550" s="8" t="s">
        <v>46</v>
      </c>
      <c r="K550" s="8" t="s">
        <v>2992</v>
      </c>
      <c r="L550" s="7">
        <v>7288</v>
      </c>
      <c r="M550" s="10" t="str">
        <f t="shared" si="48"/>
        <v>CMI02140300</v>
      </c>
      <c r="N550" s="10" t="str">
        <f t="shared" si="49"/>
        <v>REP201000</v>
      </c>
      <c r="O550" s="10" t="str">
        <f t="shared" si="50"/>
        <v>E</v>
      </c>
      <c r="P550" s="10" t="str">
        <f t="shared" si="51"/>
        <v>50</v>
      </c>
      <c r="Q550" s="10" t="str">
        <f t="shared" si="52"/>
        <v>ZRPI</v>
      </c>
      <c r="R550" s="10" t="str">
        <f t="shared" si="53"/>
        <v>41112407</v>
      </c>
    </row>
    <row r="551" spans="1:18" ht="38.25" hidden="1" x14ac:dyDescent="0.2">
      <c r="A551" s="22" t="s">
        <v>2991</v>
      </c>
      <c r="B551" s="8" t="s">
        <v>2990</v>
      </c>
      <c r="C551" s="8" t="s">
        <v>40</v>
      </c>
      <c r="D551" s="8" t="s">
        <v>986</v>
      </c>
      <c r="E551" s="8" t="s">
        <v>40</v>
      </c>
      <c r="F551" s="8" t="s">
        <v>39</v>
      </c>
      <c r="G551" s="8" t="s">
        <v>54</v>
      </c>
      <c r="H551" s="8" t="s">
        <v>37</v>
      </c>
      <c r="I551" s="8" t="s">
        <v>53</v>
      </c>
      <c r="J551" s="8" t="s">
        <v>46</v>
      </c>
      <c r="K551" s="8" t="s">
        <v>2989</v>
      </c>
      <c r="L551" s="7">
        <v>7289</v>
      </c>
      <c r="M551" s="10" t="str">
        <f t="shared" si="48"/>
        <v>CMI02070300</v>
      </c>
      <c r="N551" s="10" t="str">
        <f t="shared" si="49"/>
        <v>REP201100</v>
      </c>
      <c r="O551" s="10" t="str">
        <f t="shared" si="50"/>
        <v>E</v>
      </c>
      <c r="P551" s="10" t="str">
        <f t="shared" si="51"/>
        <v>50</v>
      </c>
      <c r="Q551" s="10" t="str">
        <f t="shared" si="52"/>
        <v>ZRPI</v>
      </c>
      <c r="R551" s="10" t="str">
        <f t="shared" si="53"/>
        <v>40151802</v>
      </c>
    </row>
    <row r="552" spans="1:18" ht="38.25" hidden="1" x14ac:dyDescent="0.2">
      <c r="A552" s="22" t="s">
        <v>2988</v>
      </c>
      <c r="B552" s="8" t="s">
        <v>2987</v>
      </c>
      <c r="C552" s="8" t="s">
        <v>40</v>
      </c>
      <c r="D552" s="8" t="s">
        <v>1059</v>
      </c>
      <c r="E552" s="8" t="s">
        <v>40</v>
      </c>
      <c r="F552" s="8" t="s">
        <v>39</v>
      </c>
      <c r="G552" s="8" t="s">
        <v>54</v>
      </c>
      <c r="H552" s="8" t="s">
        <v>37</v>
      </c>
      <c r="I552" s="8" t="s">
        <v>53</v>
      </c>
      <c r="J552" s="8" t="s">
        <v>46</v>
      </c>
      <c r="K552" s="8" t="s">
        <v>2986</v>
      </c>
      <c r="L552" s="7">
        <v>7290</v>
      </c>
      <c r="M552" s="10" t="str">
        <f t="shared" si="48"/>
        <v>CMI02090600</v>
      </c>
      <c r="N552" s="10" t="str">
        <f t="shared" si="49"/>
        <v>REP201100</v>
      </c>
      <c r="O552" s="10" t="str">
        <f t="shared" si="50"/>
        <v>E</v>
      </c>
      <c r="P552" s="10" t="str">
        <f t="shared" si="51"/>
        <v>50</v>
      </c>
      <c r="Q552" s="10" t="str">
        <f t="shared" si="52"/>
        <v>ZRPI</v>
      </c>
      <c r="R552" s="10" t="str">
        <f t="shared" si="53"/>
        <v>40151513</v>
      </c>
    </row>
    <row r="553" spans="1:18" ht="25.5" hidden="1" x14ac:dyDescent="0.2">
      <c r="A553" s="22" t="s">
        <v>2985</v>
      </c>
      <c r="B553" s="8" t="s">
        <v>2984</v>
      </c>
      <c r="C553" s="8" t="s">
        <v>40</v>
      </c>
      <c r="D553" s="8" t="s">
        <v>78</v>
      </c>
      <c r="E553" s="8" t="s">
        <v>40</v>
      </c>
      <c r="F553" s="8" t="s">
        <v>39</v>
      </c>
      <c r="G553" s="8" t="s">
        <v>240</v>
      </c>
      <c r="H553" s="8" t="s">
        <v>37</v>
      </c>
      <c r="I553" s="8" t="s">
        <v>53</v>
      </c>
      <c r="J553" s="8" t="s">
        <v>46</v>
      </c>
      <c r="K553" s="8" t="s">
        <v>2983</v>
      </c>
      <c r="L553" s="7">
        <v>7291</v>
      </c>
      <c r="M553" s="10" t="str">
        <f t="shared" si="48"/>
        <v>CMI02090400</v>
      </c>
      <c r="N553" s="10" t="str">
        <f t="shared" si="49"/>
        <v>REP201000</v>
      </c>
      <c r="O553" s="10" t="str">
        <f t="shared" si="50"/>
        <v>E</v>
      </c>
      <c r="P553" s="10" t="str">
        <f t="shared" si="51"/>
        <v>50</v>
      </c>
      <c r="Q553" s="10" t="str">
        <f t="shared" si="52"/>
        <v>ZRPI</v>
      </c>
      <c r="R553" s="10" t="str">
        <f t="shared" si="53"/>
        <v>32131006</v>
      </c>
    </row>
    <row r="554" spans="1:18" ht="38.25" hidden="1" x14ac:dyDescent="0.2">
      <c r="A554" s="22" t="s">
        <v>2982</v>
      </c>
      <c r="B554" s="8" t="s">
        <v>2981</v>
      </c>
      <c r="C554" s="8" t="s">
        <v>40</v>
      </c>
      <c r="D554" s="8" t="s">
        <v>55</v>
      </c>
      <c r="E554" s="8" t="s">
        <v>40</v>
      </c>
      <c r="F554" s="8" t="s">
        <v>39</v>
      </c>
      <c r="G554" s="8" t="s">
        <v>240</v>
      </c>
      <c r="H554" s="8" t="s">
        <v>37</v>
      </c>
      <c r="I554" s="8" t="s">
        <v>53</v>
      </c>
      <c r="J554" s="8" t="s">
        <v>46</v>
      </c>
      <c r="K554" s="8" t="s">
        <v>2980</v>
      </c>
      <c r="L554" s="7">
        <v>7292</v>
      </c>
      <c r="M554" s="10" t="str">
        <f t="shared" si="48"/>
        <v>CMI02140300</v>
      </c>
      <c r="N554" s="10" t="str">
        <f t="shared" si="49"/>
        <v>REP201000</v>
      </c>
      <c r="O554" s="10" t="str">
        <f t="shared" si="50"/>
        <v>E</v>
      </c>
      <c r="P554" s="10" t="str">
        <f t="shared" si="51"/>
        <v>50</v>
      </c>
      <c r="Q554" s="10" t="str">
        <f t="shared" si="52"/>
        <v>ZRPI</v>
      </c>
      <c r="R554" s="10" t="str">
        <f t="shared" si="53"/>
        <v>46171628</v>
      </c>
    </row>
    <row r="555" spans="1:18" ht="38.25" hidden="1" x14ac:dyDescent="0.2">
      <c r="A555" s="22" t="s">
        <v>2979</v>
      </c>
      <c r="B555" s="8" t="s">
        <v>2978</v>
      </c>
      <c r="C555" s="8" t="s">
        <v>40</v>
      </c>
      <c r="D555" s="8" t="s">
        <v>1059</v>
      </c>
      <c r="E555" s="7">
        <v>6</v>
      </c>
      <c r="F555" s="8" t="s">
        <v>39</v>
      </c>
      <c r="G555" s="8" t="s">
        <v>54</v>
      </c>
      <c r="H555" s="8" t="s">
        <v>37</v>
      </c>
      <c r="I555" s="8" t="s">
        <v>53</v>
      </c>
      <c r="J555" s="8" t="s">
        <v>46</v>
      </c>
      <c r="K555" s="8" t="s">
        <v>2977</v>
      </c>
      <c r="L555" s="7">
        <v>7293</v>
      </c>
      <c r="M555" s="10" t="str">
        <f t="shared" si="48"/>
        <v>CMI02090600</v>
      </c>
      <c r="N555" s="10" t="str">
        <f t="shared" si="49"/>
        <v>REP201100</v>
      </c>
      <c r="O555" s="10" t="str">
        <f t="shared" si="50"/>
        <v>E</v>
      </c>
      <c r="P555" s="10" t="str">
        <f t="shared" si="51"/>
        <v>50</v>
      </c>
      <c r="Q555" s="10" t="str">
        <f t="shared" si="52"/>
        <v>ZRPI</v>
      </c>
      <c r="R555" s="10" t="str">
        <f t="shared" si="53"/>
        <v>40141602</v>
      </c>
    </row>
    <row r="556" spans="1:18" ht="25.5" hidden="1" x14ac:dyDescent="0.2">
      <c r="A556" s="22" t="s">
        <v>2976</v>
      </c>
      <c r="B556" s="8" t="s">
        <v>2975</v>
      </c>
      <c r="C556" s="8" t="s">
        <v>40</v>
      </c>
      <c r="D556" s="8" t="s">
        <v>212</v>
      </c>
      <c r="E556" s="8" t="s">
        <v>40</v>
      </c>
      <c r="F556" s="8" t="s">
        <v>39</v>
      </c>
      <c r="G556" s="8" t="s">
        <v>240</v>
      </c>
      <c r="H556" s="8" t="s">
        <v>37</v>
      </c>
      <c r="I556" s="8" t="s">
        <v>53</v>
      </c>
      <c r="J556" s="8" t="s">
        <v>46</v>
      </c>
      <c r="K556" s="8" t="s">
        <v>2931</v>
      </c>
      <c r="L556" s="7">
        <v>7294</v>
      </c>
      <c r="M556" s="10" t="str">
        <f t="shared" si="48"/>
        <v>CMI01010500</v>
      </c>
      <c r="N556" s="10" t="str">
        <f t="shared" si="49"/>
        <v>REP201000</v>
      </c>
      <c r="O556" s="10" t="str">
        <f t="shared" si="50"/>
        <v>E</v>
      </c>
      <c r="P556" s="10" t="str">
        <f t="shared" si="51"/>
        <v>50</v>
      </c>
      <c r="Q556" s="10" t="str">
        <f t="shared" si="52"/>
        <v>ZRPI</v>
      </c>
      <c r="R556" s="10" t="str">
        <f t="shared" si="53"/>
        <v>32101600</v>
      </c>
    </row>
    <row r="557" spans="1:18" ht="38.25" hidden="1" x14ac:dyDescent="0.2">
      <c r="A557" s="22" t="s">
        <v>2974</v>
      </c>
      <c r="B557" s="8" t="s">
        <v>2973</v>
      </c>
      <c r="C557" s="8" t="s">
        <v>40</v>
      </c>
      <c r="D557" s="8" t="s">
        <v>245</v>
      </c>
      <c r="E557" s="8" t="s">
        <v>40</v>
      </c>
      <c r="F557" s="8" t="s">
        <v>39</v>
      </c>
      <c r="G557" s="8" t="s">
        <v>54</v>
      </c>
      <c r="H557" s="8" t="s">
        <v>37</v>
      </c>
      <c r="I557" s="8" t="s">
        <v>53</v>
      </c>
      <c r="J557" s="8" t="s">
        <v>46</v>
      </c>
      <c r="K557" s="8" t="s">
        <v>2972</v>
      </c>
      <c r="L557" s="7">
        <v>7295</v>
      </c>
      <c r="M557" s="10" t="str">
        <f t="shared" si="48"/>
        <v>CMI01020300</v>
      </c>
      <c r="N557" s="10" t="str">
        <f t="shared" si="49"/>
        <v>REP201100</v>
      </c>
      <c r="O557" s="10" t="str">
        <f t="shared" si="50"/>
        <v>E</v>
      </c>
      <c r="P557" s="10" t="str">
        <f t="shared" si="51"/>
        <v>50</v>
      </c>
      <c r="Q557" s="10" t="str">
        <f t="shared" si="52"/>
        <v>ZRPI</v>
      </c>
      <c r="R557" s="10" t="str">
        <f t="shared" si="53"/>
        <v>44102000</v>
      </c>
    </row>
    <row r="558" spans="1:18" ht="25.5" hidden="1" x14ac:dyDescent="0.2">
      <c r="A558" s="22" t="s">
        <v>2971</v>
      </c>
      <c r="B558" s="8" t="s">
        <v>2970</v>
      </c>
      <c r="C558" s="8" t="s">
        <v>40</v>
      </c>
      <c r="D558" s="8" t="s">
        <v>249</v>
      </c>
      <c r="E558" s="8" t="s">
        <v>40</v>
      </c>
      <c r="F558" s="8" t="s">
        <v>39</v>
      </c>
      <c r="G558" s="8" t="s">
        <v>54</v>
      </c>
      <c r="H558" s="8" t="s">
        <v>37</v>
      </c>
      <c r="I558" s="8" t="s">
        <v>53</v>
      </c>
      <c r="J558" s="8" t="s">
        <v>46</v>
      </c>
      <c r="K558" s="8" t="s">
        <v>2969</v>
      </c>
      <c r="L558" s="7">
        <v>7296</v>
      </c>
      <c r="M558" s="10" t="str">
        <f t="shared" si="48"/>
        <v>CMI02090700</v>
      </c>
      <c r="N558" s="10" t="str">
        <f t="shared" si="49"/>
        <v>REP201100</v>
      </c>
      <c r="O558" s="10" t="str">
        <f t="shared" si="50"/>
        <v>E</v>
      </c>
      <c r="P558" s="10" t="str">
        <f t="shared" si="51"/>
        <v>50</v>
      </c>
      <c r="Q558" s="10" t="str">
        <f t="shared" si="52"/>
        <v>ZRPI</v>
      </c>
      <c r="R558" s="10" t="str">
        <f t="shared" si="53"/>
        <v>31161716</v>
      </c>
    </row>
    <row r="559" spans="1:18" ht="25.5" hidden="1" x14ac:dyDescent="0.2">
      <c r="A559" s="22" t="s">
        <v>2968</v>
      </c>
      <c r="B559" s="8" t="s">
        <v>2967</v>
      </c>
      <c r="C559" s="8" t="s">
        <v>40</v>
      </c>
      <c r="D559" s="8" t="s">
        <v>241</v>
      </c>
      <c r="E559" s="8" t="s">
        <v>40</v>
      </c>
      <c r="F559" s="8" t="s">
        <v>39</v>
      </c>
      <c r="G559" s="8" t="s">
        <v>240</v>
      </c>
      <c r="H559" s="8" t="s">
        <v>37</v>
      </c>
      <c r="I559" s="8" t="s">
        <v>53</v>
      </c>
      <c r="J559" s="8" t="s">
        <v>46</v>
      </c>
      <c r="K559" s="8" t="s">
        <v>2966</v>
      </c>
      <c r="L559" s="7">
        <v>7297</v>
      </c>
      <c r="M559" s="10" t="str">
        <f t="shared" si="48"/>
        <v>CMI02090300</v>
      </c>
      <c r="N559" s="10" t="str">
        <f t="shared" si="49"/>
        <v>REP201000</v>
      </c>
      <c r="O559" s="10" t="str">
        <f t="shared" si="50"/>
        <v>E</v>
      </c>
      <c r="P559" s="10" t="str">
        <f t="shared" si="51"/>
        <v>50</v>
      </c>
      <c r="Q559" s="10" t="str">
        <f t="shared" si="52"/>
        <v>ZRPI</v>
      </c>
      <c r="R559" s="10" t="str">
        <f t="shared" si="53"/>
        <v>39122243</v>
      </c>
    </row>
    <row r="560" spans="1:18" ht="25.5" hidden="1" x14ac:dyDescent="0.2">
      <c r="A560" s="22" t="s">
        <v>2965</v>
      </c>
      <c r="B560" s="8" t="s">
        <v>2964</v>
      </c>
      <c r="C560" s="8" t="s">
        <v>40</v>
      </c>
      <c r="D560" s="8" t="s">
        <v>241</v>
      </c>
      <c r="E560" s="8" t="s">
        <v>40</v>
      </c>
      <c r="F560" s="8" t="s">
        <v>39</v>
      </c>
      <c r="G560" s="8" t="s">
        <v>240</v>
      </c>
      <c r="H560" s="8" t="s">
        <v>37</v>
      </c>
      <c r="I560" s="8" t="s">
        <v>53</v>
      </c>
      <c r="J560" s="8" t="s">
        <v>46</v>
      </c>
      <c r="K560" s="8" t="s">
        <v>2963</v>
      </c>
      <c r="L560" s="7">
        <v>7298</v>
      </c>
      <c r="M560" s="10" t="str">
        <f t="shared" si="48"/>
        <v>CMI02090300</v>
      </c>
      <c r="N560" s="10" t="str">
        <f t="shared" si="49"/>
        <v>REP201000</v>
      </c>
      <c r="O560" s="10" t="str">
        <f t="shared" si="50"/>
        <v>E</v>
      </c>
      <c r="P560" s="10" t="str">
        <f t="shared" si="51"/>
        <v>50</v>
      </c>
      <c r="Q560" s="10" t="str">
        <f t="shared" si="52"/>
        <v>ZRPI</v>
      </c>
      <c r="R560" s="10" t="str">
        <f t="shared" si="53"/>
        <v>39121529</v>
      </c>
    </row>
    <row r="561" spans="1:18" ht="38.25" hidden="1" x14ac:dyDescent="0.2">
      <c r="A561" s="22" t="s">
        <v>2962</v>
      </c>
      <c r="B561" s="8" t="s">
        <v>2961</v>
      </c>
      <c r="C561" s="8" t="s">
        <v>40</v>
      </c>
      <c r="D561" s="8" t="s">
        <v>1059</v>
      </c>
      <c r="E561" s="8" t="s">
        <v>40</v>
      </c>
      <c r="F561" s="8" t="s">
        <v>39</v>
      </c>
      <c r="G561" s="8" t="s">
        <v>240</v>
      </c>
      <c r="H561" s="8" t="s">
        <v>37</v>
      </c>
      <c r="I561" s="8" t="s">
        <v>53</v>
      </c>
      <c r="J561" s="8" t="s">
        <v>46</v>
      </c>
      <c r="K561" s="8" t="s">
        <v>2960</v>
      </c>
      <c r="L561" s="7">
        <v>7299</v>
      </c>
      <c r="M561" s="10" t="str">
        <f t="shared" si="48"/>
        <v>CMI02090600</v>
      </c>
      <c r="N561" s="10" t="str">
        <f t="shared" si="49"/>
        <v>REP201000</v>
      </c>
      <c r="O561" s="10" t="str">
        <f t="shared" si="50"/>
        <v>E</v>
      </c>
      <c r="P561" s="10" t="str">
        <f t="shared" si="51"/>
        <v>50</v>
      </c>
      <c r="Q561" s="10" t="str">
        <f t="shared" si="52"/>
        <v>ZRPI</v>
      </c>
      <c r="R561" s="10" t="str">
        <f t="shared" si="53"/>
        <v>41112205</v>
      </c>
    </row>
    <row r="562" spans="1:18" ht="25.5" hidden="1" x14ac:dyDescent="0.2">
      <c r="A562" s="22" t="s">
        <v>2959</v>
      </c>
      <c r="B562" s="8" t="s">
        <v>2958</v>
      </c>
      <c r="C562" s="8" t="s">
        <v>40</v>
      </c>
      <c r="D562" s="8" t="s">
        <v>249</v>
      </c>
      <c r="E562" s="8" t="s">
        <v>40</v>
      </c>
      <c r="F562" s="8" t="s">
        <v>39</v>
      </c>
      <c r="G562" s="8" t="s">
        <v>240</v>
      </c>
      <c r="H562" s="8" t="s">
        <v>37</v>
      </c>
      <c r="I562" s="8" t="s">
        <v>53</v>
      </c>
      <c r="J562" s="8" t="s">
        <v>46</v>
      </c>
      <c r="K562" s="8" t="s">
        <v>2957</v>
      </c>
      <c r="L562" s="7">
        <v>7300</v>
      </c>
      <c r="M562" s="10" t="str">
        <f t="shared" si="48"/>
        <v>CMI02090700</v>
      </c>
      <c r="N562" s="10" t="str">
        <f t="shared" si="49"/>
        <v>REP201000</v>
      </c>
      <c r="O562" s="10" t="str">
        <f t="shared" si="50"/>
        <v>E</v>
      </c>
      <c r="P562" s="10" t="str">
        <f t="shared" si="51"/>
        <v>50</v>
      </c>
      <c r="Q562" s="10" t="str">
        <f t="shared" si="52"/>
        <v>ZRPI</v>
      </c>
      <c r="R562" s="10" t="str">
        <f t="shared" si="53"/>
        <v>26101738</v>
      </c>
    </row>
    <row r="563" spans="1:18" ht="25.5" hidden="1" x14ac:dyDescent="0.2">
      <c r="A563" s="22" t="s">
        <v>2956</v>
      </c>
      <c r="B563" s="8" t="s">
        <v>2955</v>
      </c>
      <c r="C563" s="8" t="s">
        <v>40</v>
      </c>
      <c r="D563" s="8" t="s">
        <v>249</v>
      </c>
      <c r="E563" s="8" t="s">
        <v>40</v>
      </c>
      <c r="F563" s="8" t="s">
        <v>39</v>
      </c>
      <c r="G563" s="8" t="s">
        <v>54</v>
      </c>
      <c r="H563" s="8" t="s">
        <v>37</v>
      </c>
      <c r="I563" s="8" t="s">
        <v>53</v>
      </c>
      <c r="J563" s="8" t="s">
        <v>46</v>
      </c>
      <c r="K563" s="8" t="s">
        <v>2156</v>
      </c>
      <c r="L563" s="7">
        <v>7301</v>
      </c>
      <c r="M563" s="10" t="str">
        <f t="shared" si="48"/>
        <v>CMI02090700</v>
      </c>
      <c r="N563" s="10" t="str">
        <f t="shared" si="49"/>
        <v>REP201100</v>
      </c>
      <c r="O563" s="10" t="str">
        <f t="shared" si="50"/>
        <v>E</v>
      </c>
      <c r="P563" s="10" t="str">
        <f t="shared" si="51"/>
        <v>50</v>
      </c>
      <c r="Q563" s="10" t="str">
        <f t="shared" si="52"/>
        <v>ZRPI</v>
      </c>
      <c r="R563" s="10" t="str">
        <f t="shared" si="53"/>
        <v>40161800</v>
      </c>
    </row>
    <row r="564" spans="1:18" ht="25.5" hidden="1" x14ac:dyDescent="0.2">
      <c r="A564" s="22" t="s">
        <v>2954</v>
      </c>
      <c r="B564" s="8" t="s">
        <v>2953</v>
      </c>
      <c r="C564" s="8" t="s">
        <v>40</v>
      </c>
      <c r="D564" s="8" t="s">
        <v>969</v>
      </c>
      <c r="E564" s="8" t="s">
        <v>40</v>
      </c>
      <c r="F564" s="8" t="s">
        <v>39</v>
      </c>
      <c r="G564" s="8" t="s">
        <v>240</v>
      </c>
      <c r="H564" s="8" t="s">
        <v>37</v>
      </c>
      <c r="I564" s="8" t="s">
        <v>53</v>
      </c>
      <c r="J564" s="8" t="s">
        <v>46</v>
      </c>
      <c r="K564" s="8" t="s">
        <v>1732</v>
      </c>
      <c r="L564" s="7">
        <v>7302</v>
      </c>
      <c r="M564" s="10" t="str">
        <f t="shared" si="48"/>
        <v>CMI02051200</v>
      </c>
      <c r="N564" s="10" t="str">
        <f t="shared" si="49"/>
        <v>REP201000</v>
      </c>
      <c r="O564" s="10" t="str">
        <f t="shared" si="50"/>
        <v>E</v>
      </c>
      <c r="P564" s="10" t="str">
        <f t="shared" si="51"/>
        <v>50</v>
      </c>
      <c r="Q564" s="10" t="str">
        <f t="shared" si="52"/>
        <v>ZRPI</v>
      </c>
      <c r="R564" s="10" t="str">
        <f t="shared" si="53"/>
        <v>39121402</v>
      </c>
    </row>
    <row r="565" spans="1:18" ht="25.5" hidden="1" x14ac:dyDescent="0.2">
      <c r="A565" s="22" t="s">
        <v>2952</v>
      </c>
      <c r="B565" s="8" t="s">
        <v>2951</v>
      </c>
      <c r="C565" s="8" t="s">
        <v>40</v>
      </c>
      <c r="D565" s="8" t="s">
        <v>245</v>
      </c>
      <c r="E565" s="8" t="s">
        <v>40</v>
      </c>
      <c r="F565" s="8" t="s">
        <v>39</v>
      </c>
      <c r="G565" s="8" t="s">
        <v>54</v>
      </c>
      <c r="H565" s="8" t="s">
        <v>37</v>
      </c>
      <c r="I565" s="8" t="s">
        <v>53</v>
      </c>
      <c r="J565" s="8" t="s">
        <v>46</v>
      </c>
      <c r="K565" s="8" t="s">
        <v>2950</v>
      </c>
      <c r="L565" s="7">
        <v>7303</v>
      </c>
      <c r="M565" s="10" t="str">
        <f t="shared" si="48"/>
        <v>CMI01020300</v>
      </c>
      <c r="N565" s="10" t="str">
        <f t="shared" si="49"/>
        <v>REP201100</v>
      </c>
      <c r="O565" s="10" t="str">
        <f t="shared" si="50"/>
        <v>E</v>
      </c>
      <c r="P565" s="10" t="str">
        <f t="shared" si="51"/>
        <v>50</v>
      </c>
      <c r="Q565" s="10" t="str">
        <f t="shared" si="52"/>
        <v>ZRPI</v>
      </c>
      <c r="R565" s="10" t="str">
        <f t="shared" si="53"/>
        <v>26101205</v>
      </c>
    </row>
    <row r="566" spans="1:18" ht="38.25" hidden="1" x14ac:dyDescent="0.2">
      <c r="A566" s="22" t="s">
        <v>2949</v>
      </c>
      <c r="B566" s="8" t="s">
        <v>2948</v>
      </c>
      <c r="C566" s="8" t="s">
        <v>40</v>
      </c>
      <c r="D566" s="8" t="s">
        <v>241</v>
      </c>
      <c r="E566" s="8" t="s">
        <v>40</v>
      </c>
      <c r="F566" s="8" t="s">
        <v>39</v>
      </c>
      <c r="G566" s="8" t="s">
        <v>240</v>
      </c>
      <c r="H566" s="8" t="s">
        <v>37</v>
      </c>
      <c r="I566" s="8" t="s">
        <v>53</v>
      </c>
      <c r="J566" s="8" t="s">
        <v>46</v>
      </c>
      <c r="K566" s="8" t="s">
        <v>2947</v>
      </c>
      <c r="L566" s="7">
        <v>7304</v>
      </c>
      <c r="M566" s="10" t="str">
        <f t="shared" si="48"/>
        <v>CMI02090300</v>
      </c>
      <c r="N566" s="10" t="str">
        <f t="shared" si="49"/>
        <v>REP201000</v>
      </c>
      <c r="O566" s="10" t="str">
        <f t="shared" si="50"/>
        <v>E</v>
      </c>
      <c r="P566" s="10" t="str">
        <f t="shared" si="51"/>
        <v>50</v>
      </c>
      <c r="Q566" s="10" t="str">
        <f t="shared" si="52"/>
        <v>ZRPI</v>
      </c>
      <c r="R566" s="10" t="str">
        <f t="shared" si="53"/>
        <v>39121620</v>
      </c>
    </row>
    <row r="567" spans="1:18" ht="38.25" hidden="1" x14ac:dyDescent="0.2">
      <c r="A567" s="21" t="s">
        <v>2946</v>
      </c>
      <c r="B567" s="8" t="s">
        <v>2945</v>
      </c>
      <c r="C567" s="8" t="s">
        <v>40</v>
      </c>
      <c r="D567" s="8" t="s">
        <v>78</v>
      </c>
      <c r="E567" s="8" t="s">
        <v>40</v>
      </c>
      <c r="F567" s="8" t="s">
        <v>39</v>
      </c>
      <c r="G567" s="8" t="s">
        <v>240</v>
      </c>
      <c r="H567" s="8" t="s">
        <v>37</v>
      </c>
      <c r="I567" s="8" t="s">
        <v>53</v>
      </c>
      <c r="J567" s="8" t="s">
        <v>46</v>
      </c>
      <c r="K567" s="8" t="s">
        <v>2944</v>
      </c>
      <c r="L567" s="7">
        <v>7305</v>
      </c>
      <c r="M567" s="10" t="str">
        <f t="shared" si="48"/>
        <v>CMI02090400</v>
      </c>
      <c r="N567" s="10" t="str">
        <f t="shared" si="49"/>
        <v>REP201000</v>
      </c>
      <c r="O567" s="10" t="str">
        <f t="shared" si="50"/>
        <v>E</v>
      </c>
      <c r="P567" s="10" t="str">
        <f t="shared" si="51"/>
        <v>50</v>
      </c>
      <c r="Q567" s="10" t="str">
        <f t="shared" si="52"/>
        <v>ZRPI</v>
      </c>
      <c r="R567" s="10" t="str">
        <f t="shared" si="53"/>
        <v>43201503</v>
      </c>
    </row>
    <row r="568" spans="1:18" ht="25.5" hidden="1" x14ac:dyDescent="0.2">
      <c r="A568" s="21" t="s">
        <v>2943</v>
      </c>
      <c r="B568" s="8" t="s">
        <v>2942</v>
      </c>
      <c r="C568" s="8" t="s">
        <v>40</v>
      </c>
      <c r="D568" s="8" t="s">
        <v>241</v>
      </c>
      <c r="E568" s="8" t="s">
        <v>40</v>
      </c>
      <c r="F568" s="8" t="s">
        <v>39</v>
      </c>
      <c r="G568" s="8" t="s">
        <v>240</v>
      </c>
      <c r="H568" s="8" t="s">
        <v>37</v>
      </c>
      <c r="I568" s="8" t="s">
        <v>53</v>
      </c>
      <c r="J568" s="8" t="s">
        <v>46</v>
      </c>
      <c r="K568" s="8" t="s">
        <v>1724</v>
      </c>
      <c r="L568" s="7">
        <v>7306</v>
      </c>
      <c r="M568" s="10" t="str">
        <f t="shared" si="48"/>
        <v>CMI02090300</v>
      </c>
      <c r="N568" s="10" t="str">
        <f t="shared" si="49"/>
        <v>REP201000</v>
      </c>
      <c r="O568" s="10" t="str">
        <f t="shared" si="50"/>
        <v>E</v>
      </c>
      <c r="P568" s="10" t="str">
        <f t="shared" si="51"/>
        <v>50</v>
      </c>
      <c r="Q568" s="10" t="str">
        <f t="shared" si="52"/>
        <v>ZRPI</v>
      </c>
      <c r="R568" s="10" t="str">
        <f t="shared" si="53"/>
        <v>39122200</v>
      </c>
    </row>
    <row r="569" spans="1:18" ht="25.5" hidden="1" x14ac:dyDescent="0.2">
      <c r="A569" s="21" t="s">
        <v>2941</v>
      </c>
      <c r="B569" s="8" t="s">
        <v>2940</v>
      </c>
      <c r="C569" s="8" t="s">
        <v>40</v>
      </c>
      <c r="D569" s="8" t="s">
        <v>78</v>
      </c>
      <c r="E569" s="8" t="s">
        <v>40</v>
      </c>
      <c r="F569" s="8" t="s">
        <v>39</v>
      </c>
      <c r="G569" s="8" t="s">
        <v>240</v>
      </c>
      <c r="H569" s="8" t="s">
        <v>37</v>
      </c>
      <c r="I569" s="8" t="s">
        <v>53</v>
      </c>
      <c r="J569" s="8" t="s">
        <v>46</v>
      </c>
      <c r="K569" s="8" t="s">
        <v>2939</v>
      </c>
      <c r="L569" s="7">
        <v>7307</v>
      </c>
      <c r="M569" s="10" t="str">
        <f t="shared" si="48"/>
        <v>CMI02090400</v>
      </c>
      <c r="N569" s="10" t="str">
        <f t="shared" si="49"/>
        <v>REP201000</v>
      </c>
      <c r="O569" s="10" t="str">
        <f t="shared" si="50"/>
        <v>E</v>
      </c>
      <c r="P569" s="10" t="str">
        <f t="shared" si="51"/>
        <v>50</v>
      </c>
      <c r="Q569" s="10" t="str">
        <f t="shared" si="52"/>
        <v>ZRPI</v>
      </c>
      <c r="R569" s="10" t="str">
        <f t="shared" si="53"/>
        <v>41111905</v>
      </c>
    </row>
    <row r="570" spans="1:18" ht="25.5" hidden="1" x14ac:dyDescent="0.2">
      <c r="A570" s="21" t="s">
        <v>2938</v>
      </c>
      <c r="B570" s="8" t="s">
        <v>2937</v>
      </c>
      <c r="C570" s="8" t="s">
        <v>40</v>
      </c>
      <c r="D570" s="8" t="s">
        <v>78</v>
      </c>
      <c r="E570" s="7">
        <v>6</v>
      </c>
      <c r="F570" s="8" t="s">
        <v>39</v>
      </c>
      <c r="G570" s="8" t="s">
        <v>240</v>
      </c>
      <c r="H570" s="8" t="s">
        <v>37</v>
      </c>
      <c r="I570" s="8" t="s">
        <v>53</v>
      </c>
      <c r="J570" s="8" t="s">
        <v>46</v>
      </c>
      <c r="K570" s="8" t="s">
        <v>2936</v>
      </c>
      <c r="L570" s="7">
        <v>7308</v>
      </c>
      <c r="M570" s="10" t="str">
        <f t="shared" si="48"/>
        <v>CMI02090400</v>
      </c>
      <c r="N570" s="10" t="str">
        <f t="shared" si="49"/>
        <v>REP201000</v>
      </c>
      <c r="O570" s="10" t="str">
        <f t="shared" si="50"/>
        <v>E</v>
      </c>
      <c r="P570" s="10" t="str">
        <f t="shared" si="51"/>
        <v>50</v>
      </c>
      <c r="Q570" s="10" t="str">
        <f t="shared" si="52"/>
        <v>ZRPI</v>
      </c>
      <c r="R570" s="10" t="str">
        <f t="shared" si="53"/>
        <v>39121100</v>
      </c>
    </row>
    <row r="571" spans="1:18" ht="25.5" hidden="1" x14ac:dyDescent="0.2">
      <c r="A571" s="21" t="s">
        <v>2935</v>
      </c>
      <c r="B571" s="8" t="s">
        <v>2934</v>
      </c>
      <c r="C571" s="8" t="s">
        <v>40</v>
      </c>
      <c r="D571" s="8" t="s">
        <v>241</v>
      </c>
      <c r="E571" s="8" t="s">
        <v>40</v>
      </c>
      <c r="F571" s="8" t="s">
        <v>39</v>
      </c>
      <c r="G571" s="8" t="s">
        <v>240</v>
      </c>
      <c r="H571" s="8" t="s">
        <v>37</v>
      </c>
      <c r="I571" s="8" t="s">
        <v>53</v>
      </c>
      <c r="J571" s="8" t="s">
        <v>46</v>
      </c>
      <c r="K571" s="8" t="s">
        <v>265</v>
      </c>
      <c r="L571" s="7">
        <v>7309</v>
      </c>
      <c r="M571" s="10" t="str">
        <f t="shared" si="48"/>
        <v>CMI02090300</v>
      </c>
      <c r="N571" s="10" t="str">
        <f t="shared" si="49"/>
        <v>REP201000</v>
      </c>
      <c r="O571" s="10" t="str">
        <f t="shared" si="50"/>
        <v>E</v>
      </c>
      <c r="P571" s="10" t="str">
        <f t="shared" si="51"/>
        <v>50</v>
      </c>
      <c r="Q571" s="10" t="str">
        <f t="shared" si="52"/>
        <v>ZRPI</v>
      </c>
      <c r="R571" s="10" t="str">
        <f t="shared" si="53"/>
        <v>39121600</v>
      </c>
    </row>
    <row r="572" spans="1:18" ht="25.5" hidden="1" x14ac:dyDescent="0.2">
      <c r="A572" s="21" t="s">
        <v>2933</v>
      </c>
      <c r="B572" s="8" t="s">
        <v>2932</v>
      </c>
      <c r="C572" s="8" t="s">
        <v>40</v>
      </c>
      <c r="D572" s="8" t="s">
        <v>241</v>
      </c>
      <c r="E572" s="8" t="s">
        <v>40</v>
      </c>
      <c r="F572" s="8" t="s">
        <v>39</v>
      </c>
      <c r="G572" s="8" t="s">
        <v>240</v>
      </c>
      <c r="H572" s="8" t="s">
        <v>37</v>
      </c>
      <c r="I572" s="8" t="s">
        <v>53</v>
      </c>
      <c r="J572" s="8" t="s">
        <v>46</v>
      </c>
      <c r="K572" s="8" t="s">
        <v>2931</v>
      </c>
      <c r="L572" s="7">
        <v>7310</v>
      </c>
      <c r="M572" s="10" t="str">
        <f t="shared" si="48"/>
        <v>CMI02090300</v>
      </c>
      <c r="N572" s="10" t="str">
        <f t="shared" si="49"/>
        <v>REP201000</v>
      </c>
      <c r="O572" s="10" t="str">
        <f t="shared" si="50"/>
        <v>E</v>
      </c>
      <c r="P572" s="10" t="str">
        <f t="shared" si="51"/>
        <v>50</v>
      </c>
      <c r="Q572" s="10" t="str">
        <f t="shared" si="52"/>
        <v>ZRPI</v>
      </c>
      <c r="R572" s="10" t="str">
        <f t="shared" si="53"/>
        <v>32101600</v>
      </c>
    </row>
    <row r="573" spans="1:18" ht="25.5" hidden="1" x14ac:dyDescent="0.2">
      <c r="A573" s="21" t="s">
        <v>2930</v>
      </c>
      <c r="B573" s="8" t="s">
        <v>2929</v>
      </c>
      <c r="C573" s="8" t="s">
        <v>40</v>
      </c>
      <c r="D573" s="8" t="s">
        <v>241</v>
      </c>
      <c r="E573" s="7">
        <v>6</v>
      </c>
      <c r="F573" s="8" t="s">
        <v>39</v>
      </c>
      <c r="G573" s="8" t="s">
        <v>240</v>
      </c>
      <c r="H573" s="8" t="s">
        <v>37</v>
      </c>
      <c r="I573" s="8" t="s">
        <v>36</v>
      </c>
      <c r="J573" s="8" t="s">
        <v>46</v>
      </c>
      <c r="K573" s="8" t="s">
        <v>1724</v>
      </c>
      <c r="L573" s="7">
        <v>7311</v>
      </c>
      <c r="M573" s="10" t="str">
        <f t="shared" si="48"/>
        <v>CMI02090300</v>
      </c>
      <c r="N573" s="10" t="str">
        <f t="shared" si="49"/>
        <v>REP201000</v>
      </c>
      <c r="O573" s="10" t="str">
        <f t="shared" si="50"/>
        <v>E</v>
      </c>
      <c r="P573" s="10" t="str">
        <f t="shared" si="51"/>
        <v>10</v>
      </c>
      <c r="Q573" s="10" t="str">
        <f t="shared" si="52"/>
        <v>ZRPI</v>
      </c>
      <c r="R573" s="10" t="str">
        <f t="shared" si="53"/>
        <v>39122200</v>
      </c>
    </row>
    <row r="574" spans="1:18" ht="25.5" hidden="1" x14ac:dyDescent="0.2">
      <c r="A574" s="21" t="s">
        <v>2928</v>
      </c>
      <c r="B574" s="8" t="s">
        <v>2927</v>
      </c>
      <c r="C574" s="8" t="s">
        <v>40</v>
      </c>
      <c r="D574" s="8" t="s">
        <v>78</v>
      </c>
      <c r="E574" s="8" t="s">
        <v>40</v>
      </c>
      <c r="F574" s="8" t="s">
        <v>39</v>
      </c>
      <c r="G574" s="8" t="s">
        <v>240</v>
      </c>
      <c r="H574" s="8" t="s">
        <v>37</v>
      </c>
      <c r="I574" s="8" t="s">
        <v>53</v>
      </c>
      <c r="J574" s="8" t="s">
        <v>46</v>
      </c>
      <c r="K574" s="8" t="s">
        <v>1724</v>
      </c>
      <c r="L574" s="7">
        <v>7312</v>
      </c>
      <c r="M574" s="10" t="str">
        <f t="shared" si="48"/>
        <v>CMI02090400</v>
      </c>
      <c r="N574" s="10" t="str">
        <f t="shared" si="49"/>
        <v>REP201000</v>
      </c>
      <c r="O574" s="10" t="str">
        <f t="shared" si="50"/>
        <v>E</v>
      </c>
      <c r="P574" s="10" t="str">
        <f t="shared" si="51"/>
        <v>50</v>
      </c>
      <c r="Q574" s="10" t="str">
        <f t="shared" si="52"/>
        <v>ZRPI</v>
      </c>
      <c r="R574" s="10" t="str">
        <f t="shared" si="53"/>
        <v>39122200</v>
      </c>
    </row>
    <row r="575" spans="1:18" ht="25.5" hidden="1" x14ac:dyDescent="0.2">
      <c r="A575" s="21" t="s">
        <v>2926</v>
      </c>
      <c r="B575" s="8" t="s">
        <v>2925</v>
      </c>
      <c r="C575" s="8" t="s">
        <v>40</v>
      </c>
      <c r="D575" s="8" t="s">
        <v>78</v>
      </c>
      <c r="E575" s="8" t="s">
        <v>40</v>
      </c>
      <c r="F575" s="8" t="s">
        <v>39</v>
      </c>
      <c r="G575" s="8" t="s">
        <v>240</v>
      </c>
      <c r="H575" s="8" t="s">
        <v>37</v>
      </c>
      <c r="I575" s="8" t="s">
        <v>53</v>
      </c>
      <c r="J575" s="8" t="s">
        <v>46</v>
      </c>
      <c r="K575" s="8" t="s">
        <v>2924</v>
      </c>
      <c r="L575" s="7">
        <v>7313</v>
      </c>
      <c r="M575" s="10" t="str">
        <f t="shared" si="48"/>
        <v>CMI02090400</v>
      </c>
      <c r="N575" s="10" t="str">
        <f t="shared" si="49"/>
        <v>REP201000</v>
      </c>
      <c r="O575" s="10" t="str">
        <f t="shared" si="50"/>
        <v>E</v>
      </c>
      <c r="P575" s="10" t="str">
        <f t="shared" si="51"/>
        <v>50</v>
      </c>
      <c r="Q575" s="10" t="str">
        <f t="shared" si="52"/>
        <v>ZRPI</v>
      </c>
      <c r="R575" s="10" t="str">
        <f t="shared" si="53"/>
        <v>41112500</v>
      </c>
    </row>
    <row r="576" spans="1:18" ht="38.25" hidden="1" x14ac:dyDescent="0.2">
      <c r="A576" s="21" t="s">
        <v>2923</v>
      </c>
      <c r="B576" s="8" t="s">
        <v>2922</v>
      </c>
      <c r="C576" s="8" t="s">
        <v>40</v>
      </c>
      <c r="D576" s="8" t="s">
        <v>241</v>
      </c>
      <c r="E576" s="8" t="s">
        <v>40</v>
      </c>
      <c r="F576" s="8" t="s">
        <v>39</v>
      </c>
      <c r="G576" s="8" t="s">
        <v>240</v>
      </c>
      <c r="H576" s="8" t="s">
        <v>37</v>
      </c>
      <c r="I576" s="8" t="s">
        <v>53</v>
      </c>
      <c r="J576" s="8" t="s">
        <v>46</v>
      </c>
      <c r="K576" s="8" t="s">
        <v>1208</v>
      </c>
      <c r="L576" s="7">
        <v>7314</v>
      </c>
      <c r="M576" s="10" t="str">
        <f t="shared" si="48"/>
        <v>CMI02090300</v>
      </c>
      <c r="N576" s="10" t="str">
        <f t="shared" si="49"/>
        <v>REP201000</v>
      </c>
      <c r="O576" s="10" t="str">
        <f t="shared" si="50"/>
        <v>E</v>
      </c>
      <c r="P576" s="10" t="str">
        <f t="shared" si="51"/>
        <v>50</v>
      </c>
      <c r="Q576" s="10" t="str">
        <f t="shared" si="52"/>
        <v>ZRPI</v>
      </c>
      <c r="R576" s="10" t="str">
        <f t="shared" si="53"/>
        <v>39121400</v>
      </c>
    </row>
    <row r="577" spans="1:18" ht="38.25" hidden="1" x14ac:dyDescent="0.2">
      <c r="A577" s="21" t="s">
        <v>2921</v>
      </c>
      <c r="B577" s="8" t="s">
        <v>2920</v>
      </c>
      <c r="C577" s="8" t="s">
        <v>40</v>
      </c>
      <c r="D577" s="8" t="s">
        <v>241</v>
      </c>
      <c r="E577" s="8" t="s">
        <v>40</v>
      </c>
      <c r="F577" s="8" t="s">
        <v>39</v>
      </c>
      <c r="G577" s="8" t="s">
        <v>240</v>
      </c>
      <c r="H577" s="8" t="s">
        <v>37</v>
      </c>
      <c r="I577" s="8" t="s">
        <v>53</v>
      </c>
      <c r="J577" s="8" t="s">
        <v>46</v>
      </c>
      <c r="K577" s="8" t="s">
        <v>1208</v>
      </c>
      <c r="L577" s="7">
        <v>7315</v>
      </c>
      <c r="M577" s="10" t="str">
        <f t="shared" si="48"/>
        <v>CMI02090300</v>
      </c>
      <c r="N577" s="10" t="str">
        <f t="shared" si="49"/>
        <v>REP201000</v>
      </c>
      <c r="O577" s="10" t="str">
        <f t="shared" si="50"/>
        <v>E</v>
      </c>
      <c r="P577" s="10" t="str">
        <f t="shared" si="51"/>
        <v>50</v>
      </c>
      <c r="Q577" s="10" t="str">
        <f t="shared" si="52"/>
        <v>ZRPI</v>
      </c>
      <c r="R577" s="10" t="str">
        <f t="shared" si="53"/>
        <v>39121400</v>
      </c>
    </row>
    <row r="578" spans="1:18" ht="25.5" hidden="1" x14ac:dyDescent="0.2">
      <c r="A578" s="21" t="s">
        <v>2919</v>
      </c>
      <c r="B578" s="8" t="s">
        <v>2918</v>
      </c>
      <c r="C578" s="8" t="s">
        <v>40</v>
      </c>
      <c r="D578" s="8" t="s">
        <v>241</v>
      </c>
      <c r="E578" s="8" t="s">
        <v>40</v>
      </c>
      <c r="F578" s="8" t="s">
        <v>39</v>
      </c>
      <c r="G578" s="8" t="s">
        <v>240</v>
      </c>
      <c r="H578" s="8" t="s">
        <v>37</v>
      </c>
      <c r="I578" s="8" t="s">
        <v>53</v>
      </c>
      <c r="J578" s="8" t="s">
        <v>46</v>
      </c>
      <c r="K578" s="8" t="s">
        <v>1764</v>
      </c>
      <c r="L578" s="7">
        <v>7316</v>
      </c>
      <c r="M578" s="10" t="str">
        <f t="shared" si="48"/>
        <v>CMI02090300</v>
      </c>
      <c r="N578" s="10" t="str">
        <f t="shared" si="49"/>
        <v>REP201000</v>
      </c>
      <c r="O578" s="10" t="str">
        <f t="shared" si="50"/>
        <v>E</v>
      </c>
      <c r="P578" s="10" t="str">
        <f t="shared" si="51"/>
        <v>50</v>
      </c>
      <c r="Q578" s="10" t="str">
        <f t="shared" si="52"/>
        <v>ZRPI</v>
      </c>
      <c r="R578" s="10" t="str">
        <f t="shared" si="53"/>
        <v>39121303</v>
      </c>
    </row>
    <row r="579" spans="1:18" ht="25.5" hidden="1" x14ac:dyDescent="0.2">
      <c r="A579" s="21" t="s">
        <v>2917</v>
      </c>
      <c r="B579" s="8" t="s">
        <v>2916</v>
      </c>
      <c r="C579" s="8" t="s">
        <v>40</v>
      </c>
      <c r="D579" s="8" t="s">
        <v>256</v>
      </c>
      <c r="E579" s="8" t="s">
        <v>40</v>
      </c>
      <c r="F579" s="8" t="s">
        <v>39</v>
      </c>
      <c r="G579" s="8" t="s">
        <v>240</v>
      </c>
      <c r="H579" s="8" t="s">
        <v>37</v>
      </c>
      <c r="I579" s="8" t="s">
        <v>53</v>
      </c>
      <c r="J579" s="8" t="s">
        <v>46</v>
      </c>
      <c r="K579" s="8" t="s">
        <v>2915</v>
      </c>
      <c r="L579" s="7">
        <v>7317</v>
      </c>
      <c r="M579" s="10" t="str">
        <f t="shared" ref="M579:M642" si="54">+LEFT(D579,11)</f>
        <v>CMI02090900</v>
      </c>
      <c r="N579" s="10" t="str">
        <f t="shared" ref="N579:N642" si="55">+LEFT(G579,9)</f>
        <v>REP201000</v>
      </c>
      <c r="O579" s="10" t="str">
        <f t="shared" ref="O579:O642" si="56">+LEFT(H579,1)</f>
        <v>E</v>
      </c>
      <c r="P579" s="10" t="str">
        <f t="shared" ref="P579:P642" si="57">+LEFT(I579,2)</f>
        <v>50</v>
      </c>
      <c r="Q579" s="10" t="str">
        <f t="shared" ref="Q579:Q642" si="58">+LEFT(J579,4)</f>
        <v>ZRPI</v>
      </c>
      <c r="R579" s="10" t="str">
        <f t="shared" ref="R579:R642" si="59">+LEFT(K579,8)</f>
        <v>31410000</v>
      </c>
    </row>
    <row r="580" spans="1:18" ht="25.5" hidden="1" x14ac:dyDescent="0.2">
      <c r="A580" s="21" t="s">
        <v>2914</v>
      </c>
      <c r="B580" s="8" t="s">
        <v>2913</v>
      </c>
      <c r="C580" s="8" t="s">
        <v>40</v>
      </c>
      <c r="D580" s="8" t="s">
        <v>241</v>
      </c>
      <c r="E580" s="8" t="s">
        <v>40</v>
      </c>
      <c r="F580" s="8" t="s">
        <v>39</v>
      </c>
      <c r="G580" s="8" t="s">
        <v>240</v>
      </c>
      <c r="H580" s="8" t="s">
        <v>37</v>
      </c>
      <c r="I580" s="8" t="s">
        <v>53</v>
      </c>
      <c r="J580" s="8" t="s">
        <v>46</v>
      </c>
      <c r="K580" s="8" t="s">
        <v>1724</v>
      </c>
      <c r="L580" s="7">
        <v>7318</v>
      </c>
      <c r="M580" s="10" t="str">
        <f t="shared" si="54"/>
        <v>CMI02090300</v>
      </c>
      <c r="N580" s="10" t="str">
        <f t="shared" si="55"/>
        <v>REP201000</v>
      </c>
      <c r="O580" s="10" t="str">
        <f t="shared" si="56"/>
        <v>E</v>
      </c>
      <c r="P580" s="10" t="str">
        <f t="shared" si="57"/>
        <v>50</v>
      </c>
      <c r="Q580" s="10" t="str">
        <f t="shared" si="58"/>
        <v>ZRPI</v>
      </c>
      <c r="R580" s="10" t="str">
        <f t="shared" si="59"/>
        <v>39122200</v>
      </c>
    </row>
    <row r="581" spans="1:18" ht="25.5" hidden="1" x14ac:dyDescent="0.2">
      <c r="A581" s="21" t="s">
        <v>2912</v>
      </c>
      <c r="B581" s="8" t="s">
        <v>2911</v>
      </c>
      <c r="C581" s="8" t="s">
        <v>40</v>
      </c>
      <c r="D581" s="8" t="s">
        <v>241</v>
      </c>
      <c r="E581" s="8" t="s">
        <v>40</v>
      </c>
      <c r="F581" s="8" t="s">
        <v>39</v>
      </c>
      <c r="G581" s="8" t="s">
        <v>240</v>
      </c>
      <c r="H581" s="8" t="s">
        <v>37</v>
      </c>
      <c r="I581" s="8" t="s">
        <v>53</v>
      </c>
      <c r="J581" s="8" t="s">
        <v>46</v>
      </c>
      <c r="K581" s="8" t="s">
        <v>2910</v>
      </c>
      <c r="L581" s="7">
        <v>7319</v>
      </c>
      <c r="M581" s="10" t="str">
        <f t="shared" si="54"/>
        <v>CMI02090300</v>
      </c>
      <c r="N581" s="10" t="str">
        <f t="shared" si="55"/>
        <v>REP201000</v>
      </c>
      <c r="O581" s="10" t="str">
        <f t="shared" si="56"/>
        <v>E</v>
      </c>
      <c r="P581" s="10" t="str">
        <f t="shared" si="57"/>
        <v>50</v>
      </c>
      <c r="Q581" s="10" t="str">
        <f t="shared" si="58"/>
        <v>ZRPI</v>
      </c>
      <c r="R581" s="10" t="str">
        <f t="shared" si="59"/>
        <v>41111943</v>
      </c>
    </row>
    <row r="582" spans="1:18" ht="38.25" hidden="1" x14ac:dyDescent="0.2">
      <c r="A582" s="21" t="s">
        <v>2909</v>
      </c>
      <c r="B582" s="8" t="s">
        <v>2908</v>
      </c>
      <c r="C582" s="8" t="s">
        <v>40</v>
      </c>
      <c r="D582" s="8" t="s">
        <v>78</v>
      </c>
      <c r="E582" s="8" t="s">
        <v>40</v>
      </c>
      <c r="F582" s="8" t="s">
        <v>39</v>
      </c>
      <c r="G582" s="8" t="s">
        <v>240</v>
      </c>
      <c r="H582" s="8" t="s">
        <v>37</v>
      </c>
      <c r="I582" s="8" t="s">
        <v>53</v>
      </c>
      <c r="J582" s="8" t="s">
        <v>46</v>
      </c>
      <c r="K582" s="8" t="s">
        <v>1208</v>
      </c>
      <c r="L582" s="7">
        <v>7320</v>
      </c>
      <c r="M582" s="10" t="str">
        <f t="shared" si="54"/>
        <v>CMI02090400</v>
      </c>
      <c r="N582" s="10" t="str">
        <f t="shared" si="55"/>
        <v>REP201000</v>
      </c>
      <c r="O582" s="10" t="str">
        <f t="shared" si="56"/>
        <v>E</v>
      </c>
      <c r="P582" s="10" t="str">
        <f t="shared" si="57"/>
        <v>50</v>
      </c>
      <c r="Q582" s="10" t="str">
        <f t="shared" si="58"/>
        <v>ZRPI</v>
      </c>
      <c r="R582" s="10" t="str">
        <f t="shared" si="59"/>
        <v>39121400</v>
      </c>
    </row>
    <row r="583" spans="1:18" ht="25.5" hidden="1" x14ac:dyDescent="0.2">
      <c r="A583" s="21" t="s">
        <v>2907</v>
      </c>
      <c r="B583" s="8" t="s">
        <v>2906</v>
      </c>
      <c r="C583" s="8" t="s">
        <v>40</v>
      </c>
      <c r="D583" s="8" t="s">
        <v>241</v>
      </c>
      <c r="E583" s="8" t="s">
        <v>40</v>
      </c>
      <c r="F583" s="8" t="s">
        <v>39</v>
      </c>
      <c r="G583" s="8" t="s">
        <v>240</v>
      </c>
      <c r="H583" s="8" t="s">
        <v>37</v>
      </c>
      <c r="I583" s="8" t="s">
        <v>53</v>
      </c>
      <c r="J583" s="8" t="s">
        <v>46</v>
      </c>
      <c r="K583" s="8" t="s">
        <v>1724</v>
      </c>
      <c r="L583" s="7">
        <v>7321</v>
      </c>
      <c r="M583" s="10" t="str">
        <f t="shared" si="54"/>
        <v>CMI02090300</v>
      </c>
      <c r="N583" s="10" t="str">
        <f t="shared" si="55"/>
        <v>REP201000</v>
      </c>
      <c r="O583" s="10" t="str">
        <f t="shared" si="56"/>
        <v>E</v>
      </c>
      <c r="P583" s="10" t="str">
        <f t="shared" si="57"/>
        <v>50</v>
      </c>
      <c r="Q583" s="10" t="str">
        <f t="shared" si="58"/>
        <v>ZRPI</v>
      </c>
      <c r="R583" s="10" t="str">
        <f t="shared" si="59"/>
        <v>39122200</v>
      </c>
    </row>
    <row r="584" spans="1:18" ht="38.25" hidden="1" x14ac:dyDescent="0.2">
      <c r="A584" s="21" t="s">
        <v>2905</v>
      </c>
      <c r="B584" s="8" t="s">
        <v>2904</v>
      </c>
      <c r="C584" s="8" t="s">
        <v>40</v>
      </c>
      <c r="D584" s="8" t="s">
        <v>241</v>
      </c>
      <c r="E584" s="8" t="s">
        <v>40</v>
      </c>
      <c r="F584" s="8" t="s">
        <v>39</v>
      </c>
      <c r="G584" s="8" t="s">
        <v>240</v>
      </c>
      <c r="H584" s="8" t="s">
        <v>37</v>
      </c>
      <c r="I584" s="8" t="s">
        <v>53</v>
      </c>
      <c r="J584" s="8" t="s">
        <v>46</v>
      </c>
      <c r="K584" s="8" t="s">
        <v>2903</v>
      </c>
      <c r="L584" s="7">
        <v>7322</v>
      </c>
      <c r="M584" s="10" t="str">
        <f t="shared" si="54"/>
        <v>CMI02090300</v>
      </c>
      <c r="N584" s="10" t="str">
        <f t="shared" si="55"/>
        <v>REP201000</v>
      </c>
      <c r="O584" s="10" t="str">
        <f t="shared" si="56"/>
        <v>E</v>
      </c>
      <c r="P584" s="10" t="str">
        <f t="shared" si="57"/>
        <v>50</v>
      </c>
      <c r="Q584" s="10" t="str">
        <f t="shared" si="58"/>
        <v>ZRPI</v>
      </c>
      <c r="R584" s="10" t="str">
        <f t="shared" si="59"/>
        <v>40101800</v>
      </c>
    </row>
    <row r="585" spans="1:18" ht="25.5" hidden="1" x14ac:dyDescent="0.2">
      <c r="A585" s="21" t="s">
        <v>2902</v>
      </c>
      <c r="B585" s="8" t="s">
        <v>2901</v>
      </c>
      <c r="C585" s="8" t="s">
        <v>40</v>
      </c>
      <c r="D585" s="8" t="s">
        <v>78</v>
      </c>
      <c r="E585" s="8" t="s">
        <v>40</v>
      </c>
      <c r="F585" s="8" t="s">
        <v>39</v>
      </c>
      <c r="G585" s="8" t="s">
        <v>240</v>
      </c>
      <c r="H585" s="8" t="s">
        <v>37</v>
      </c>
      <c r="I585" s="8" t="s">
        <v>53</v>
      </c>
      <c r="J585" s="8" t="s">
        <v>46</v>
      </c>
      <c r="K585" s="8" t="s">
        <v>2900</v>
      </c>
      <c r="L585" s="7">
        <v>7323</v>
      </c>
      <c r="M585" s="10" t="str">
        <f t="shared" si="54"/>
        <v>CMI02090400</v>
      </c>
      <c r="N585" s="10" t="str">
        <f t="shared" si="55"/>
        <v>REP201000</v>
      </c>
      <c r="O585" s="10" t="str">
        <f t="shared" si="56"/>
        <v>E</v>
      </c>
      <c r="P585" s="10" t="str">
        <f t="shared" si="57"/>
        <v>50</v>
      </c>
      <c r="Q585" s="10" t="str">
        <f t="shared" si="58"/>
        <v>ZRPI</v>
      </c>
      <c r="R585" s="10" t="str">
        <f t="shared" si="59"/>
        <v>41103303</v>
      </c>
    </row>
    <row r="586" spans="1:18" ht="25.5" hidden="1" x14ac:dyDescent="0.2">
      <c r="A586" s="21" t="s">
        <v>2899</v>
      </c>
      <c r="B586" s="8" t="s">
        <v>2898</v>
      </c>
      <c r="C586" s="8" t="s">
        <v>40</v>
      </c>
      <c r="D586" s="8" t="s">
        <v>256</v>
      </c>
      <c r="E586" s="8" t="s">
        <v>40</v>
      </c>
      <c r="F586" s="8" t="s">
        <v>39</v>
      </c>
      <c r="G586" s="8" t="s">
        <v>54</v>
      </c>
      <c r="H586" s="8" t="s">
        <v>37</v>
      </c>
      <c r="I586" s="8" t="s">
        <v>53</v>
      </c>
      <c r="J586" s="8" t="s">
        <v>46</v>
      </c>
      <c r="K586" s="8" t="s">
        <v>2882</v>
      </c>
      <c r="L586" s="7">
        <v>7324</v>
      </c>
      <c r="M586" s="10" t="str">
        <f t="shared" si="54"/>
        <v>CMI02090900</v>
      </c>
      <c r="N586" s="10" t="str">
        <f t="shared" si="55"/>
        <v>REP201100</v>
      </c>
      <c r="O586" s="10" t="str">
        <f t="shared" si="56"/>
        <v>E</v>
      </c>
      <c r="P586" s="10" t="str">
        <f t="shared" si="57"/>
        <v>50</v>
      </c>
      <c r="Q586" s="10" t="str">
        <f t="shared" si="58"/>
        <v>ZRPI</v>
      </c>
      <c r="R586" s="10" t="str">
        <f t="shared" si="59"/>
        <v>26101700</v>
      </c>
    </row>
    <row r="587" spans="1:18" ht="25.5" hidden="1" x14ac:dyDescent="0.2">
      <c r="A587" s="21" t="s">
        <v>2897</v>
      </c>
      <c r="B587" s="8" t="s">
        <v>2896</v>
      </c>
      <c r="C587" s="8" t="s">
        <v>40</v>
      </c>
      <c r="D587" s="8" t="s">
        <v>256</v>
      </c>
      <c r="E587" s="8" t="s">
        <v>40</v>
      </c>
      <c r="F587" s="8" t="s">
        <v>39</v>
      </c>
      <c r="G587" s="8" t="s">
        <v>54</v>
      </c>
      <c r="H587" s="8" t="s">
        <v>37</v>
      </c>
      <c r="I587" s="8" t="s">
        <v>53</v>
      </c>
      <c r="J587" s="8" t="s">
        <v>46</v>
      </c>
      <c r="K587" s="8" t="s">
        <v>2882</v>
      </c>
      <c r="L587" s="7">
        <v>7325</v>
      </c>
      <c r="M587" s="10" t="str">
        <f t="shared" si="54"/>
        <v>CMI02090900</v>
      </c>
      <c r="N587" s="10" t="str">
        <f t="shared" si="55"/>
        <v>REP201100</v>
      </c>
      <c r="O587" s="10" t="str">
        <f t="shared" si="56"/>
        <v>E</v>
      </c>
      <c r="P587" s="10" t="str">
        <f t="shared" si="57"/>
        <v>50</v>
      </c>
      <c r="Q587" s="10" t="str">
        <f t="shared" si="58"/>
        <v>ZRPI</v>
      </c>
      <c r="R587" s="10" t="str">
        <f t="shared" si="59"/>
        <v>26101700</v>
      </c>
    </row>
    <row r="588" spans="1:18" ht="25.5" hidden="1" x14ac:dyDescent="0.2">
      <c r="A588" s="21" t="s">
        <v>2895</v>
      </c>
      <c r="B588" s="8" t="s">
        <v>2894</v>
      </c>
      <c r="C588" s="8" t="s">
        <v>40</v>
      </c>
      <c r="D588" s="8" t="s">
        <v>256</v>
      </c>
      <c r="E588" s="8" t="s">
        <v>40</v>
      </c>
      <c r="F588" s="8" t="s">
        <v>39</v>
      </c>
      <c r="G588" s="8" t="s">
        <v>54</v>
      </c>
      <c r="H588" s="8" t="s">
        <v>37</v>
      </c>
      <c r="I588" s="8" t="s">
        <v>53</v>
      </c>
      <c r="J588" s="8" t="s">
        <v>46</v>
      </c>
      <c r="K588" s="8" t="s">
        <v>2893</v>
      </c>
      <c r="L588" s="7">
        <v>7326</v>
      </c>
      <c r="M588" s="10" t="str">
        <f t="shared" si="54"/>
        <v>CMI02090900</v>
      </c>
      <c r="N588" s="10" t="str">
        <f t="shared" si="55"/>
        <v>REP201100</v>
      </c>
      <c r="O588" s="10" t="str">
        <f t="shared" si="56"/>
        <v>E</v>
      </c>
      <c r="P588" s="10" t="str">
        <f t="shared" si="57"/>
        <v>50</v>
      </c>
      <c r="Q588" s="10" t="str">
        <f t="shared" si="58"/>
        <v>ZRPI</v>
      </c>
      <c r="R588" s="10" t="str">
        <f t="shared" si="59"/>
        <v>31171500</v>
      </c>
    </row>
    <row r="589" spans="1:18" ht="38.25" hidden="1" x14ac:dyDescent="0.2">
      <c r="A589" s="21" t="s">
        <v>2892</v>
      </c>
      <c r="B589" s="8" t="s">
        <v>2891</v>
      </c>
      <c r="C589" s="8" t="s">
        <v>40</v>
      </c>
      <c r="D589" s="8" t="s">
        <v>256</v>
      </c>
      <c r="E589" s="8" t="s">
        <v>40</v>
      </c>
      <c r="F589" s="8" t="s">
        <v>39</v>
      </c>
      <c r="G589" s="8" t="s">
        <v>54</v>
      </c>
      <c r="H589" s="8" t="s">
        <v>37</v>
      </c>
      <c r="I589" s="8" t="s">
        <v>53</v>
      </c>
      <c r="J589" s="8" t="s">
        <v>46</v>
      </c>
      <c r="K589" s="8" t="s">
        <v>866</v>
      </c>
      <c r="L589" s="7">
        <v>7327</v>
      </c>
      <c r="M589" s="10" t="str">
        <f t="shared" si="54"/>
        <v>CMI02090900</v>
      </c>
      <c r="N589" s="10" t="str">
        <f t="shared" si="55"/>
        <v>REP201100</v>
      </c>
      <c r="O589" s="10" t="str">
        <f t="shared" si="56"/>
        <v>E</v>
      </c>
      <c r="P589" s="10" t="str">
        <f t="shared" si="57"/>
        <v>50</v>
      </c>
      <c r="Q589" s="10" t="str">
        <f t="shared" si="58"/>
        <v>ZRPI</v>
      </c>
      <c r="R589" s="10" t="str">
        <f t="shared" si="59"/>
        <v>23153100</v>
      </c>
    </row>
    <row r="590" spans="1:18" ht="25.5" hidden="1" x14ac:dyDescent="0.2">
      <c r="A590" s="21" t="s">
        <v>2890</v>
      </c>
      <c r="B590" s="8" t="s">
        <v>2889</v>
      </c>
      <c r="C590" s="8" t="s">
        <v>40</v>
      </c>
      <c r="D590" s="8" t="s">
        <v>256</v>
      </c>
      <c r="E590" s="8" t="s">
        <v>40</v>
      </c>
      <c r="F590" s="8" t="s">
        <v>39</v>
      </c>
      <c r="G590" s="8" t="s">
        <v>54</v>
      </c>
      <c r="H590" s="8" t="s">
        <v>37</v>
      </c>
      <c r="I590" s="8" t="s">
        <v>53</v>
      </c>
      <c r="J590" s="8" t="s">
        <v>46</v>
      </c>
      <c r="K590" s="8" t="s">
        <v>2888</v>
      </c>
      <c r="L590" s="7">
        <v>7328</v>
      </c>
      <c r="M590" s="10" t="str">
        <f t="shared" si="54"/>
        <v>CMI02090900</v>
      </c>
      <c r="N590" s="10" t="str">
        <f t="shared" si="55"/>
        <v>REP201100</v>
      </c>
      <c r="O590" s="10" t="str">
        <f t="shared" si="56"/>
        <v>E</v>
      </c>
      <c r="P590" s="10" t="str">
        <f t="shared" si="57"/>
        <v>50</v>
      </c>
      <c r="Q590" s="10" t="str">
        <f t="shared" si="58"/>
        <v>ZRPI</v>
      </c>
      <c r="R590" s="10" t="str">
        <f t="shared" si="59"/>
        <v>31161600</v>
      </c>
    </row>
    <row r="591" spans="1:18" ht="25.5" hidden="1" x14ac:dyDescent="0.2">
      <c r="A591" s="21" t="s">
        <v>2887</v>
      </c>
      <c r="B591" s="8" t="s">
        <v>2886</v>
      </c>
      <c r="C591" s="8" t="s">
        <v>40</v>
      </c>
      <c r="D591" s="8" t="s">
        <v>78</v>
      </c>
      <c r="E591" s="8" t="s">
        <v>40</v>
      </c>
      <c r="F591" s="8" t="s">
        <v>39</v>
      </c>
      <c r="G591" s="8" t="s">
        <v>240</v>
      </c>
      <c r="H591" s="8" t="s">
        <v>37</v>
      </c>
      <c r="I591" s="8" t="s">
        <v>53</v>
      </c>
      <c r="J591" s="8" t="s">
        <v>46</v>
      </c>
      <c r="K591" s="8" t="s">
        <v>2885</v>
      </c>
      <c r="L591" s="7">
        <v>7329</v>
      </c>
      <c r="M591" s="10" t="str">
        <f t="shared" si="54"/>
        <v>CMI02090400</v>
      </c>
      <c r="N591" s="10" t="str">
        <f t="shared" si="55"/>
        <v>REP201000</v>
      </c>
      <c r="O591" s="10" t="str">
        <f t="shared" si="56"/>
        <v>E</v>
      </c>
      <c r="P591" s="10" t="str">
        <f t="shared" si="57"/>
        <v>50</v>
      </c>
      <c r="Q591" s="10" t="str">
        <f t="shared" si="58"/>
        <v>ZRPI</v>
      </c>
      <c r="R591" s="10" t="str">
        <f t="shared" si="59"/>
        <v>32101519</v>
      </c>
    </row>
    <row r="592" spans="1:18" ht="25.5" hidden="1" x14ac:dyDescent="0.2">
      <c r="A592" s="21" t="s">
        <v>2884</v>
      </c>
      <c r="B592" s="8" t="s">
        <v>2883</v>
      </c>
      <c r="C592" s="8" t="s">
        <v>40</v>
      </c>
      <c r="D592" s="8" t="s">
        <v>241</v>
      </c>
      <c r="E592" s="8" t="s">
        <v>40</v>
      </c>
      <c r="F592" s="8" t="s">
        <v>39</v>
      </c>
      <c r="G592" s="8" t="s">
        <v>240</v>
      </c>
      <c r="H592" s="8" t="s">
        <v>37</v>
      </c>
      <c r="I592" s="8" t="s">
        <v>53</v>
      </c>
      <c r="J592" s="8" t="s">
        <v>46</v>
      </c>
      <c r="K592" s="8" t="s">
        <v>2882</v>
      </c>
      <c r="L592" s="7">
        <v>7330</v>
      </c>
      <c r="M592" s="10" t="str">
        <f t="shared" si="54"/>
        <v>CMI02090300</v>
      </c>
      <c r="N592" s="10" t="str">
        <f t="shared" si="55"/>
        <v>REP201000</v>
      </c>
      <c r="O592" s="10" t="str">
        <f t="shared" si="56"/>
        <v>E</v>
      </c>
      <c r="P592" s="10" t="str">
        <f t="shared" si="57"/>
        <v>50</v>
      </c>
      <c r="Q592" s="10" t="str">
        <f t="shared" si="58"/>
        <v>ZRPI</v>
      </c>
      <c r="R592" s="10" t="str">
        <f t="shared" si="59"/>
        <v>26101700</v>
      </c>
    </row>
    <row r="593" spans="1:18" ht="25.5" hidden="1" x14ac:dyDescent="0.2">
      <c r="A593" s="21" t="s">
        <v>2881</v>
      </c>
      <c r="B593" s="8" t="s">
        <v>2880</v>
      </c>
      <c r="C593" s="8" t="s">
        <v>40</v>
      </c>
      <c r="D593" s="8" t="s">
        <v>256</v>
      </c>
      <c r="E593" s="8" t="s">
        <v>40</v>
      </c>
      <c r="F593" s="8" t="s">
        <v>39</v>
      </c>
      <c r="G593" s="8" t="s">
        <v>54</v>
      </c>
      <c r="H593" s="8" t="s">
        <v>37</v>
      </c>
      <c r="I593" s="8" t="s">
        <v>53</v>
      </c>
      <c r="J593" s="8" t="s">
        <v>46</v>
      </c>
      <c r="K593" s="8" t="s">
        <v>1817</v>
      </c>
      <c r="L593" s="7">
        <v>7331</v>
      </c>
      <c r="M593" s="10" t="str">
        <f t="shared" si="54"/>
        <v>CMI02090900</v>
      </c>
      <c r="N593" s="10" t="str">
        <f t="shared" si="55"/>
        <v>REP201100</v>
      </c>
      <c r="O593" s="10" t="str">
        <f t="shared" si="56"/>
        <v>E</v>
      </c>
      <c r="P593" s="10" t="str">
        <f t="shared" si="57"/>
        <v>50</v>
      </c>
      <c r="Q593" s="10" t="str">
        <f t="shared" si="58"/>
        <v>ZRPI</v>
      </c>
      <c r="R593" s="10" t="str">
        <f t="shared" si="59"/>
        <v>39121000</v>
      </c>
    </row>
    <row r="594" spans="1:18" ht="25.5" hidden="1" x14ac:dyDescent="0.2">
      <c r="A594" s="21" t="s">
        <v>2879</v>
      </c>
      <c r="B594" s="8" t="s">
        <v>2878</v>
      </c>
      <c r="C594" s="8" t="s">
        <v>40</v>
      </c>
      <c r="D594" s="8" t="s">
        <v>241</v>
      </c>
      <c r="E594" s="8" t="s">
        <v>40</v>
      </c>
      <c r="F594" s="8" t="s">
        <v>39</v>
      </c>
      <c r="G594" s="8" t="s">
        <v>240</v>
      </c>
      <c r="H594" s="8" t="s">
        <v>37</v>
      </c>
      <c r="I594" s="8" t="s">
        <v>53</v>
      </c>
      <c r="J594" s="8" t="s">
        <v>46</v>
      </c>
      <c r="K594" s="8" t="s">
        <v>2877</v>
      </c>
      <c r="L594" s="7">
        <v>7332</v>
      </c>
      <c r="M594" s="10" t="str">
        <f t="shared" si="54"/>
        <v>CMI02090300</v>
      </c>
      <c r="N594" s="10" t="str">
        <f t="shared" si="55"/>
        <v>REP201000</v>
      </c>
      <c r="O594" s="10" t="str">
        <f t="shared" si="56"/>
        <v>E</v>
      </c>
      <c r="P594" s="10" t="str">
        <f t="shared" si="57"/>
        <v>50</v>
      </c>
      <c r="Q594" s="10" t="str">
        <f t="shared" si="58"/>
        <v>ZRPI</v>
      </c>
      <c r="R594" s="10" t="str">
        <f t="shared" si="59"/>
        <v>40101710</v>
      </c>
    </row>
    <row r="595" spans="1:18" ht="25.5" hidden="1" x14ac:dyDescent="0.2">
      <c r="A595" s="21" t="s">
        <v>2876</v>
      </c>
      <c r="B595" s="8" t="s">
        <v>2875</v>
      </c>
      <c r="C595" s="8" t="s">
        <v>40</v>
      </c>
      <c r="D595" s="8" t="s">
        <v>78</v>
      </c>
      <c r="E595" s="8" t="s">
        <v>40</v>
      </c>
      <c r="F595" s="8" t="s">
        <v>39</v>
      </c>
      <c r="G595" s="8" t="s">
        <v>54</v>
      </c>
      <c r="H595" s="8" t="s">
        <v>37</v>
      </c>
      <c r="I595" s="8" t="s">
        <v>53</v>
      </c>
      <c r="J595" s="8" t="s">
        <v>46</v>
      </c>
      <c r="K595" s="8" t="s">
        <v>2874</v>
      </c>
      <c r="L595" s="7">
        <v>7333</v>
      </c>
      <c r="M595" s="10" t="str">
        <f t="shared" si="54"/>
        <v>CMI02090400</v>
      </c>
      <c r="N595" s="10" t="str">
        <f t="shared" si="55"/>
        <v>REP201100</v>
      </c>
      <c r="O595" s="10" t="str">
        <f t="shared" si="56"/>
        <v>E</v>
      </c>
      <c r="P595" s="10" t="str">
        <f t="shared" si="57"/>
        <v>50</v>
      </c>
      <c r="Q595" s="10" t="str">
        <f t="shared" si="58"/>
        <v>ZRPI</v>
      </c>
      <c r="R595" s="10" t="str">
        <f t="shared" si="59"/>
        <v>41112209</v>
      </c>
    </row>
    <row r="596" spans="1:18" ht="25.5" hidden="1" x14ac:dyDescent="0.2">
      <c r="A596" s="21" t="s">
        <v>2873</v>
      </c>
      <c r="B596" s="8" t="s">
        <v>2872</v>
      </c>
      <c r="C596" s="8" t="s">
        <v>40</v>
      </c>
      <c r="D596" s="8" t="s">
        <v>241</v>
      </c>
      <c r="E596" s="8" t="s">
        <v>40</v>
      </c>
      <c r="F596" s="8" t="s">
        <v>39</v>
      </c>
      <c r="G596" s="8" t="s">
        <v>54</v>
      </c>
      <c r="H596" s="8" t="s">
        <v>37</v>
      </c>
      <c r="I596" s="8" t="s">
        <v>53</v>
      </c>
      <c r="J596" s="8" t="s">
        <v>46</v>
      </c>
      <c r="K596" s="8" t="s">
        <v>2871</v>
      </c>
      <c r="L596" s="7">
        <v>7334</v>
      </c>
      <c r="M596" s="10" t="str">
        <f t="shared" si="54"/>
        <v>CMI02090300</v>
      </c>
      <c r="N596" s="10" t="str">
        <f t="shared" si="55"/>
        <v>REP201100</v>
      </c>
      <c r="O596" s="10" t="str">
        <f t="shared" si="56"/>
        <v>E</v>
      </c>
      <c r="P596" s="10" t="str">
        <f t="shared" si="57"/>
        <v>50</v>
      </c>
      <c r="Q596" s="10" t="str">
        <f t="shared" si="58"/>
        <v>ZRPI</v>
      </c>
      <c r="R596" s="10" t="str">
        <f t="shared" si="59"/>
        <v>26101782</v>
      </c>
    </row>
    <row r="597" spans="1:18" ht="25.5" hidden="1" x14ac:dyDescent="0.2">
      <c r="A597" s="21" t="s">
        <v>2870</v>
      </c>
      <c r="B597" s="8" t="s">
        <v>2869</v>
      </c>
      <c r="C597" s="8" t="s">
        <v>40</v>
      </c>
      <c r="D597" s="8" t="s">
        <v>241</v>
      </c>
      <c r="E597" s="8" t="s">
        <v>40</v>
      </c>
      <c r="F597" s="8" t="s">
        <v>39</v>
      </c>
      <c r="G597" s="8" t="s">
        <v>240</v>
      </c>
      <c r="H597" s="8" t="s">
        <v>37</v>
      </c>
      <c r="I597" s="8" t="s">
        <v>53</v>
      </c>
      <c r="J597" s="8" t="s">
        <v>46</v>
      </c>
      <c r="K597" s="8" t="s">
        <v>2868</v>
      </c>
      <c r="L597" s="7">
        <v>7335</v>
      </c>
      <c r="M597" s="10" t="str">
        <f t="shared" si="54"/>
        <v>CMI02090300</v>
      </c>
      <c r="N597" s="10" t="str">
        <f t="shared" si="55"/>
        <v>REP201000</v>
      </c>
      <c r="O597" s="10" t="str">
        <f t="shared" si="56"/>
        <v>E</v>
      </c>
      <c r="P597" s="10" t="str">
        <f t="shared" si="57"/>
        <v>50</v>
      </c>
      <c r="Q597" s="10" t="str">
        <f t="shared" si="58"/>
        <v>ZRPI</v>
      </c>
      <c r="R597" s="10" t="str">
        <f t="shared" si="59"/>
        <v>39121500</v>
      </c>
    </row>
    <row r="598" spans="1:18" ht="38.25" hidden="1" x14ac:dyDescent="0.2">
      <c r="A598" s="21" t="s">
        <v>2867</v>
      </c>
      <c r="B598" s="8" t="s">
        <v>2866</v>
      </c>
      <c r="C598" s="8" t="s">
        <v>40</v>
      </c>
      <c r="D598" s="8" t="s">
        <v>241</v>
      </c>
      <c r="E598" s="8" t="s">
        <v>40</v>
      </c>
      <c r="F598" s="8" t="s">
        <v>39</v>
      </c>
      <c r="G598" s="8" t="s">
        <v>54</v>
      </c>
      <c r="H598" s="8" t="s">
        <v>37</v>
      </c>
      <c r="I598" s="8" t="s">
        <v>53</v>
      </c>
      <c r="J598" s="8" t="s">
        <v>46</v>
      </c>
      <c r="K598" s="8" t="s">
        <v>2865</v>
      </c>
      <c r="L598" s="7">
        <v>7336</v>
      </c>
      <c r="M598" s="10" t="str">
        <f t="shared" si="54"/>
        <v>CMI02090300</v>
      </c>
      <c r="N598" s="10" t="str">
        <f t="shared" si="55"/>
        <v>REP201100</v>
      </c>
      <c r="O598" s="10" t="str">
        <f t="shared" si="56"/>
        <v>E</v>
      </c>
      <c r="P598" s="10" t="str">
        <f t="shared" si="57"/>
        <v>50</v>
      </c>
      <c r="Q598" s="10" t="str">
        <f t="shared" si="58"/>
        <v>ZRPI</v>
      </c>
      <c r="R598" s="10" t="str">
        <f t="shared" si="59"/>
        <v>26111500</v>
      </c>
    </row>
    <row r="599" spans="1:18" ht="25.5" hidden="1" x14ac:dyDescent="0.2">
      <c r="A599" s="21" t="s">
        <v>2864</v>
      </c>
      <c r="B599" s="8" t="s">
        <v>2863</v>
      </c>
      <c r="C599" s="8" t="s">
        <v>40</v>
      </c>
      <c r="D599" s="8" t="s">
        <v>78</v>
      </c>
      <c r="E599" s="8" t="s">
        <v>40</v>
      </c>
      <c r="F599" s="8" t="s">
        <v>39</v>
      </c>
      <c r="G599" s="8" t="s">
        <v>240</v>
      </c>
      <c r="H599" s="8" t="s">
        <v>37</v>
      </c>
      <c r="I599" s="8" t="s">
        <v>53</v>
      </c>
      <c r="J599" s="8" t="s">
        <v>46</v>
      </c>
      <c r="K599" s="8" t="s">
        <v>2862</v>
      </c>
      <c r="L599" s="7">
        <v>7337</v>
      </c>
      <c r="M599" s="10" t="str">
        <f t="shared" si="54"/>
        <v>CMI02090400</v>
      </c>
      <c r="N599" s="10" t="str">
        <f t="shared" si="55"/>
        <v>REP201000</v>
      </c>
      <c r="O599" s="10" t="str">
        <f t="shared" si="56"/>
        <v>E</v>
      </c>
      <c r="P599" s="10" t="str">
        <f t="shared" si="57"/>
        <v>50</v>
      </c>
      <c r="Q599" s="10" t="str">
        <f t="shared" si="58"/>
        <v>ZRPI</v>
      </c>
      <c r="R599" s="10" t="str">
        <f t="shared" si="59"/>
        <v>39122219</v>
      </c>
    </row>
    <row r="600" spans="1:18" ht="25.5" hidden="1" x14ac:dyDescent="0.2">
      <c r="A600" s="21" t="s">
        <v>2861</v>
      </c>
      <c r="B600" s="8" t="s">
        <v>2860</v>
      </c>
      <c r="C600" s="8" t="s">
        <v>40</v>
      </c>
      <c r="D600" s="8" t="s">
        <v>256</v>
      </c>
      <c r="E600" s="8" t="s">
        <v>40</v>
      </c>
      <c r="F600" s="8" t="s">
        <v>39</v>
      </c>
      <c r="G600" s="8" t="s">
        <v>54</v>
      </c>
      <c r="H600" s="8" t="s">
        <v>37</v>
      </c>
      <c r="I600" s="8" t="s">
        <v>53</v>
      </c>
      <c r="J600" s="8" t="s">
        <v>46</v>
      </c>
      <c r="K600" s="8" t="s">
        <v>2859</v>
      </c>
      <c r="L600" s="7">
        <v>7338</v>
      </c>
      <c r="M600" s="10" t="str">
        <f t="shared" si="54"/>
        <v>CMI02090900</v>
      </c>
      <c r="N600" s="10" t="str">
        <f t="shared" si="55"/>
        <v>REP201100</v>
      </c>
      <c r="O600" s="10" t="str">
        <f t="shared" si="56"/>
        <v>E</v>
      </c>
      <c r="P600" s="10" t="str">
        <f t="shared" si="57"/>
        <v>50</v>
      </c>
      <c r="Q600" s="10" t="str">
        <f t="shared" si="58"/>
        <v>ZRPI</v>
      </c>
      <c r="R600" s="10" t="str">
        <f t="shared" si="59"/>
        <v>26111700</v>
      </c>
    </row>
    <row r="601" spans="1:18" ht="25.5" hidden="1" x14ac:dyDescent="0.2">
      <c r="A601" s="21" t="s">
        <v>2858</v>
      </c>
      <c r="B601" s="8" t="s">
        <v>2857</v>
      </c>
      <c r="C601" s="8" t="s">
        <v>40</v>
      </c>
      <c r="D601" s="8" t="s">
        <v>256</v>
      </c>
      <c r="E601" s="8" t="s">
        <v>40</v>
      </c>
      <c r="F601" s="8" t="s">
        <v>39</v>
      </c>
      <c r="G601" s="8" t="s">
        <v>240</v>
      </c>
      <c r="H601" s="8" t="s">
        <v>37</v>
      </c>
      <c r="I601" s="8" t="s">
        <v>53</v>
      </c>
      <c r="J601" s="8" t="s">
        <v>46</v>
      </c>
      <c r="K601" s="8" t="s">
        <v>2856</v>
      </c>
      <c r="L601" s="7">
        <v>7339</v>
      </c>
      <c r="M601" s="10" t="str">
        <f t="shared" si="54"/>
        <v>CMI02090900</v>
      </c>
      <c r="N601" s="10" t="str">
        <f t="shared" si="55"/>
        <v>REP201000</v>
      </c>
      <c r="O601" s="10" t="str">
        <f t="shared" si="56"/>
        <v>E</v>
      </c>
      <c r="P601" s="10" t="str">
        <f t="shared" si="57"/>
        <v>50</v>
      </c>
      <c r="Q601" s="10" t="str">
        <f t="shared" si="58"/>
        <v>ZRPI</v>
      </c>
      <c r="R601" s="10" t="str">
        <f t="shared" si="59"/>
        <v>41112403</v>
      </c>
    </row>
    <row r="602" spans="1:18" ht="38.25" hidden="1" x14ac:dyDescent="0.2">
      <c r="A602" s="21" t="s">
        <v>2855</v>
      </c>
      <c r="B602" s="8" t="s">
        <v>2854</v>
      </c>
      <c r="C602" s="8" t="s">
        <v>40</v>
      </c>
      <c r="D602" s="8" t="s">
        <v>990</v>
      </c>
      <c r="E602" s="7">
        <v>6</v>
      </c>
      <c r="F602" s="8" t="s">
        <v>39</v>
      </c>
      <c r="G602" s="8" t="s">
        <v>54</v>
      </c>
      <c r="H602" s="8" t="s">
        <v>37</v>
      </c>
      <c r="I602" s="8" t="s">
        <v>53</v>
      </c>
      <c r="J602" s="8" t="s">
        <v>46</v>
      </c>
      <c r="K602" s="8" t="s">
        <v>2853</v>
      </c>
      <c r="L602" s="7">
        <v>7340</v>
      </c>
      <c r="M602" s="10" t="str">
        <f t="shared" si="54"/>
        <v>CMI02090500</v>
      </c>
      <c r="N602" s="10" t="str">
        <f t="shared" si="55"/>
        <v>REP201100</v>
      </c>
      <c r="O602" s="10" t="str">
        <f t="shared" si="56"/>
        <v>E</v>
      </c>
      <c r="P602" s="10" t="str">
        <f t="shared" si="57"/>
        <v>50</v>
      </c>
      <c r="Q602" s="10" t="str">
        <f t="shared" si="58"/>
        <v>ZRPI</v>
      </c>
      <c r="R602" s="10" t="str">
        <f t="shared" si="59"/>
        <v>10141600</v>
      </c>
    </row>
    <row r="603" spans="1:18" ht="25.5" hidden="1" x14ac:dyDescent="0.2">
      <c r="A603" s="21" t="s">
        <v>2852</v>
      </c>
      <c r="B603" s="8" t="s">
        <v>2851</v>
      </c>
      <c r="C603" s="8" t="s">
        <v>40</v>
      </c>
      <c r="D603" s="8" t="s">
        <v>78</v>
      </c>
      <c r="E603" s="8" t="s">
        <v>40</v>
      </c>
      <c r="F603" s="8" t="s">
        <v>39</v>
      </c>
      <c r="G603" s="8" t="s">
        <v>240</v>
      </c>
      <c r="H603" s="8" t="s">
        <v>37</v>
      </c>
      <c r="I603" s="8" t="s">
        <v>53</v>
      </c>
      <c r="J603" s="8" t="s">
        <v>46</v>
      </c>
      <c r="K603" s="8" t="s">
        <v>2850</v>
      </c>
      <c r="L603" s="7">
        <v>7341</v>
      </c>
      <c r="M603" s="10" t="str">
        <f t="shared" si="54"/>
        <v>CMI02090400</v>
      </c>
      <c r="N603" s="10" t="str">
        <f t="shared" si="55"/>
        <v>REP201000</v>
      </c>
      <c r="O603" s="10" t="str">
        <f t="shared" si="56"/>
        <v>E</v>
      </c>
      <c r="P603" s="10" t="str">
        <f t="shared" si="57"/>
        <v>50</v>
      </c>
      <c r="Q603" s="10" t="str">
        <f t="shared" si="58"/>
        <v>ZRPI</v>
      </c>
      <c r="R603" s="10" t="str">
        <f t="shared" si="59"/>
        <v>43201400</v>
      </c>
    </row>
    <row r="604" spans="1:18" ht="38.25" hidden="1" x14ac:dyDescent="0.2">
      <c r="A604" s="21" t="s">
        <v>2849</v>
      </c>
      <c r="B604" s="8" t="s">
        <v>2848</v>
      </c>
      <c r="C604" s="8" t="s">
        <v>40</v>
      </c>
      <c r="D604" s="8" t="s">
        <v>78</v>
      </c>
      <c r="E604" s="8" t="s">
        <v>40</v>
      </c>
      <c r="F604" s="8" t="s">
        <v>39</v>
      </c>
      <c r="G604" s="8" t="s">
        <v>240</v>
      </c>
      <c r="H604" s="8" t="s">
        <v>37</v>
      </c>
      <c r="I604" s="8" t="s">
        <v>53</v>
      </c>
      <c r="J604" s="8" t="s">
        <v>46</v>
      </c>
      <c r="K604" s="8" t="s">
        <v>1187</v>
      </c>
      <c r="L604" s="7">
        <v>7342</v>
      </c>
      <c r="M604" s="10" t="str">
        <f t="shared" si="54"/>
        <v>CMI02090400</v>
      </c>
      <c r="N604" s="10" t="str">
        <f t="shared" si="55"/>
        <v>REP201000</v>
      </c>
      <c r="O604" s="10" t="str">
        <f t="shared" si="56"/>
        <v>E</v>
      </c>
      <c r="P604" s="10" t="str">
        <f t="shared" si="57"/>
        <v>50</v>
      </c>
      <c r="Q604" s="10" t="str">
        <f t="shared" si="58"/>
        <v>ZRPI</v>
      </c>
      <c r="R604" s="10" t="str">
        <f t="shared" si="59"/>
        <v>43202005</v>
      </c>
    </row>
    <row r="605" spans="1:18" ht="25.5" hidden="1" x14ac:dyDescent="0.2">
      <c r="A605" s="21" t="s">
        <v>2847</v>
      </c>
      <c r="B605" s="8" t="s">
        <v>2846</v>
      </c>
      <c r="C605" s="8" t="s">
        <v>40</v>
      </c>
      <c r="D605" s="8" t="s">
        <v>78</v>
      </c>
      <c r="E605" s="8" t="s">
        <v>40</v>
      </c>
      <c r="F605" s="8" t="s">
        <v>39</v>
      </c>
      <c r="G605" s="8" t="s">
        <v>240</v>
      </c>
      <c r="H605" s="8" t="s">
        <v>37</v>
      </c>
      <c r="I605" s="8" t="s">
        <v>53</v>
      </c>
      <c r="J605" s="8" t="s">
        <v>46</v>
      </c>
      <c r="K605" s="8" t="s">
        <v>2845</v>
      </c>
      <c r="L605" s="7">
        <v>7343</v>
      </c>
      <c r="M605" s="10" t="str">
        <f t="shared" si="54"/>
        <v>CMI02090400</v>
      </c>
      <c r="N605" s="10" t="str">
        <f t="shared" si="55"/>
        <v>REP201000</v>
      </c>
      <c r="O605" s="10" t="str">
        <f t="shared" si="56"/>
        <v>E</v>
      </c>
      <c r="P605" s="10" t="str">
        <f t="shared" si="57"/>
        <v>50</v>
      </c>
      <c r="Q605" s="10" t="str">
        <f t="shared" si="58"/>
        <v>ZRPI</v>
      </c>
      <c r="R605" s="10" t="str">
        <f t="shared" si="59"/>
        <v>41113600</v>
      </c>
    </row>
    <row r="606" spans="1:18" ht="25.5" hidden="1" x14ac:dyDescent="0.2">
      <c r="A606" s="21" t="s">
        <v>2844</v>
      </c>
      <c r="B606" s="8" t="s">
        <v>2843</v>
      </c>
      <c r="C606" s="8" t="s">
        <v>40</v>
      </c>
      <c r="D606" s="8" t="s">
        <v>241</v>
      </c>
      <c r="E606" s="8" t="s">
        <v>40</v>
      </c>
      <c r="F606" s="8" t="s">
        <v>39</v>
      </c>
      <c r="G606" s="8" t="s">
        <v>240</v>
      </c>
      <c r="H606" s="8" t="s">
        <v>37</v>
      </c>
      <c r="I606" s="8" t="s">
        <v>53</v>
      </c>
      <c r="J606" s="8" t="s">
        <v>46</v>
      </c>
      <c r="K606" s="8" t="s">
        <v>1817</v>
      </c>
      <c r="L606" s="7">
        <v>7344</v>
      </c>
      <c r="M606" s="10" t="str">
        <f t="shared" si="54"/>
        <v>CMI02090300</v>
      </c>
      <c r="N606" s="10" t="str">
        <f t="shared" si="55"/>
        <v>REP201000</v>
      </c>
      <c r="O606" s="10" t="str">
        <f t="shared" si="56"/>
        <v>E</v>
      </c>
      <c r="P606" s="10" t="str">
        <f t="shared" si="57"/>
        <v>50</v>
      </c>
      <c r="Q606" s="10" t="str">
        <f t="shared" si="58"/>
        <v>ZRPI</v>
      </c>
      <c r="R606" s="10" t="str">
        <f t="shared" si="59"/>
        <v>39121000</v>
      </c>
    </row>
    <row r="607" spans="1:18" ht="25.5" hidden="1" x14ac:dyDescent="0.2">
      <c r="A607" s="21" t="s">
        <v>2842</v>
      </c>
      <c r="B607" s="8" t="s">
        <v>2841</v>
      </c>
      <c r="C607" s="8" t="s">
        <v>40</v>
      </c>
      <c r="D607" s="8" t="s">
        <v>78</v>
      </c>
      <c r="E607" s="8" t="s">
        <v>40</v>
      </c>
      <c r="F607" s="8" t="s">
        <v>39</v>
      </c>
      <c r="G607" s="8" t="s">
        <v>240</v>
      </c>
      <c r="H607" s="8" t="s">
        <v>37</v>
      </c>
      <c r="I607" s="8" t="s">
        <v>53</v>
      </c>
      <c r="J607" s="8" t="s">
        <v>46</v>
      </c>
      <c r="K607" s="8" t="s">
        <v>2840</v>
      </c>
      <c r="L607" s="7">
        <v>7345</v>
      </c>
      <c r="M607" s="10" t="str">
        <f t="shared" si="54"/>
        <v>CMI02090400</v>
      </c>
      <c r="N607" s="10" t="str">
        <f t="shared" si="55"/>
        <v>REP201000</v>
      </c>
      <c r="O607" s="10" t="str">
        <f t="shared" si="56"/>
        <v>E</v>
      </c>
      <c r="P607" s="10" t="str">
        <f t="shared" si="57"/>
        <v>50</v>
      </c>
      <c r="Q607" s="10" t="str">
        <f t="shared" si="58"/>
        <v>ZRPI</v>
      </c>
      <c r="R607" s="10" t="str">
        <f t="shared" si="59"/>
        <v>43222628</v>
      </c>
    </row>
    <row r="608" spans="1:18" ht="25.5" hidden="1" x14ac:dyDescent="0.2">
      <c r="A608" s="21" t="s">
        <v>2839</v>
      </c>
      <c r="B608" s="8" t="s">
        <v>2838</v>
      </c>
      <c r="C608" s="8" t="s">
        <v>40</v>
      </c>
      <c r="D608" s="8" t="s">
        <v>241</v>
      </c>
      <c r="E608" s="8" t="s">
        <v>40</v>
      </c>
      <c r="F608" s="8" t="s">
        <v>39</v>
      </c>
      <c r="G608" s="8" t="s">
        <v>240</v>
      </c>
      <c r="H608" s="8" t="s">
        <v>37</v>
      </c>
      <c r="I608" s="8" t="s">
        <v>53</v>
      </c>
      <c r="J608" s="8" t="s">
        <v>46</v>
      </c>
      <c r="K608" s="8" t="s">
        <v>1817</v>
      </c>
      <c r="L608" s="7">
        <v>7346</v>
      </c>
      <c r="M608" s="10" t="str">
        <f t="shared" si="54"/>
        <v>CMI02090300</v>
      </c>
      <c r="N608" s="10" t="str">
        <f t="shared" si="55"/>
        <v>REP201000</v>
      </c>
      <c r="O608" s="10" t="str">
        <f t="shared" si="56"/>
        <v>E</v>
      </c>
      <c r="P608" s="10" t="str">
        <f t="shared" si="57"/>
        <v>50</v>
      </c>
      <c r="Q608" s="10" t="str">
        <f t="shared" si="58"/>
        <v>ZRPI</v>
      </c>
      <c r="R608" s="10" t="str">
        <f t="shared" si="59"/>
        <v>39121000</v>
      </c>
    </row>
    <row r="609" spans="1:18" ht="25.5" hidden="1" x14ac:dyDescent="0.2">
      <c r="A609" s="21" t="s">
        <v>2837</v>
      </c>
      <c r="B609" s="8" t="s">
        <v>2836</v>
      </c>
      <c r="C609" s="8" t="s">
        <v>40</v>
      </c>
      <c r="D609" s="8" t="s">
        <v>241</v>
      </c>
      <c r="E609" s="8" t="s">
        <v>40</v>
      </c>
      <c r="F609" s="8" t="s">
        <v>39</v>
      </c>
      <c r="G609" s="8" t="s">
        <v>240</v>
      </c>
      <c r="H609" s="8" t="s">
        <v>37</v>
      </c>
      <c r="I609" s="8" t="s">
        <v>53</v>
      </c>
      <c r="J609" s="8" t="s">
        <v>46</v>
      </c>
      <c r="K609" s="8" t="s">
        <v>1817</v>
      </c>
      <c r="L609" s="7">
        <v>7347</v>
      </c>
      <c r="M609" s="10" t="str">
        <f t="shared" si="54"/>
        <v>CMI02090300</v>
      </c>
      <c r="N609" s="10" t="str">
        <f t="shared" si="55"/>
        <v>REP201000</v>
      </c>
      <c r="O609" s="10" t="str">
        <f t="shared" si="56"/>
        <v>E</v>
      </c>
      <c r="P609" s="10" t="str">
        <f t="shared" si="57"/>
        <v>50</v>
      </c>
      <c r="Q609" s="10" t="str">
        <f t="shared" si="58"/>
        <v>ZRPI</v>
      </c>
      <c r="R609" s="10" t="str">
        <f t="shared" si="59"/>
        <v>39121000</v>
      </c>
    </row>
    <row r="610" spans="1:18" ht="25.5" hidden="1" x14ac:dyDescent="0.2">
      <c r="A610" s="21" t="s">
        <v>2835</v>
      </c>
      <c r="B610" s="8" t="s">
        <v>2834</v>
      </c>
      <c r="C610" s="8" t="s">
        <v>40</v>
      </c>
      <c r="D610" s="8" t="s">
        <v>256</v>
      </c>
      <c r="E610" s="8" t="s">
        <v>40</v>
      </c>
      <c r="F610" s="8" t="s">
        <v>39</v>
      </c>
      <c r="G610" s="8" t="s">
        <v>54</v>
      </c>
      <c r="H610" s="8" t="s">
        <v>37</v>
      </c>
      <c r="I610" s="8" t="s">
        <v>53</v>
      </c>
      <c r="J610" s="8" t="s">
        <v>46</v>
      </c>
      <c r="K610" s="8" t="s">
        <v>2833</v>
      </c>
      <c r="L610" s="7">
        <v>7348</v>
      </c>
      <c r="M610" s="10" t="str">
        <f t="shared" si="54"/>
        <v>CMI02090900</v>
      </c>
      <c r="N610" s="10" t="str">
        <f t="shared" si="55"/>
        <v>REP201100</v>
      </c>
      <c r="O610" s="10" t="str">
        <f t="shared" si="56"/>
        <v>E</v>
      </c>
      <c r="P610" s="10" t="str">
        <f t="shared" si="57"/>
        <v>50</v>
      </c>
      <c r="Q610" s="10" t="str">
        <f t="shared" si="58"/>
        <v>ZRPI</v>
      </c>
      <c r="R610" s="10" t="str">
        <f t="shared" si="59"/>
        <v>27110000</v>
      </c>
    </row>
    <row r="611" spans="1:18" ht="25.5" hidden="1" x14ac:dyDescent="0.2">
      <c r="A611" s="21" t="s">
        <v>2832</v>
      </c>
      <c r="B611" s="8" t="s">
        <v>2831</v>
      </c>
      <c r="C611" s="8" t="s">
        <v>40</v>
      </c>
      <c r="D611" s="8" t="s">
        <v>256</v>
      </c>
      <c r="E611" s="8" t="s">
        <v>40</v>
      </c>
      <c r="F611" s="8" t="s">
        <v>39</v>
      </c>
      <c r="G611" s="8" t="s">
        <v>54</v>
      </c>
      <c r="H611" s="8" t="s">
        <v>37</v>
      </c>
      <c r="I611" s="8" t="s">
        <v>53</v>
      </c>
      <c r="J611" s="8" t="s">
        <v>46</v>
      </c>
      <c r="K611" s="8" t="s">
        <v>2434</v>
      </c>
      <c r="L611" s="7">
        <v>7349</v>
      </c>
      <c r="M611" s="10" t="str">
        <f t="shared" si="54"/>
        <v>CMI02090900</v>
      </c>
      <c r="N611" s="10" t="str">
        <f t="shared" si="55"/>
        <v>REP201100</v>
      </c>
      <c r="O611" s="10" t="str">
        <f t="shared" si="56"/>
        <v>E</v>
      </c>
      <c r="P611" s="10" t="str">
        <f t="shared" si="57"/>
        <v>50</v>
      </c>
      <c r="Q611" s="10" t="str">
        <f t="shared" si="58"/>
        <v>ZRPI</v>
      </c>
      <c r="R611" s="10" t="str">
        <f t="shared" si="59"/>
        <v>31161500</v>
      </c>
    </row>
    <row r="612" spans="1:18" ht="25.5" hidden="1" x14ac:dyDescent="0.2">
      <c r="A612" s="21" t="s">
        <v>2830</v>
      </c>
      <c r="B612" s="8" t="s">
        <v>2829</v>
      </c>
      <c r="C612" s="8" t="s">
        <v>40</v>
      </c>
      <c r="D612" s="8" t="s">
        <v>256</v>
      </c>
      <c r="E612" s="8" t="s">
        <v>40</v>
      </c>
      <c r="F612" s="8" t="s">
        <v>39</v>
      </c>
      <c r="G612" s="8" t="s">
        <v>2775</v>
      </c>
      <c r="H612" s="8" t="s">
        <v>37</v>
      </c>
      <c r="I612" s="8" t="s">
        <v>53</v>
      </c>
      <c r="J612" s="8" t="s">
        <v>46</v>
      </c>
      <c r="K612" s="8" t="s">
        <v>2828</v>
      </c>
      <c r="L612" s="7">
        <v>7350</v>
      </c>
      <c r="M612" s="10" t="str">
        <f t="shared" si="54"/>
        <v>CMI02090900</v>
      </c>
      <c r="N612" s="10" t="str">
        <f t="shared" si="55"/>
        <v>REP211100</v>
      </c>
      <c r="O612" s="10" t="str">
        <f t="shared" si="56"/>
        <v>E</v>
      </c>
      <c r="P612" s="10" t="str">
        <f t="shared" si="57"/>
        <v>50</v>
      </c>
      <c r="Q612" s="10" t="str">
        <f t="shared" si="58"/>
        <v>ZRPI</v>
      </c>
      <c r="R612" s="10" t="str">
        <f t="shared" si="59"/>
        <v>26101904</v>
      </c>
    </row>
    <row r="613" spans="1:18" ht="25.5" hidden="1" x14ac:dyDescent="0.2">
      <c r="A613" s="21" t="s">
        <v>2827</v>
      </c>
      <c r="B613" s="8" t="s">
        <v>2826</v>
      </c>
      <c r="C613" s="8" t="s">
        <v>40</v>
      </c>
      <c r="D613" s="8" t="s">
        <v>969</v>
      </c>
      <c r="E613" s="8" t="s">
        <v>40</v>
      </c>
      <c r="F613" s="8" t="s">
        <v>39</v>
      </c>
      <c r="G613" s="8" t="s">
        <v>240</v>
      </c>
      <c r="H613" s="8" t="s">
        <v>37</v>
      </c>
      <c r="I613" s="8" t="s">
        <v>53</v>
      </c>
      <c r="J613" s="8" t="s">
        <v>46</v>
      </c>
      <c r="K613" s="8" t="s">
        <v>2825</v>
      </c>
      <c r="L613" s="7">
        <v>7351</v>
      </c>
      <c r="M613" s="10" t="str">
        <f t="shared" si="54"/>
        <v>CMI02051200</v>
      </c>
      <c r="N613" s="10" t="str">
        <f t="shared" si="55"/>
        <v>REP201000</v>
      </c>
      <c r="O613" s="10" t="str">
        <f t="shared" si="56"/>
        <v>E</v>
      </c>
      <c r="P613" s="10" t="str">
        <f t="shared" si="57"/>
        <v>50</v>
      </c>
      <c r="Q613" s="10" t="str">
        <f t="shared" si="58"/>
        <v>ZRPI</v>
      </c>
      <c r="R613" s="10" t="str">
        <f t="shared" si="59"/>
        <v>39121103</v>
      </c>
    </row>
    <row r="614" spans="1:18" ht="38.25" hidden="1" x14ac:dyDescent="0.2">
      <c r="A614" s="21" t="s">
        <v>2824</v>
      </c>
      <c r="B614" s="8" t="s">
        <v>2823</v>
      </c>
      <c r="C614" s="8" t="s">
        <v>40</v>
      </c>
      <c r="D614" s="8" t="s">
        <v>245</v>
      </c>
      <c r="E614" s="8" t="s">
        <v>40</v>
      </c>
      <c r="F614" s="8" t="s">
        <v>39</v>
      </c>
      <c r="G614" s="8" t="s">
        <v>54</v>
      </c>
      <c r="H614" s="8" t="s">
        <v>37</v>
      </c>
      <c r="I614" s="8" t="s">
        <v>53</v>
      </c>
      <c r="J614" s="8" t="s">
        <v>46</v>
      </c>
      <c r="K614" s="8" t="s">
        <v>2130</v>
      </c>
      <c r="L614" s="7">
        <v>7352</v>
      </c>
      <c r="M614" s="10" t="str">
        <f t="shared" si="54"/>
        <v>CMI01020300</v>
      </c>
      <c r="N614" s="10" t="str">
        <f t="shared" si="55"/>
        <v>REP201100</v>
      </c>
      <c r="O614" s="10" t="str">
        <f t="shared" si="56"/>
        <v>E</v>
      </c>
      <c r="P614" s="10" t="str">
        <f t="shared" si="57"/>
        <v>50</v>
      </c>
      <c r="Q614" s="10" t="str">
        <f t="shared" si="58"/>
        <v>ZRPI</v>
      </c>
      <c r="R614" s="10" t="str">
        <f t="shared" si="59"/>
        <v>40142500</v>
      </c>
    </row>
    <row r="615" spans="1:18" ht="38.25" hidden="1" x14ac:dyDescent="0.2">
      <c r="A615" s="21" t="s">
        <v>2822</v>
      </c>
      <c r="B615" s="8" t="s">
        <v>2821</v>
      </c>
      <c r="C615" s="8" t="s">
        <v>40</v>
      </c>
      <c r="D615" s="8" t="s">
        <v>249</v>
      </c>
      <c r="E615" s="8" t="s">
        <v>40</v>
      </c>
      <c r="F615" s="8" t="s">
        <v>39</v>
      </c>
      <c r="G615" s="8" t="s">
        <v>54</v>
      </c>
      <c r="H615" s="8" t="s">
        <v>37</v>
      </c>
      <c r="I615" s="8" t="s">
        <v>53</v>
      </c>
      <c r="J615" s="8" t="s">
        <v>46</v>
      </c>
      <c r="K615" s="8" t="s">
        <v>2820</v>
      </c>
      <c r="L615" s="7">
        <v>7353</v>
      </c>
      <c r="M615" s="10" t="str">
        <f t="shared" si="54"/>
        <v>CMI02090700</v>
      </c>
      <c r="N615" s="10" t="str">
        <f t="shared" si="55"/>
        <v>REP201100</v>
      </c>
      <c r="O615" s="10" t="str">
        <f t="shared" si="56"/>
        <v>E</v>
      </c>
      <c r="P615" s="10" t="str">
        <f t="shared" si="57"/>
        <v>50</v>
      </c>
      <c r="Q615" s="10" t="str">
        <f t="shared" si="58"/>
        <v>ZRPI</v>
      </c>
      <c r="R615" s="10" t="str">
        <f t="shared" si="59"/>
        <v>40151721</v>
      </c>
    </row>
    <row r="616" spans="1:18" ht="25.5" hidden="1" x14ac:dyDescent="0.2">
      <c r="A616" s="21" t="s">
        <v>2819</v>
      </c>
      <c r="B616" s="8" t="s">
        <v>2818</v>
      </c>
      <c r="C616" s="8" t="s">
        <v>40</v>
      </c>
      <c r="D616" s="8" t="s">
        <v>969</v>
      </c>
      <c r="E616" s="8" t="s">
        <v>40</v>
      </c>
      <c r="F616" s="8" t="s">
        <v>39</v>
      </c>
      <c r="G616" s="8" t="s">
        <v>240</v>
      </c>
      <c r="H616" s="8" t="s">
        <v>37</v>
      </c>
      <c r="I616" s="8" t="s">
        <v>53</v>
      </c>
      <c r="J616" s="8" t="s">
        <v>46</v>
      </c>
      <c r="K616" s="8" t="s">
        <v>1817</v>
      </c>
      <c r="L616" s="7">
        <v>7354</v>
      </c>
      <c r="M616" s="10" t="str">
        <f t="shared" si="54"/>
        <v>CMI02051200</v>
      </c>
      <c r="N616" s="10" t="str">
        <f t="shared" si="55"/>
        <v>REP201000</v>
      </c>
      <c r="O616" s="10" t="str">
        <f t="shared" si="56"/>
        <v>E</v>
      </c>
      <c r="P616" s="10" t="str">
        <f t="shared" si="57"/>
        <v>50</v>
      </c>
      <c r="Q616" s="10" t="str">
        <f t="shared" si="58"/>
        <v>ZRPI</v>
      </c>
      <c r="R616" s="10" t="str">
        <f t="shared" si="59"/>
        <v>39121000</v>
      </c>
    </row>
    <row r="617" spans="1:18" ht="25.5" hidden="1" x14ac:dyDescent="0.2">
      <c r="A617" s="21" t="s">
        <v>2817</v>
      </c>
      <c r="B617" s="8" t="s">
        <v>2816</v>
      </c>
      <c r="C617" s="8" t="s">
        <v>40</v>
      </c>
      <c r="D617" s="8" t="s">
        <v>969</v>
      </c>
      <c r="E617" s="8" t="s">
        <v>40</v>
      </c>
      <c r="F617" s="8" t="s">
        <v>39</v>
      </c>
      <c r="G617" s="8" t="s">
        <v>240</v>
      </c>
      <c r="H617" s="8" t="s">
        <v>37</v>
      </c>
      <c r="I617" s="8" t="s">
        <v>53</v>
      </c>
      <c r="J617" s="8" t="s">
        <v>46</v>
      </c>
      <c r="K617" s="8" t="s">
        <v>2815</v>
      </c>
      <c r="L617" s="7">
        <v>7355</v>
      </c>
      <c r="M617" s="10" t="str">
        <f t="shared" si="54"/>
        <v>CMI02051200</v>
      </c>
      <c r="N617" s="10" t="str">
        <f t="shared" si="55"/>
        <v>REP201000</v>
      </c>
      <c r="O617" s="10" t="str">
        <f t="shared" si="56"/>
        <v>E</v>
      </c>
      <c r="P617" s="10" t="str">
        <f t="shared" si="57"/>
        <v>50</v>
      </c>
      <c r="Q617" s="10" t="str">
        <f t="shared" si="58"/>
        <v>ZRPI</v>
      </c>
      <c r="R617" s="10" t="str">
        <f t="shared" si="59"/>
        <v>32121603</v>
      </c>
    </row>
    <row r="618" spans="1:18" ht="38.25" hidden="1" x14ac:dyDescent="0.2">
      <c r="A618" s="21" t="s">
        <v>2814</v>
      </c>
      <c r="B618" s="8" t="s">
        <v>2813</v>
      </c>
      <c r="C618" s="8" t="s">
        <v>40</v>
      </c>
      <c r="D618" s="8" t="s">
        <v>990</v>
      </c>
      <c r="E618" s="8" t="s">
        <v>40</v>
      </c>
      <c r="F618" s="8" t="s">
        <v>39</v>
      </c>
      <c r="G618" s="8" t="s">
        <v>54</v>
      </c>
      <c r="H618" s="8" t="s">
        <v>37</v>
      </c>
      <c r="I618" s="8" t="s">
        <v>53</v>
      </c>
      <c r="J618" s="8" t="s">
        <v>46</v>
      </c>
      <c r="K618" s="8" t="s">
        <v>2812</v>
      </c>
      <c r="L618" s="7">
        <v>7356</v>
      </c>
      <c r="M618" s="10" t="str">
        <f t="shared" si="54"/>
        <v>CMI02090500</v>
      </c>
      <c r="N618" s="10" t="str">
        <f t="shared" si="55"/>
        <v>REP201100</v>
      </c>
      <c r="O618" s="10" t="str">
        <f t="shared" si="56"/>
        <v>E</v>
      </c>
      <c r="P618" s="10" t="str">
        <f t="shared" si="57"/>
        <v>50</v>
      </c>
      <c r="Q618" s="10" t="str">
        <f t="shared" si="58"/>
        <v>ZRPI</v>
      </c>
      <c r="R618" s="10" t="str">
        <f t="shared" si="59"/>
        <v>20121100</v>
      </c>
    </row>
    <row r="619" spans="1:18" ht="38.25" hidden="1" x14ac:dyDescent="0.2">
      <c r="A619" s="21" t="s">
        <v>2811</v>
      </c>
      <c r="B619" s="8" t="s">
        <v>2810</v>
      </c>
      <c r="C619" s="8" t="s">
        <v>40</v>
      </c>
      <c r="D619" s="8" t="s">
        <v>1508</v>
      </c>
      <c r="E619" s="8" t="s">
        <v>40</v>
      </c>
      <c r="F619" s="8" t="s">
        <v>39</v>
      </c>
      <c r="G619" s="8" t="s">
        <v>2775</v>
      </c>
      <c r="H619" s="8" t="s">
        <v>37</v>
      </c>
      <c r="I619" s="8" t="s">
        <v>53</v>
      </c>
      <c r="J619" s="8" t="s">
        <v>46</v>
      </c>
      <c r="K619" s="8" t="s">
        <v>2809</v>
      </c>
      <c r="L619" s="7">
        <v>7357</v>
      </c>
      <c r="M619" s="10" t="str">
        <f t="shared" si="54"/>
        <v>CMI01030100</v>
      </c>
      <c r="N619" s="10" t="str">
        <f t="shared" si="55"/>
        <v>REP211100</v>
      </c>
      <c r="O619" s="10" t="str">
        <f t="shared" si="56"/>
        <v>E</v>
      </c>
      <c r="P619" s="10" t="str">
        <f t="shared" si="57"/>
        <v>50</v>
      </c>
      <c r="Q619" s="10" t="str">
        <f t="shared" si="58"/>
        <v>ZRPI</v>
      </c>
      <c r="R619" s="10" t="str">
        <f t="shared" si="59"/>
        <v>43223300</v>
      </c>
    </row>
    <row r="620" spans="1:18" ht="38.25" hidden="1" x14ac:dyDescent="0.2">
      <c r="A620" s="21" t="s">
        <v>2808</v>
      </c>
      <c r="B620" s="8" t="s">
        <v>2807</v>
      </c>
      <c r="C620" s="8" t="s">
        <v>40</v>
      </c>
      <c r="D620" s="8" t="s">
        <v>241</v>
      </c>
      <c r="E620" s="8" t="s">
        <v>40</v>
      </c>
      <c r="F620" s="8" t="s">
        <v>39</v>
      </c>
      <c r="G620" s="8" t="s">
        <v>2806</v>
      </c>
      <c r="H620" s="8" t="s">
        <v>37</v>
      </c>
      <c r="I620" s="8" t="s">
        <v>53</v>
      </c>
      <c r="J620" s="8" t="s">
        <v>46</v>
      </c>
      <c r="K620" s="8" t="s">
        <v>2805</v>
      </c>
      <c r="L620" s="7">
        <v>7358</v>
      </c>
      <c r="M620" s="10" t="str">
        <f t="shared" si="54"/>
        <v>CMI02090300</v>
      </c>
      <c r="N620" s="10" t="str">
        <f t="shared" si="55"/>
        <v>REP211000</v>
      </c>
      <c r="O620" s="10" t="str">
        <f t="shared" si="56"/>
        <v>E</v>
      </c>
      <c r="P620" s="10" t="str">
        <f t="shared" si="57"/>
        <v>50</v>
      </c>
      <c r="Q620" s="10" t="str">
        <f t="shared" si="58"/>
        <v>ZRPI</v>
      </c>
      <c r="R620" s="10" t="str">
        <f t="shared" si="59"/>
        <v>31251501</v>
      </c>
    </row>
    <row r="621" spans="1:18" ht="25.5" hidden="1" x14ac:dyDescent="0.2">
      <c r="A621" s="21" t="s">
        <v>2804</v>
      </c>
      <c r="B621" s="8" t="s">
        <v>2803</v>
      </c>
      <c r="C621" s="8" t="s">
        <v>40</v>
      </c>
      <c r="D621" s="8" t="s">
        <v>256</v>
      </c>
      <c r="E621" s="8" t="s">
        <v>40</v>
      </c>
      <c r="F621" s="8" t="s">
        <v>39</v>
      </c>
      <c r="G621" s="8" t="s">
        <v>54</v>
      </c>
      <c r="H621" s="8" t="s">
        <v>37</v>
      </c>
      <c r="I621" s="8" t="s">
        <v>53</v>
      </c>
      <c r="J621" s="8" t="s">
        <v>46</v>
      </c>
      <c r="K621" s="8" t="s">
        <v>2802</v>
      </c>
      <c r="L621" s="7">
        <v>7359</v>
      </c>
      <c r="M621" s="10" t="str">
        <f t="shared" si="54"/>
        <v>CMI02090900</v>
      </c>
      <c r="N621" s="10" t="str">
        <f t="shared" si="55"/>
        <v>REP201100</v>
      </c>
      <c r="O621" s="10" t="str">
        <f t="shared" si="56"/>
        <v>E</v>
      </c>
      <c r="P621" s="10" t="str">
        <f t="shared" si="57"/>
        <v>50</v>
      </c>
      <c r="Q621" s="10" t="str">
        <f t="shared" si="58"/>
        <v>ZRPI</v>
      </c>
      <c r="R621" s="10" t="str">
        <f t="shared" si="59"/>
        <v>31171710</v>
      </c>
    </row>
    <row r="622" spans="1:18" ht="25.5" hidden="1" x14ac:dyDescent="0.2">
      <c r="A622" s="21" t="s">
        <v>2801</v>
      </c>
      <c r="B622" s="8" t="s">
        <v>2800</v>
      </c>
      <c r="C622" s="8" t="s">
        <v>40</v>
      </c>
      <c r="D622" s="8" t="s">
        <v>245</v>
      </c>
      <c r="E622" s="8" t="s">
        <v>40</v>
      </c>
      <c r="F622" s="8" t="s">
        <v>39</v>
      </c>
      <c r="G622" s="8" t="s">
        <v>240</v>
      </c>
      <c r="H622" s="8" t="s">
        <v>37</v>
      </c>
      <c r="I622" s="8" t="s">
        <v>53</v>
      </c>
      <c r="J622" s="8" t="s">
        <v>46</v>
      </c>
      <c r="K622" s="8" t="s">
        <v>45</v>
      </c>
      <c r="L622" s="7">
        <v>7360</v>
      </c>
      <c r="M622" s="10" t="str">
        <f t="shared" si="54"/>
        <v>CMI01020300</v>
      </c>
      <c r="N622" s="10" t="str">
        <f t="shared" si="55"/>
        <v>REP201000</v>
      </c>
      <c r="O622" s="10" t="str">
        <f t="shared" si="56"/>
        <v>E</v>
      </c>
      <c r="P622" s="10" t="str">
        <f t="shared" si="57"/>
        <v>50</v>
      </c>
      <c r="Q622" s="10" t="str">
        <f t="shared" si="58"/>
        <v>ZRPI</v>
      </c>
      <c r="R622" s="10" t="str">
        <f t="shared" si="59"/>
        <v>27120000</v>
      </c>
    </row>
    <row r="623" spans="1:18" ht="25.5" hidden="1" x14ac:dyDescent="0.2">
      <c r="A623" s="21" t="s">
        <v>2799</v>
      </c>
      <c r="B623" s="8" t="s">
        <v>2798</v>
      </c>
      <c r="C623" s="8" t="s">
        <v>40</v>
      </c>
      <c r="D623" s="8" t="s">
        <v>256</v>
      </c>
      <c r="E623" s="8" t="s">
        <v>40</v>
      </c>
      <c r="F623" s="8" t="s">
        <v>39</v>
      </c>
      <c r="G623" s="8" t="s">
        <v>54</v>
      </c>
      <c r="H623" s="8" t="s">
        <v>37</v>
      </c>
      <c r="I623" s="8" t="s">
        <v>53</v>
      </c>
      <c r="J623" s="8" t="s">
        <v>46</v>
      </c>
      <c r="K623" s="8" t="s">
        <v>2797</v>
      </c>
      <c r="L623" s="7">
        <v>7361</v>
      </c>
      <c r="M623" s="10" t="str">
        <f t="shared" si="54"/>
        <v>CMI02090900</v>
      </c>
      <c r="N623" s="10" t="str">
        <f t="shared" si="55"/>
        <v>REP201100</v>
      </c>
      <c r="O623" s="10" t="str">
        <f t="shared" si="56"/>
        <v>E</v>
      </c>
      <c r="P623" s="10" t="str">
        <f t="shared" si="57"/>
        <v>50</v>
      </c>
      <c r="Q623" s="10" t="str">
        <f t="shared" si="58"/>
        <v>ZRPI</v>
      </c>
      <c r="R623" s="10" t="str">
        <f t="shared" si="59"/>
        <v>40161809</v>
      </c>
    </row>
    <row r="624" spans="1:18" ht="25.5" hidden="1" x14ac:dyDescent="0.2">
      <c r="A624" s="21" t="s">
        <v>2796</v>
      </c>
      <c r="B624" s="8" t="s">
        <v>2795</v>
      </c>
      <c r="C624" s="8" t="s">
        <v>40</v>
      </c>
      <c r="D624" s="8" t="s">
        <v>249</v>
      </c>
      <c r="E624" s="8" t="s">
        <v>40</v>
      </c>
      <c r="F624" s="8" t="s">
        <v>39</v>
      </c>
      <c r="G624" s="8" t="s">
        <v>54</v>
      </c>
      <c r="H624" s="8" t="s">
        <v>37</v>
      </c>
      <c r="I624" s="8" t="s">
        <v>53</v>
      </c>
      <c r="J624" s="8" t="s">
        <v>46</v>
      </c>
      <c r="K624" s="8" t="s">
        <v>2794</v>
      </c>
      <c r="L624" s="7">
        <v>7362</v>
      </c>
      <c r="M624" s="10" t="str">
        <f t="shared" si="54"/>
        <v>CMI02090700</v>
      </c>
      <c r="N624" s="10" t="str">
        <f t="shared" si="55"/>
        <v>REP201100</v>
      </c>
      <c r="O624" s="10" t="str">
        <f t="shared" si="56"/>
        <v>E</v>
      </c>
      <c r="P624" s="10" t="str">
        <f t="shared" si="57"/>
        <v>50</v>
      </c>
      <c r="Q624" s="10" t="str">
        <f t="shared" si="58"/>
        <v>ZRPI</v>
      </c>
      <c r="R624" s="10" t="str">
        <f t="shared" si="59"/>
        <v>31162413</v>
      </c>
    </row>
    <row r="625" spans="1:18" ht="38.25" hidden="1" x14ac:dyDescent="0.2">
      <c r="A625" s="21" t="s">
        <v>2793</v>
      </c>
      <c r="B625" s="8" t="s">
        <v>2792</v>
      </c>
      <c r="C625" s="8" t="s">
        <v>40</v>
      </c>
      <c r="D625" s="8" t="s">
        <v>986</v>
      </c>
      <c r="E625" s="8" t="s">
        <v>40</v>
      </c>
      <c r="F625" s="8" t="s">
        <v>39</v>
      </c>
      <c r="G625" s="8" t="s">
        <v>2775</v>
      </c>
      <c r="H625" s="8" t="s">
        <v>37</v>
      </c>
      <c r="I625" s="8" t="s">
        <v>53</v>
      </c>
      <c r="J625" s="8" t="s">
        <v>46</v>
      </c>
      <c r="K625" s="8" t="s">
        <v>2791</v>
      </c>
      <c r="L625" s="7">
        <v>7363</v>
      </c>
      <c r="M625" s="10" t="str">
        <f t="shared" si="54"/>
        <v>CMI02070300</v>
      </c>
      <c r="N625" s="10" t="str">
        <f t="shared" si="55"/>
        <v>REP211100</v>
      </c>
      <c r="O625" s="10" t="str">
        <f t="shared" si="56"/>
        <v>E</v>
      </c>
      <c r="P625" s="10" t="str">
        <f t="shared" si="57"/>
        <v>50</v>
      </c>
      <c r="Q625" s="10" t="str">
        <f t="shared" si="58"/>
        <v>ZRPI</v>
      </c>
      <c r="R625" s="10" t="str">
        <f t="shared" si="59"/>
        <v>26101715</v>
      </c>
    </row>
    <row r="626" spans="1:18" ht="38.25" hidden="1" x14ac:dyDescent="0.2">
      <c r="A626" s="21" t="s">
        <v>2790</v>
      </c>
      <c r="B626" s="8" t="s">
        <v>2789</v>
      </c>
      <c r="C626" s="8" t="s">
        <v>40</v>
      </c>
      <c r="D626" s="8" t="s">
        <v>249</v>
      </c>
      <c r="E626" s="8" t="s">
        <v>40</v>
      </c>
      <c r="F626" s="8" t="s">
        <v>39</v>
      </c>
      <c r="G626" s="8" t="s">
        <v>240</v>
      </c>
      <c r="H626" s="8" t="s">
        <v>37</v>
      </c>
      <c r="I626" s="8" t="s">
        <v>53</v>
      </c>
      <c r="J626" s="8" t="s">
        <v>46</v>
      </c>
      <c r="K626" s="8" t="s">
        <v>2788</v>
      </c>
      <c r="L626" s="7">
        <v>7364</v>
      </c>
      <c r="M626" s="10" t="str">
        <f t="shared" si="54"/>
        <v>CMI02090700</v>
      </c>
      <c r="N626" s="10" t="str">
        <f t="shared" si="55"/>
        <v>REP201000</v>
      </c>
      <c r="O626" s="10" t="str">
        <f t="shared" si="56"/>
        <v>E</v>
      </c>
      <c r="P626" s="10" t="str">
        <f t="shared" si="57"/>
        <v>50</v>
      </c>
      <c r="Q626" s="10" t="str">
        <f t="shared" si="58"/>
        <v>ZRPI</v>
      </c>
      <c r="R626" s="10" t="str">
        <f t="shared" si="59"/>
        <v>40151700</v>
      </c>
    </row>
    <row r="627" spans="1:18" ht="38.25" hidden="1" x14ac:dyDescent="0.2">
      <c r="A627" s="21" t="s">
        <v>2787</v>
      </c>
      <c r="B627" s="8" t="s">
        <v>2786</v>
      </c>
      <c r="C627" s="8" t="s">
        <v>40</v>
      </c>
      <c r="D627" s="8" t="s">
        <v>78</v>
      </c>
      <c r="E627" s="8" t="s">
        <v>40</v>
      </c>
      <c r="F627" s="8" t="s">
        <v>39</v>
      </c>
      <c r="G627" s="8" t="s">
        <v>240</v>
      </c>
      <c r="H627" s="8" t="s">
        <v>37</v>
      </c>
      <c r="I627" s="8" t="s">
        <v>53</v>
      </c>
      <c r="J627" s="8" t="s">
        <v>46</v>
      </c>
      <c r="K627" s="8" t="s">
        <v>2785</v>
      </c>
      <c r="L627" s="7">
        <v>7365</v>
      </c>
      <c r="M627" s="10" t="str">
        <f t="shared" si="54"/>
        <v>CMI02090400</v>
      </c>
      <c r="N627" s="10" t="str">
        <f t="shared" si="55"/>
        <v>REP201000</v>
      </c>
      <c r="O627" s="10" t="str">
        <f t="shared" si="56"/>
        <v>E</v>
      </c>
      <c r="P627" s="10" t="str">
        <f t="shared" si="57"/>
        <v>50</v>
      </c>
      <c r="Q627" s="10" t="str">
        <f t="shared" si="58"/>
        <v>ZRPI</v>
      </c>
      <c r="R627" s="10" t="str">
        <f t="shared" si="59"/>
        <v>43201553</v>
      </c>
    </row>
    <row r="628" spans="1:18" ht="38.25" hidden="1" x14ac:dyDescent="0.2">
      <c r="A628" s="21" t="s">
        <v>2784</v>
      </c>
      <c r="B628" s="8" t="s">
        <v>2783</v>
      </c>
      <c r="C628" s="8" t="s">
        <v>40</v>
      </c>
      <c r="D628" s="8" t="s">
        <v>78</v>
      </c>
      <c r="E628" s="8" t="s">
        <v>40</v>
      </c>
      <c r="F628" s="8" t="s">
        <v>39</v>
      </c>
      <c r="G628" s="8" t="s">
        <v>240</v>
      </c>
      <c r="H628" s="8" t="s">
        <v>37</v>
      </c>
      <c r="I628" s="8" t="s">
        <v>53</v>
      </c>
      <c r="J628" s="8" t="s">
        <v>46</v>
      </c>
      <c r="K628" s="8" t="s">
        <v>2782</v>
      </c>
      <c r="L628" s="7">
        <v>7366</v>
      </c>
      <c r="M628" s="10" t="str">
        <f t="shared" si="54"/>
        <v>CMI02090400</v>
      </c>
      <c r="N628" s="10" t="str">
        <f t="shared" si="55"/>
        <v>REP201000</v>
      </c>
      <c r="O628" s="10" t="str">
        <f t="shared" si="56"/>
        <v>E</v>
      </c>
      <c r="P628" s="10" t="str">
        <f t="shared" si="57"/>
        <v>50</v>
      </c>
      <c r="Q628" s="10" t="str">
        <f t="shared" si="58"/>
        <v>ZRPI</v>
      </c>
      <c r="R628" s="10" t="str">
        <f t="shared" si="59"/>
        <v>41122411</v>
      </c>
    </row>
    <row r="629" spans="1:18" ht="38.25" hidden="1" x14ac:dyDescent="0.2">
      <c r="A629" s="21" t="s">
        <v>2781</v>
      </c>
      <c r="B629" s="8" t="s">
        <v>2780</v>
      </c>
      <c r="C629" s="8" t="s">
        <v>40</v>
      </c>
      <c r="D629" s="8" t="s">
        <v>2779</v>
      </c>
      <c r="E629" s="8" t="s">
        <v>40</v>
      </c>
      <c r="F629" s="8" t="s">
        <v>39</v>
      </c>
      <c r="G629" s="8" t="s">
        <v>54</v>
      </c>
      <c r="H629" s="8" t="s">
        <v>37</v>
      </c>
      <c r="I629" s="8" t="s">
        <v>53</v>
      </c>
      <c r="J629" s="8" t="s">
        <v>46</v>
      </c>
      <c r="K629" s="8" t="s">
        <v>2778</v>
      </c>
      <c r="L629" s="7">
        <v>7367</v>
      </c>
      <c r="M629" s="10" t="str">
        <f t="shared" si="54"/>
        <v>CMI02050600</v>
      </c>
      <c r="N629" s="10" t="str">
        <f t="shared" si="55"/>
        <v>REP201100</v>
      </c>
      <c r="O629" s="10" t="str">
        <f t="shared" si="56"/>
        <v>E</v>
      </c>
      <c r="P629" s="10" t="str">
        <f t="shared" si="57"/>
        <v>50</v>
      </c>
      <c r="Q629" s="10" t="str">
        <f t="shared" si="58"/>
        <v>ZRPI</v>
      </c>
      <c r="R629" s="10" t="str">
        <f t="shared" si="59"/>
        <v>12142100</v>
      </c>
    </row>
    <row r="630" spans="1:18" ht="25.5" hidden="1" x14ac:dyDescent="0.2">
      <c r="A630" s="21" t="s">
        <v>2777</v>
      </c>
      <c r="B630" s="8" t="s">
        <v>2776</v>
      </c>
      <c r="C630" s="8" t="s">
        <v>40</v>
      </c>
      <c r="D630" s="8" t="s">
        <v>249</v>
      </c>
      <c r="E630" s="8" t="s">
        <v>40</v>
      </c>
      <c r="F630" s="8" t="s">
        <v>39</v>
      </c>
      <c r="G630" s="8" t="s">
        <v>2775</v>
      </c>
      <c r="H630" s="8" t="s">
        <v>37</v>
      </c>
      <c r="I630" s="8" t="s">
        <v>53</v>
      </c>
      <c r="J630" s="8" t="s">
        <v>46</v>
      </c>
      <c r="K630" s="8" t="s">
        <v>2774</v>
      </c>
      <c r="L630" s="7">
        <v>7368</v>
      </c>
      <c r="M630" s="10" t="str">
        <f t="shared" si="54"/>
        <v>CMI02090700</v>
      </c>
      <c r="N630" s="10" t="str">
        <f t="shared" si="55"/>
        <v>REP211100</v>
      </c>
      <c r="O630" s="10" t="str">
        <f t="shared" si="56"/>
        <v>E</v>
      </c>
      <c r="P630" s="10" t="str">
        <f t="shared" si="57"/>
        <v>50</v>
      </c>
      <c r="Q630" s="10" t="str">
        <f t="shared" si="58"/>
        <v>ZRPI</v>
      </c>
      <c r="R630" s="10" t="str">
        <f t="shared" si="59"/>
        <v>25171901</v>
      </c>
    </row>
    <row r="631" spans="1:18" ht="38.25" hidden="1" x14ac:dyDescent="0.2">
      <c r="A631" s="21" t="s">
        <v>2773</v>
      </c>
      <c r="B631" s="8" t="s">
        <v>2772</v>
      </c>
      <c r="C631" s="8" t="s">
        <v>40</v>
      </c>
      <c r="D631" s="8" t="s">
        <v>224</v>
      </c>
      <c r="E631" s="8" t="s">
        <v>40</v>
      </c>
      <c r="F631" s="8" t="s">
        <v>39</v>
      </c>
      <c r="G631" s="8" t="s">
        <v>220</v>
      </c>
      <c r="H631" s="8" t="s">
        <v>37</v>
      </c>
      <c r="I631" s="8" t="s">
        <v>53</v>
      </c>
      <c r="J631" s="8" t="s">
        <v>90</v>
      </c>
      <c r="K631" s="8" t="s">
        <v>2711</v>
      </c>
      <c r="L631" s="7">
        <v>7369</v>
      </c>
      <c r="M631" s="10" t="str">
        <f t="shared" si="54"/>
        <v>CMI02170100</v>
      </c>
      <c r="N631" s="10" t="str">
        <f t="shared" si="55"/>
        <v>SEG221000</v>
      </c>
      <c r="O631" s="10" t="str">
        <f t="shared" si="56"/>
        <v>E</v>
      </c>
      <c r="P631" s="10" t="str">
        <f t="shared" si="57"/>
        <v>50</v>
      </c>
      <c r="Q631" s="10" t="str">
        <f t="shared" si="58"/>
        <v>ZSEG</v>
      </c>
      <c r="R631" s="10" t="str">
        <f t="shared" si="59"/>
        <v>46181707</v>
      </c>
    </row>
    <row r="632" spans="1:18" ht="38.25" hidden="1" x14ac:dyDescent="0.2">
      <c r="A632" s="21" t="s">
        <v>2771</v>
      </c>
      <c r="B632" s="8" t="s">
        <v>2770</v>
      </c>
      <c r="C632" s="8" t="s">
        <v>40</v>
      </c>
      <c r="D632" s="8" t="s">
        <v>224</v>
      </c>
      <c r="E632" s="8" t="s">
        <v>40</v>
      </c>
      <c r="F632" s="8" t="s">
        <v>39</v>
      </c>
      <c r="G632" s="8" t="s">
        <v>220</v>
      </c>
      <c r="H632" s="8" t="s">
        <v>37</v>
      </c>
      <c r="I632" s="8" t="s">
        <v>53</v>
      </c>
      <c r="J632" s="8" t="s">
        <v>90</v>
      </c>
      <c r="K632" s="8" t="s">
        <v>2769</v>
      </c>
      <c r="L632" s="7">
        <v>7370</v>
      </c>
      <c r="M632" s="10" t="str">
        <f t="shared" si="54"/>
        <v>CMI02170100</v>
      </c>
      <c r="N632" s="10" t="str">
        <f t="shared" si="55"/>
        <v>SEG221000</v>
      </c>
      <c r="O632" s="10" t="str">
        <f t="shared" si="56"/>
        <v>E</v>
      </c>
      <c r="P632" s="10" t="str">
        <f t="shared" si="57"/>
        <v>50</v>
      </c>
      <c r="Q632" s="10" t="str">
        <f t="shared" si="58"/>
        <v>ZSEG</v>
      </c>
      <c r="R632" s="10" t="str">
        <f t="shared" si="59"/>
        <v>46182005</v>
      </c>
    </row>
    <row r="633" spans="1:18" ht="38.25" hidden="1" x14ac:dyDescent="0.2">
      <c r="A633" s="21" t="s">
        <v>2768</v>
      </c>
      <c r="B633" s="8" t="s">
        <v>2767</v>
      </c>
      <c r="C633" s="8" t="s">
        <v>40</v>
      </c>
      <c r="D633" s="8" t="s">
        <v>969</v>
      </c>
      <c r="E633" s="8" t="s">
        <v>40</v>
      </c>
      <c r="F633" s="8" t="s">
        <v>39</v>
      </c>
      <c r="G633" s="8" t="s">
        <v>220</v>
      </c>
      <c r="H633" s="8" t="s">
        <v>37</v>
      </c>
      <c r="I633" s="8" t="s">
        <v>53</v>
      </c>
      <c r="J633" s="8" t="s">
        <v>90</v>
      </c>
      <c r="K633" s="8" t="s">
        <v>2690</v>
      </c>
      <c r="L633" s="7">
        <v>7371</v>
      </c>
      <c r="M633" s="10" t="str">
        <f t="shared" si="54"/>
        <v>CMI02051200</v>
      </c>
      <c r="N633" s="10" t="str">
        <f t="shared" si="55"/>
        <v>SEG221000</v>
      </c>
      <c r="O633" s="10" t="str">
        <f t="shared" si="56"/>
        <v>E</v>
      </c>
      <c r="P633" s="10" t="str">
        <f t="shared" si="57"/>
        <v>50</v>
      </c>
      <c r="Q633" s="10" t="str">
        <f t="shared" si="58"/>
        <v>ZSEG</v>
      </c>
      <c r="R633" s="10" t="str">
        <f t="shared" si="59"/>
        <v>39111610</v>
      </c>
    </row>
    <row r="634" spans="1:18" ht="38.25" hidden="1" x14ac:dyDescent="0.2">
      <c r="A634" s="21" t="s">
        <v>2766</v>
      </c>
      <c r="B634" s="8" t="s">
        <v>2765</v>
      </c>
      <c r="C634" s="8" t="s">
        <v>40</v>
      </c>
      <c r="D634" s="8" t="s">
        <v>55</v>
      </c>
      <c r="E634" s="8" t="s">
        <v>40</v>
      </c>
      <c r="F634" s="8" t="s">
        <v>39</v>
      </c>
      <c r="G634" s="8" t="s">
        <v>220</v>
      </c>
      <c r="H634" s="8" t="s">
        <v>37</v>
      </c>
      <c r="I634" s="8" t="s">
        <v>53</v>
      </c>
      <c r="J634" s="8" t="s">
        <v>90</v>
      </c>
      <c r="K634" s="8" t="s">
        <v>2764</v>
      </c>
      <c r="L634" s="7">
        <v>7372</v>
      </c>
      <c r="M634" s="10" t="str">
        <f t="shared" si="54"/>
        <v>CMI02140300</v>
      </c>
      <c r="N634" s="10" t="str">
        <f t="shared" si="55"/>
        <v>SEG221000</v>
      </c>
      <c r="O634" s="10" t="str">
        <f t="shared" si="56"/>
        <v>E</v>
      </c>
      <c r="P634" s="10" t="str">
        <f t="shared" si="57"/>
        <v>50</v>
      </c>
      <c r="Q634" s="10" t="str">
        <f t="shared" si="58"/>
        <v>ZSEG</v>
      </c>
      <c r="R634" s="10" t="str">
        <f t="shared" si="59"/>
        <v>41113642</v>
      </c>
    </row>
    <row r="635" spans="1:18" ht="38.25" hidden="1" x14ac:dyDescent="0.2">
      <c r="A635" s="21" t="s">
        <v>2763</v>
      </c>
      <c r="B635" s="8" t="s">
        <v>2762</v>
      </c>
      <c r="C635" s="8" t="s">
        <v>40</v>
      </c>
      <c r="D635" s="8" t="s">
        <v>224</v>
      </c>
      <c r="E635" s="8" t="s">
        <v>40</v>
      </c>
      <c r="F635" s="8" t="s">
        <v>39</v>
      </c>
      <c r="G635" s="8" t="s">
        <v>220</v>
      </c>
      <c r="H635" s="8" t="s">
        <v>37</v>
      </c>
      <c r="I635" s="8" t="s">
        <v>53</v>
      </c>
      <c r="J635" s="8" t="s">
        <v>90</v>
      </c>
      <c r="K635" s="8" t="s">
        <v>2761</v>
      </c>
      <c r="L635" s="7">
        <v>7373</v>
      </c>
      <c r="M635" s="10" t="str">
        <f t="shared" si="54"/>
        <v>CMI02170100</v>
      </c>
      <c r="N635" s="10" t="str">
        <f t="shared" si="55"/>
        <v>SEG221000</v>
      </c>
      <c r="O635" s="10" t="str">
        <f t="shared" si="56"/>
        <v>E</v>
      </c>
      <c r="P635" s="10" t="str">
        <f t="shared" si="57"/>
        <v>50</v>
      </c>
      <c r="Q635" s="10" t="str">
        <f t="shared" si="58"/>
        <v>ZSEG</v>
      </c>
      <c r="R635" s="10" t="str">
        <f t="shared" si="59"/>
        <v>46181501</v>
      </c>
    </row>
    <row r="636" spans="1:18" ht="38.25" hidden="1" x14ac:dyDescent="0.2">
      <c r="A636" s="21" t="s">
        <v>2760</v>
      </c>
      <c r="B636" s="8" t="s">
        <v>2759</v>
      </c>
      <c r="C636" s="8" t="s">
        <v>40</v>
      </c>
      <c r="D636" s="8" t="s">
        <v>224</v>
      </c>
      <c r="E636" s="8" t="s">
        <v>40</v>
      </c>
      <c r="F636" s="8" t="s">
        <v>39</v>
      </c>
      <c r="G636" s="8" t="s">
        <v>220</v>
      </c>
      <c r="H636" s="8" t="s">
        <v>37</v>
      </c>
      <c r="I636" s="8" t="s">
        <v>53</v>
      </c>
      <c r="J636" s="8" t="s">
        <v>90</v>
      </c>
      <c r="K636" s="8" t="s">
        <v>2750</v>
      </c>
      <c r="L636" s="7">
        <v>7374</v>
      </c>
      <c r="M636" s="10" t="str">
        <f t="shared" si="54"/>
        <v>CMI02170100</v>
      </c>
      <c r="N636" s="10" t="str">
        <f t="shared" si="55"/>
        <v>SEG221000</v>
      </c>
      <c r="O636" s="10" t="str">
        <f t="shared" si="56"/>
        <v>E</v>
      </c>
      <c r="P636" s="10" t="str">
        <f t="shared" si="57"/>
        <v>50</v>
      </c>
      <c r="Q636" s="10" t="str">
        <f t="shared" si="58"/>
        <v>ZSEG</v>
      </c>
      <c r="R636" s="10" t="str">
        <f t="shared" si="59"/>
        <v>31162600</v>
      </c>
    </row>
    <row r="637" spans="1:18" ht="38.25" hidden="1" x14ac:dyDescent="0.2">
      <c r="A637" s="21" t="s">
        <v>2758</v>
      </c>
      <c r="B637" s="8" t="s">
        <v>2757</v>
      </c>
      <c r="C637" s="8" t="s">
        <v>40</v>
      </c>
      <c r="D637" s="8" t="s">
        <v>224</v>
      </c>
      <c r="E637" s="8" t="s">
        <v>40</v>
      </c>
      <c r="F637" s="8" t="s">
        <v>39</v>
      </c>
      <c r="G637" s="8" t="s">
        <v>220</v>
      </c>
      <c r="H637" s="8" t="s">
        <v>37</v>
      </c>
      <c r="I637" s="8" t="s">
        <v>53</v>
      </c>
      <c r="J637" s="8" t="s">
        <v>90</v>
      </c>
      <c r="K637" s="8" t="s">
        <v>2756</v>
      </c>
      <c r="L637" s="7">
        <v>7375</v>
      </c>
      <c r="M637" s="10" t="str">
        <f t="shared" si="54"/>
        <v>CMI02170100</v>
      </c>
      <c r="N637" s="10" t="str">
        <f t="shared" si="55"/>
        <v>SEG221000</v>
      </c>
      <c r="O637" s="10" t="str">
        <f t="shared" si="56"/>
        <v>E</v>
      </c>
      <c r="P637" s="10" t="str">
        <f t="shared" si="57"/>
        <v>50</v>
      </c>
      <c r="Q637" s="10" t="str">
        <f t="shared" si="58"/>
        <v>ZSEG</v>
      </c>
      <c r="R637" s="10" t="str">
        <f t="shared" si="59"/>
        <v>24101611</v>
      </c>
    </row>
    <row r="638" spans="1:18" ht="38.25" hidden="1" x14ac:dyDescent="0.2">
      <c r="A638" s="21" t="s">
        <v>2755</v>
      </c>
      <c r="B638" s="8" t="s">
        <v>2754</v>
      </c>
      <c r="C638" s="8" t="s">
        <v>40</v>
      </c>
      <c r="D638" s="8" t="s">
        <v>386</v>
      </c>
      <c r="E638" s="8" t="s">
        <v>40</v>
      </c>
      <c r="F638" s="8" t="s">
        <v>39</v>
      </c>
      <c r="G638" s="8" t="s">
        <v>220</v>
      </c>
      <c r="H638" s="8" t="s">
        <v>37</v>
      </c>
      <c r="I638" s="8" t="s">
        <v>53</v>
      </c>
      <c r="J638" s="8" t="s">
        <v>90</v>
      </c>
      <c r="K638" s="8" t="s">
        <v>2753</v>
      </c>
      <c r="L638" s="7">
        <v>7376</v>
      </c>
      <c r="M638" s="10" t="str">
        <f t="shared" si="54"/>
        <v>CMI02140100</v>
      </c>
      <c r="N638" s="10" t="str">
        <f t="shared" si="55"/>
        <v>SEG221000</v>
      </c>
      <c r="O638" s="10" t="str">
        <f t="shared" si="56"/>
        <v>E</v>
      </c>
      <c r="P638" s="10" t="str">
        <f t="shared" si="57"/>
        <v>50</v>
      </c>
      <c r="Q638" s="10" t="str">
        <f t="shared" si="58"/>
        <v>ZSEG</v>
      </c>
      <c r="R638" s="10" t="str">
        <f t="shared" si="59"/>
        <v>53121705</v>
      </c>
    </row>
    <row r="639" spans="1:18" ht="38.25" hidden="1" x14ac:dyDescent="0.2">
      <c r="A639" s="21" t="s">
        <v>2752</v>
      </c>
      <c r="B639" s="8" t="s">
        <v>2751</v>
      </c>
      <c r="C639" s="8" t="s">
        <v>40</v>
      </c>
      <c r="D639" s="8" t="s">
        <v>1082</v>
      </c>
      <c r="E639" s="8" t="s">
        <v>40</v>
      </c>
      <c r="F639" s="8" t="s">
        <v>39</v>
      </c>
      <c r="G639" s="8" t="s">
        <v>220</v>
      </c>
      <c r="H639" s="8" t="s">
        <v>37</v>
      </c>
      <c r="I639" s="8" t="s">
        <v>53</v>
      </c>
      <c r="J639" s="8" t="s">
        <v>90</v>
      </c>
      <c r="K639" s="8" t="s">
        <v>2750</v>
      </c>
      <c r="L639" s="7">
        <v>7377</v>
      </c>
      <c r="M639" s="10" t="str">
        <f t="shared" si="54"/>
        <v>CMI02050500</v>
      </c>
      <c r="N639" s="10" t="str">
        <f t="shared" si="55"/>
        <v>SEG221000</v>
      </c>
      <c r="O639" s="10" t="str">
        <f t="shared" si="56"/>
        <v>E</v>
      </c>
      <c r="P639" s="10" t="str">
        <f t="shared" si="57"/>
        <v>50</v>
      </c>
      <c r="Q639" s="10" t="str">
        <f t="shared" si="58"/>
        <v>ZSEG</v>
      </c>
      <c r="R639" s="10" t="str">
        <f t="shared" si="59"/>
        <v>31162600</v>
      </c>
    </row>
    <row r="640" spans="1:18" ht="38.25" hidden="1" x14ac:dyDescent="0.2">
      <c r="A640" s="21" t="s">
        <v>2749</v>
      </c>
      <c r="B640" s="8" t="s">
        <v>2748</v>
      </c>
      <c r="C640" s="8" t="s">
        <v>40</v>
      </c>
      <c r="D640" s="8" t="s">
        <v>224</v>
      </c>
      <c r="E640" s="8" t="s">
        <v>40</v>
      </c>
      <c r="F640" s="8" t="s">
        <v>39</v>
      </c>
      <c r="G640" s="8" t="s">
        <v>220</v>
      </c>
      <c r="H640" s="8" t="s">
        <v>37</v>
      </c>
      <c r="I640" s="8" t="s">
        <v>53</v>
      </c>
      <c r="J640" s="8" t="s">
        <v>90</v>
      </c>
      <c r="K640" s="8" t="s">
        <v>2714</v>
      </c>
      <c r="L640" s="7">
        <v>7378</v>
      </c>
      <c r="M640" s="10" t="str">
        <f t="shared" si="54"/>
        <v>CMI02170100</v>
      </c>
      <c r="N640" s="10" t="str">
        <f t="shared" si="55"/>
        <v>SEG221000</v>
      </c>
      <c r="O640" s="10" t="str">
        <f t="shared" si="56"/>
        <v>E</v>
      </c>
      <c r="P640" s="10" t="str">
        <f t="shared" si="57"/>
        <v>50</v>
      </c>
      <c r="Q640" s="10" t="str">
        <f t="shared" si="58"/>
        <v>ZSEG</v>
      </c>
      <c r="R640" s="10" t="str">
        <f t="shared" si="59"/>
        <v>46182306</v>
      </c>
    </row>
    <row r="641" spans="1:18" ht="38.25" hidden="1" x14ac:dyDescent="0.2">
      <c r="A641" s="21" t="s">
        <v>2747</v>
      </c>
      <c r="B641" s="8" t="s">
        <v>2746</v>
      </c>
      <c r="C641" s="8" t="s">
        <v>40</v>
      </c>
      <c r="D641" s="8" t="s">
        <v>990</v>
      </c>
      <c r="E641" s="8" t="s">
        <v>40</v>
      </c>
      <c r="F641" s="8" t="s">
        <v>39</v>
      </c>
      <c r="G641" s="8" t="s">
        <v>220</v>
      </c>
      <c r="H641" s="8" t="s">
        <v>37</v>
      </c>
      <c r="I641" s="8" t="s">
        <v>53</v>
      </c>
      <c r="J641" s="8" t="s">
        <v>90</v>
      </c>
      <c r="K641" s="8" t="s">
        <v>2745</v>
      </c>
      <c r="L641" s="7">
        <v>7379</v>
      </c>
      <c r="M641" s="10" t="str">
        <f t="shared" si="54"/>
        <v>CMI02090500</v>
      </c>
      <c r="N641" s="10" t="str">
        <f t="shared" si="55"/>
        <v>SEG221000</v>
      </c>
      <c r="O641" s="10" t="str">
        <f t="shared" si="56"/>
        <v>E</v>
      </c>
      <c r="P641" s="10" t="str">
        <f t="shared" si="57"/>
        <v>50</v>
      </c>
      <c r="Q641" s="10" t="str">
        <f t="shared" si="58"/>
        <v>ZSEG</v>
      </c>
      <c r="R641" s="10" t="str">
        <f t="shared" si="59"/>
        <v>46191600</v>
      </c>
    </row>
    <row r="642" spans="1:18" ht="38.25" hidden="1" x14ac:dyDescent="0.2">
      <c r="A642" s="21" t="s">
        <v>2744</v>
      </c>
      <c r="B642" s="8" t="s">
        <v>2743</v>
      </c>
      <c r="C642" s="8" t="s">
        <v>40</v>
      </c>
      <c r="D642" s="8" t="s">
        <v>224</v>
      </c>
      <c r="E642" s="8" t="s">
        <v>40</v>
      </c>
      <c r="F642" s="8" t="s">
        <v>39</v>
      </c>
      <c r="G642" s="8" t="s">
        <v>220</v>
      </c>
      <c r="H642" s="8" t="s">
        <v>37</v>
      </c>
      <c r="I642" s="8" t="s">
        <v>53</v>
      </c>
      <c r="J642" s="8" t="s">
        <v>90</v>
      </c>
      <c r="K642" s="8" t="s">
        <v>2742</v>
      </c>
      <c r="L642" s="7">
        <v>7380</v>
      </c>
      <c r="M642" s="10" t="str">
        <f t="shared" si="54"/>
        <v>CMI02170100</v>
      </c>
      <c r="N642" s="10" t="str">
        <f t="shared" si="55"/>
        <v>SEG221000</v>
      </c>
      <c r="O642" s="10" t="str">
        <f t="shared" si="56"/>
        <v>E</v>
      </c>
      <c r="P642" s="10" t="str">
        <f t="shared" si="57"/>
        <v>50</v>
      </c>
      <c r="Q642" s="10" t="str">
        <f t="shared" si="58"/>
        <v>ZSEG</v>
      </c>
      <c r="R642" s="10" t="str">
        <f t="shared" si="59"/>
        <v>46161600</v>
      </c>
    </row>
    <row r="643" spans="1:18" ht="38.25" hidden="1" x14ac:dyDescent="0.2">
      <c r="A643" s="21" t="s">
        <v>2741</v>
      </c>
      <c r="B643" s="8" t="s">
        <v>2740</v>
      </c>
      <c r="C643" s="8" t="s">
        <v>40</v>
      </c>
      <c r="D643" s="8" t="s">
        <v>990</v>
      </c>
      <c r="E643" s="8" t="s">
        <v>40</v>
      </c>
      <c r="F643" s="8" t="s">
        <v>39</v>
      </c>
      <c r="G643" s="8" t="s">
        <v>220</v>
      </c>
      <c r="H643" s="8" t="s">
        <v>37</v>
      </c>
      <c r="I643" s="8" t="s">
        <v>53</v>
      </c>
      <c r="J643" s="8" t="s">
        <v>90</v>
      </c>
      <c r="K643" s="8" t="s">
        <v>2739</v>
      </c>
      <c r="L643" s="7">
        <v>7381</v>
      </c>
      <c r="M643" s="10" t="str">
        <f t="shared" ref="M643:M706" si="60">+LEFT(D643,11)</f>
        <v>CMI02090500</v>
      </c>
      <c r="N643" s="10" t="str">
        <f t="shared" ref="N643:N706" si="61">+LEFT(G643,9)</f>
        <v>SEG221000</v>
      </c>
      <c r="O643" s="10" t="str">
        <f t="shared" ref="O643:O706" si="62">+LEFT(H643,1)</f>
        <v>E</v>
      </c>
      <c r="P643" s="10" t="str">
        <f t="shared" ref="P643:P706" si="63">+LEFT(I643,2)</f>
        <v>50</v>
      </c>
      <c r="Q643" s="10" t="str">
        <f t="shared" ref="Q643:Q706" si="64">+LEFT(J643,4)</f>
        <v>ZSEG</v>
      </c>
      <c r="R643" s="10" t="str">
        <f t="shared" ref="R643:R706" si="65">+LEFT(K643,8)</f>
        <v>46191606</v>
      </c>
    </row>
    <row r="644" spans="1:18" ht="38.25" hidden="1" x14ac:dyDescent="0.2">
      <c r="A644" s="21" t="s">
        <v>2738</v>
      </c>
      <c r="B644" s="8" t="s">
        <v>2737</v>
      </c>
      <c r="C644" s="8" t="s">
        <v>40</v>
      </c>
      <c r="D644" s="8" t="s">
        <v>990</v>
      </c>
      <c r="E644" s="8" t="s">
        <v>40</v>
      </c>
      <c r="F644" s="8" t="s">
        <v>39</v>
      </c>
      <c r="G644" s="8" t="s">
        <v>220</v>
      </c>
      <c r="H644" s="8" t="s">
        <v>37</v>
      </c>
      <c r="I644" s="8" t="s">
        <v>53</v>
      </c>
      <c r="J644" s="8" t="s">
        <v>90</v>
      </c>
      <c r="K644" s="8" t="s">
        <v>2736</v>
      </c>
      <c r="L644" s="7">
        <v>7382</v>
      </c>
      <c r="M644" s="10" t="str">
        <f t="shared" si="60"/>
        <v>CMI02090500</v>
      </c>
      <c r="N644" s="10" t="str">
        <f t="shared" si="61"/>
        <v>SEG221000</v>
      </c>
      <c r="O644" s="10" t="str">
        <f t="shared" si="62"/>
        <v>E</v>
      </c>
      <c r="P644" s="10" t="str">
        <f t="shared" si="63"/>
        <v>50</v>
      </c>
      <c r="Q644" s="10" t="str">
        <f t="shared" si="64"/>
        <v>ZSEG</v>
      </c>
      <c r="R644" s="10" t="str">
        <f t="shared" si="65"/>
        <v>46181902</v>
      </c>
    </row>
    <row r="645" spans="1:18" ht="38.25" hidden="1" x14ac:dyDescent="0.2">
      <c r="A645" s="21" t="s">
        <v>2735</v>
      </c>
      <c r="B645" s="8" t="s">
        <v>2734</v>
      </c>
      <c r="C645" s="8" t="s">
        <v>40</v>
      </c>
      <c r="D645" s="8" t="s">
        <v>990</v>
      </c>
      <c r="E645" s="8" t="s">
        <v>40</v>
      </c>
      <c r="F645" s="8" t="s">
        <v>39</v>
      </c>
      <c r="G645" s="8" t="s">
        <v>220</v>
      </c>
      <c r="H645" s="8" t="s">
        <v>37</v>
      </c>
      <c r="I645" s="8" t="s">
        <v>53</v>
      </c>
      <c r="J645" s="8" t="s">
        <v>90</v>
      </c>
      <c r="K645" s="8" t="s">
        <v>2733</v>
      </c>
      <c r="L645" s="7">
        <v>7383</v>
      </c>
      <c r="M645" s="10" t="str">
        <f t="shared" si="60"/>
        <v>CMI02090500</v>
      </c>
      <c r="N645" s="10" t="str">
        <f t="shared" si="61"/>
        <v>SEG221000</v>
      </c>
      <c r="O645" s="10" t="str">
        <f t="shared" si="62"/>
        <v>E</v>
      </c>
      <c r="P645" s="10" t="str">
        <f t="shared" si="63"/>
        <v>50</v>
      </c>
      <c r="Q645" s="10" t="str">
        <f t="shared" si="64"/>
        <v>ZSEG</v>
      </c>
      <c r="R645" s="10" t="str">
        <f t="shared" si="65"/>
        <v>46191601</v>
      </c>
    </row>
    <row r="646" spans="1:18" ht="38.25" hidden="1" x14ac:dyDescent="0.2">
      <c r="A646" s="21" t="s">
        <v>2732</v>
      </c>
      <c r="B646" s="8" t="s">
        <v>2731</v>
      </c>
      <c r="C646" s="8" t="s">
        <v>40</v>
      </c>
      <c r="D646" s="8" t="s">
        <v>224</v>
      </c>
      <c r="E646" s="8" t="s">
        <v>40</v>
      </c>
      <c r="F646" s="8" t="s">
        <v>39</v>
      </c>
      <c r="G646" s="8" t="s">
        <v>220</v>
      </c>
      <c r="H646" s="8" t="s">
        <v>37</v>
      </c>
      <c r="I646" s="8" t="s">
        <v>53</v>
      </c>
      <c r="J646" s="8" t="s">
        <v>90</v>
      </c>
      <c r="K646" s="8" t="s">
        <v>2730</v>
      </c>
      <c r="L646" s="7">
        <v>7384</v>
      </c>
      <c r="M646" s="10" t="str">
        <f t="shared" si="60"/>
        <v>CMI02170100</v>
      </c>
      <c r="N646" s="10" t="str">
        <f t="shared" si="61"/>
        <v>SEG221000</v>
      </c>
      <c r="O646" s="10" t="str">
        <f t="shared" si="62"/>
        <v>E</v>
      </c>
      <c r="P646" s="10" t="str">
        <f t="shared" si="63"/>
        <v>50</v>
      </c>
      <c r="Q646" s="10" t="str">
        <f t="shared" si="64"/>
        <v>ZSEG</v>
      </c>
      <c r="R646" s="10" t="str">
        <f t="shared" si="65"/>
        <v>46181702</v>
      </c>
    </row>
    <row r="647" spans="1:18" ht="38.25" hidden="1" x14ac:dyDescent="0.2">
      <c r="A647" s="21" t="s">
        <v>2729</v>
      </c>
      <c r="B647" s="8" t="s">
        <v>2728</v>
      </c>
      <c r="C647" s="8" t="s">
        <v>40</v>
      </c>
      <c r="D647" s="8" t="s">
        <v>224</v>
      </c>
      <c r="E647" s="7">
        <v>6</v>
      </c>
      <c r="F647" s="8" t="s">
        <v>39</v>
      </c>
      <c r="G647" s="8" t="s">
        <v>220</v>
      </c>
      <c r="H647" s="8" t="s">
        <v>37</v>
      </c>
      <c r="I647" s="8" t="s">
        <v>36</v>
      </c>
      <c r="J647" s="8" t="s">
        <v>90</v>
      </c>
      <c r="K647" s="8" t="s">
        <v>2714</v>
      </c>
      <c r="L647" s="7">
        <v>7385</v>
      </c>
      <c r="M647" s="10" t="str">
        <f t="shared" si="60"/>
        <v>CMI02170100</v>
      </c>
      <c r="N647" s="10" t="str">
        <f t="shared" si="61"/>
        <v>SEG221000</v>
      </c>
      <c r="O647" s="10" t="str">
        <f t="shared" si="62"/>
        <v>E</v>
      </c>
      <c r="P647" s="10" t="str">
        <f t="shared" si="63"/>
        <v>10</v>
      </c>
      <c r="Q647" s="10" t="str">
        <f t="shared" si="64"/>
        <v>ZSEG</v>
      </c>
      <c r="R647" s="10" t="str">
        <f t="shared" si="65"/>
        <v>46182306</v>
      </c>
    </row>
    <row r="648" spans="1:18" ht="38.25" hidden="1" x14ac:dyDescent="0.2">
      <c r="A648" s="21" t="s">
        <v>2727</v>
      </c>
      <c r="B648" s="8" t="s">
        <v>2726</v>
      </c>
      <c r="C648" s="8" t="s">
        <v>40</v>
      </c>
      <c r="D648" s="8" t="s">
        <v>224</v>
      </c>
      <c r="E648" s="8" t="s">
        <v>40</v>
      </c>
      <c r="F648" s="8" t="s">
        <v>39</v>
      </c>
      <c r="G648" s="8" t="s">
        <v>220</v>
      </c>
      <c r="H648" s="8" t="s">
        <v>37</v>
      </c>
      <c r="I648" s="8" t="s">
        <v>53</v>
      </c>
      <c r="J648" s="8" t="s">
        <v>90</v>
      </c>
      <c r="K648" s="8" t="s">
        <v>2725</v>
      </c>
      <c r="L648" s="7">
        <v>7386</v>
      </c>
      <c r="M648" s="10" t="str">
        <f t="shared" si="60"/>
        <v>CMI02170100</v>
      </c>
      <c r="N648" s="10" t="str">
        <f t="shared" si="61"/>
        <v>SEG221000</v>
      </c>
      <c r="O648" s="10" t="str">
        <f t="shared" si="62"/>
        <v>E</v>
      </c>
      <c r="P648" s="10" t="str">
        <f t="shared" si="63"/>
        <v>50</v>
      </c>
      <c r="Q648" s="10" t="str">
        <f t="shared" si="64"/>
        <v>ZSEG</v>
      </c>
      <c r="R648" s="10" t="str">
        <f t="shared" si="65"/>
        <v>46182302</v>
      </c>
    </row>
    <row r="649" spans="1:18" ht="38.25" hidden="1" x14ac:dyDescent="0.2">
      <c r="A649" s="21" t="s">
        <v>2724</v>
      </c>
      <c r="B649" s="8" t="s">
        <v>2723</v>
      </c>
      <c r="C649" s="8" t="s">
        <v>40</v>
      </c>
      <c r="D649" s="8" t="s">
        <v>224</v>
      </c>
      <c r="E649" s="8" t="s">
        <v>40</v>
      </c>
      <c r="F649" s="8" t="s">
        <v>39</v>
      </c>
      <c r="G649" s="8" t="s">
        <v>220</v>
      </c>
      <c r="H649" s="8" t="s">
        <v>37</v>
      </c>
      <c r="I649" s="8" t="s">
        <v>53</v>
      </c>
      <c r="J649" s="8" t="s">
        <v>90</v>
      </c>
      <c r="K649" s="8" t="s">
        <v>2490</v>
      </c>
      <c r="L649" s="7">
        <v>7387</v>
      </c>
      <c r="M649" s="10" t="str">
        <f t="shared" si="60"/>
        <v>CMI02170100</v>
      </c>
      <c r="N649" s="10" t="str">
        <f t="shared" si="61"/>
        <v>SEG221000</v>
      </c>
      <c r="O649" s="10" t="str">
        <f t="shared" si="62"/>
        <v>E</v>
      </c>
      <c r="P649" s="10" t="str">
        <f t="shared" si="63"/>
        <v>50</v>
      </c>
      <c r="Q649" s="10" t="str">
        <f t="shared" si="64"/>
        <v>ZSEG</v>
      </c>
      <c r="R649" s="10" t="str">
        <f t="shared" si="65"/>
        <v>46181811</v>
      </c>
    </row>
    <row r="650" spans="1:18" ht="38.25" hidden="1" x14ac:dyDescent="0.2">
      <c r="A650" s="21" t="s">
        <v>2722</v>
      </c>
      <c r="B650" s="8" t="s">
        <v>2721</v>
      </c>
      <c r="C650" s="8" t="s">
        <v>40</v>
      </c>
      <c r="D650" s="8" t="s">
        <v>224</v>
      </c>
      <c r="E650" s="8" t="s">
        <v>40</v>
      </c>
      <c r="F650" s="8" t="s">
        <v>39</v>
      </c>
      <c r="G650" s="8" t="s">
        <v>220</v>
      </c>
      <c r="H650" s="8" t="s">
        <v>37</v>
      </c>
      <c r="I650" s="8" t="s">
        <v>53</v>
      </c>
      <c r="J650" s="8" t="s">
        <v>90</v>
      </c>
      <c r="K650" s="8" t="s">
        <v>2720</v>
      </c>
      <c r="L650" s="7">
        <v>7388</v>
      </c>
      <c r="M650" s="10" t="str">
        <f t="shared" si="60"/>
        <v>CMI02170100</v>
      </c>
      <c r="N650" s="10" t="str">
        <f t="shared" si="61"/>
        <v>SEG221000</v>
      </c>
      <c r="O650" s="10" t="str">
        <f t="shared" si="62"/>
        <v>E</v>
      </c>
      <c r="P650" s="10" t="str">
        <f t="shared" si="63"/>
        <v>50</v>
      </c>
      <c r="Q650" s="10" t="str">
        <f t="shared" si="64"/>
        <v>ZSEG</v>
      </c>
      <c r="R650" s="10" t="str">
        <f t="shared" si="65"/>
        <v>46161602</v>
      </c>
    </row>
    <row r="651" spans="1:18" ht="38.25" hidden="1" x14ac:dyDescent="0.2">
      <c r="A651" s="21" t="s">
        <v>2719</v>
      </c>
      <c r="B651" s="8" t="s">
        <v>2718</v>
      </c>
      <c r="C651" s="8" t="s">
        <v>40</v>
      </c>
      <c r="D651" s="8" t="s">
        <v>224</v>
      </c>
      <c r="E651" s="8" t="s">
        <v>40</v>
      </c>
      <c r="F651" s="8" t="s">
        <v>39</v>
      </c>
      <c r="G651" s="8" t="s">
        <v>220</v>
      </c>
      <c r="H651" s="8" t="s">
        <v>37</v>
      </c>
      <c r="I651" s="8" t="s">
        <v>53</v>
      </c>
      <c r="J651" s="8" t="s">
        <v>90</v>
      </c>
      <c r="K651" s="8" t="s">
        <v>2717</v>
      </c>
      <c r="L651" s="7">
        <v>7389</v>
      </c>
      <c r="M651" s="10" t="str">
        <f t="shared" si="60"/>
        <v>CMI02170100</v>
      </c>
      <c r="N651" s="10" t="str">
        <f t="shared" si="61"/>
        <v>SEG221000</v>
      </c>
      <c r="O651" s="10" t="str">
        <f t="shared" si="62"/>
        <v>E</v>
      </c>
      <c r="P651" s="10" t="str">
        <f t="shared" si="63"/>
        <v>50</v>
      </c>
      <c r="Q651" s="10" t="str">
        <f t="shared" si="64"/>
        <v>ZSEG</v>
      </c>
      <c r="R651" s="10" t="str">
        <f t="shared" si="65"/>
        <v>46182209</v>
      </c>
    </row>
    <row r="652" spans="1:18" ht="38.25" hidden="1" x14ac:dyDescent="0.2">
      <c r="A652" s="21" t="s">
        <v>2716</v>
      </c>
      <c r="B652" s="8" t="s">
        <v>2715</v>
      </c>
      <c r="C652" s="8" t="s">
        <v>40</v>
      </c>
      <c r="D652" s="8" t="s">
        <v>1082</v>
      </c>
      <c r="E652" s="7">
        <v>6</v>
      </c>
      <c r="F652" s="8" t="s">
        <v>39</v>
      </c>
      <c r="G652" s="8" t="s">
        <v>220</v>
      </c>
      <c r="H652" s="8" t="s">
        <v>37</v>
      </c>
      <c r="I652" s="8" t="s">
        <v>36</v>
      </c>
      <c r="J652" s="8" t="s">
        <v>90</v>
      </c>
      <c r="K652" s="8" t="s">
        <v>2714</v>
      </c>
      <c r="L652" s="7">
        <v>7390</v>
      </c>
      <c r="M652" s="10" t="str">
        <f t="shared" si="60"/>
        <v>CMI02050500</v>
      </c>
      <c r="N652" s="10" t="str">
        <f t="shared" si="61"/>
        <v>SEG221000</v>
      </c>
      <c r="O652" s="10" t="str">
        <f t="shared" si="62"/>
        <v>E</v>
      </c>
      <c r="P652" s="10" t="str">
        <f t="shared" si="63"/>
        <v>10</v>
      </c>
      <c r="Q652" s="10" t="str">
        <f t="shared" si="64"/>
        <v>ZSEG</v>
      </c>
      <c r="R652" s="10" t="str">
        <f t="shared" si="65"/>
        <v>46182306</v>
      </c>
    </row>
    <row r="653" spans="1:18" ht="38.25" hidden="1" x14ac:dyDescent="0.2">
      <c r="A653" s="21" t="s">
        <v>2713</v>
      </c>
      <c r="B653" s="8" t="s">
        <v>2712</v>
      </c>
      <c r="C653" s="8" t="s">
        <v>40</v>
      </c>
      <c r="D653" s="8" t="s">
        <v>224</v>
      </c>
      <c r="E653" s="8" t="s">
        <v>40</v>
      </c>
      <c r="F653" s="8" t="s">
        <v>39</v>
      </c>
      <c r="G653" s="8" t="s">
        <v>220</v>
      </c>
      <c r="H653" s="8" t="s">
        <v>37</v>
      </c>
      <c r="I653" s="8" t="s">
        <v>53</v>
      </c>
      <c r="J653" s="8" t="s">
        <v>90</v>
      </c>
      <c r="K653" s="8" t="s">
        <v>2711</v>
      </c>
      <c r="L653" s="7">
        <v>7391</v>
      </c>
      <c r="M653" s="10" t="str">
        <f t="shared" si="60"/>
        <v>CMI02170100</v>
      </c>
      <c r="N653" s="10" t="str">
        <f t="shared" si="61"/>
        <v>SEG221000</v>
      </c>
      <c r="O653" s="10" t="str">
        <f t="shared" si="62"/>
        <v>E</v>
      </c>
      <c r="P653" s="10" t="str">
        <f t="shared" si="63"/>
        <v>50</v>
      </c>
      <c r="Q653" s="10" t="str">
        <f t="shared" si="64"/>
        <v>ZSEG</v>
      </c>
      <c r="R653" s="10" t="str">
        <f t="shared" si="65"/>
        <v>46181707</v>
      </c>
    </row>
    <row r="654" spans="1:18" ht="38.25" hidden="1" x14ac:dyDescent="0.2">
      <c r="A654" s="21" t="s">
        <v>2710</v>
      </c>
      <c r="B654" s="8" t="s">
        <v>2709</v>
      </c>
      <c r="C654" s="8" t="s">
        <v>40</v>
      </c>
      <c r="D654" s="8" t="s">
        <v>112</v>
      </c>
      <c r="E654" s="8" t="s">
        <v>40</v>
      </c>
      <c r="F654" s="8" t="s">
        <v>39</v>
      </c>
      <c r="G654" s="8" t="s">
        <v>60</v>
      </c>
      <c r="H654" s="8" t="s">
        <v>37</v>
      </c>
      <c r="I654" s="8" t="s">
        <v>53</v>
      </c>
      <c r="J654" s="8" t="s">
        <v>90</v>
      </c>
      <c r="K654" s="8" t="s">
        <v>2708</v>
      </c>
      <c r="L654" s="7">
        <v>7392</v>
      </c>
      <c r="M654" s="10" t="str">
        <f t="shared" si="60"/>
        <v>CMI02130100</v>
      </c>
      <c r="N654" s="10" t="str">
        <f t="shared" si="61"/>
        <v>SUM231200</v>
      </c>
      <c r="O654" s="10" t="str">
        <f t="shared" si="62"/>
        <v>E</v>
      </c>
      <c r="P654" s="10" t="str">
        <f t="shared" si="63"/>
        <v>50</v>
      </c>
      <c r="Q654" s="10" t="str">
        <f t="shared" si="64"/>
        <v>ZSEG</v>
      </c>
      <c r="R654" s="10" t="str">
        <f t="shared" si="65"/>
        <v>47131701</v>
      </c>
    </row>
    <row r="655" spans="1:18" ht="38.25" hidden="1" x14ac:dyDescent="0.2">
      <c r="A655" s="21" t="s">
        <v>2707</v>
      </c>
      <c r="B655" s="8" t="s">
        <v>2706</v>
      </c>
      <c r="C655" s="8" t="s">
        <v>40</v>
      </c>
      <c r="D655" s="8" t="s">
        <v>434</v>
      </c>
      <c r="E655" s="8" t="s">
        <v>40</v>
      </c>
      <c r="F655" s="8" t="s">
        <v>39</v>
      </c>
      <c r="G655" s="8" t="s">
        <v>60</v>
      </c>
      <c r="H655" s="8" t="s">
        <v>37</v>
      </c>
      <c r="I655" s="8" t="s">
        <v>53</v>
      </c>
      <c r="J655" s="8" t="s">
        <v>90</v>
      </c>
      <c r="K655" s="8" t="s">
        <v>2705</v>
      </c>
      <c r="L655" s="7">
        <v>7393</v>
      </c>
      <c r="M655" s="10" t="str">
        <f t="shared" si="60"/>
        <v>CMI02130300</v>
      </c>
      <c r="N655" s="10" t="str">
        <f t="shared" si="61"/>
        <v>SUM231200</v>
      </c>
      <c r="O655" s="10" t="str">
        <f t="shared" si="62"/>
        <v>E</v>
      </c>
      <c r="P655" s="10" t="str">
        <f t="shared" si="63"/>
        <v>50</v>
      </c>
      <c r="Q655" s="10" t="str">
        <f t="shared" si="64"/>
        <v>ZSEG</v>
      </c>
      <c r="R655" s="10" t="str">
        <f t="shared" si="65"/>
        <v>47131704</v>
      </c>
    </row>
    <row r="656" spans="1:18" ht="38.25" hidden="1" x14ac:dyDescent="0.2">
      <c r="A656" s="21" t="s">
        <v>2704</v>
      </c>
      <c r="B656" s="8" t="s">
        <v>2703</v>
      </c>
      <c r="C656" s="8" t="s">
        <v>40</v>
      </c>
      <c r="D656" s="8" t="s">
        <v>216</v>
      </c>
      <c r="E656" s="8" t="s">
        <v>40</v>
      </c>
      <c r="F656" s="8" t="s">
        <v>39</v>
      </c>
      <c r="G656" s="8" t="s">
        <v>60</v>
      </c>
      <c r="H656" s="8" t="s">
        <v>37</v>
      </c>
      <c r="I656" s="8" t="s">
        <v>53</v>
      </c>
      <c r="J656" s="8" t="s">
        <v>90</v>
      </c>
      <c r="K656" s="8" t="s">
        <v>2702</v>
      </c>
      <c r="L656" s="7">
        <v>7394</v>
      </c>
      <c r="M656" s="10" t="str">
        <f t="shared" si="60"/>
        <v>CMI02140500</v>
      </c>
      <c r="N656" s="10" t="str">
        <f t="shared" si="61"/>
        <v>SUM231200</v>
      </c>
      <c r="O656" s="10" t="str">
        <f t="shared" si="62"/>
        <v>E</v>
      </c>
      <c r="P656" s="10" t="str">
        <f t="shared" si="63"/>
        <v>50</v>
      </c>
      <c r="Q656" s="10" t="str">
        <f t="shared" si="64"/>
        <v>ZSEG</v>
      </c>
      <c r="R656" s="10" t="str">
        <f t="shared" si="65"/>
        <v>27111604</v>
      </c>
    </row>
    <row r="657" spans="1:18" ht="38.25" hidden="1" x14ac:dyDescent="0.2">
      <c r="A657" s="21" t="s">
        <v>2701</v>
      </c>
      <c r="B657" s="8" t="s">
        <v>2700</v>
      </c>
      <c r="C657" s="8" t="s">
        <v>40</v>
      </c>
      <c r="D657" s="8" t="s">
        <v>216</v>
      </c>
      <c r="E657" s="8" t="s">
        <v>40</v>
      </c>
      <c r="F657" s="8" t="s">
        <v>39</v>
      </c>
      <c r="G657" s="8" t="s">
        <v>220</v>
      </c>
      <c r="H657" s="8" t="s">
        <v>37</v>
      </c>
      <c r="I657" s="8" t="s">
        <v>53</v>
      </c>
      <c r="J657" s="8" t="s">
        <v>90</v>
      </c>
      <c r="K657" s="8" t="s">
        <v>2699</v>
      </c>
      <c r="L657" s="7">
        <v>7395</v>
      </c>
      <c r="M657" s="10" t="str">
        <f t="shared" si="60"/>
        <v>CMI02140500</v>
      </c>
      <c r="N657" s="10" t="str">
        <f t="shared" si="61"/>
        <v>SEG221000</v>
      </c>
      <c r="O657" s="10" t="str">
        <f t="shared" si="62"/>
        <v>E</v>
      </c>
      <c r="P657" s="10" t="str">
        <f t="shared" si="63"/>
        <v>50</v>
      </c>
      <c r="Q657" s="10" t="str">
        <f t="shared" si="64"/>
        <v>ZSEG</v>
      </c>
      <c r="R657" s="10" t="str">
        <f t="shared" si="65"/>
        <v>24112403</v>
      </c>
    </row>
    <row r="658" spans="1:18" ht="38.25" hidden="1" x14ac:dyDescent="0.2">
      <c r="A658" s="21" t="s">
        <v>2698</v>
      </c>
      <c r="B658" s="8" t="s">
        <v>2697</v>
      </c>
      <c r="C658" s="8" t="s">
        <v>40</v>
      </c>
      <c r="D658" s="8" t="s">
        <v>1082</v>
      </c>
      <c r="E658" s="8" t="s">
        <v>40</v>
      </c>
      <c r="F658" s="8" t="s">
        <v>39</v>
      </c>
      <c r="G658" s="8" t="s">
        <v>220</v>
      </c>
      <c r="H658" s="8" t="s">
        <v>37</v>
      </c>
      <c r="I658" s="8" t="s">
        <v>53</v>
      </c>
      <c r="J658" s="8" t="s">
        <v>90</v>
      </c>
      <c r="K658" s="8" t="s">
        <v>2696</v>
      </c>
      <c r="L658" s="7">
        <v>7396</v>
      </c>
      <c r="M658" s="10" t="str">
        <f t="shared" si="60"/>
        <v>CMI02050500</v>
      </c>
      <c r="N658" s="10" t="str">
        <f t="shared" si="61"/>
        <v>SEG221000</v>
      </c>
      <c r="O658" s="10" t="str">
        <f t="shared" si="62"/>
        <v>E</v>
      </c>
      <c r="P658" s="10" t="str">
        <f t="shared" si="63"/>
        <v>50</v>
      </c>
      <c r="Q658" s="10" t="str">
        <f t="shared" si="64"/>
        <v>ZSEG</v>
      </c>
      <c r="R658" s="10" t="str">
        <f t="shared" si="65"/>
        <v>31151700</v>
      </c>
    </row>
    <row r="659" spans="1:18" ht="38.25" hidden="1" x14ac:dyDescent="0.2">
      <c r="A659" s="21" t="s">
        <v>2695</v>
      </c>
      <c r="B659" s="8" t="s">
        <v>2694</v>
      </c>
      <c r="C659" s="8" t="s">
        <v>40</v>
      </c>
      <c r="D659" s="8" t="s">
        <v>224</v>
      </c>
      <c r="E659" s="8" t="s">
        <v>40</v>
      </c>
      <c r="F659" s="8" t="s">
        <v>39</v>
      </c>
      <c r="G659" s="8" t="s">
        <v>220</v>
      </c>
      <c r="H659" s="8" t="s">
        <v>37</v>
      </c>
      <c r="I659" s="8" t="s">
        <v>53</v>
      </c>
      <c r="J659" s="8" t="s">
        <v>90</v>
      </c>
      <c r="K659" s="8" t="s">
        <v>2693</v>
      </c>
      <c r="L659" s="7">
        <v>7397</v>
      </c>
      <c r="M659" s="10" t="str">
        <f t="shared" si="60"/>
        <v>CMI02170100</v>
      </c>
      <c r="N659" s="10" t="str">
        <f t="shared" si="61"/>
        <v>SEG221000</v>
      </c>
      <c r="O659" s="10" t="str">
        <f t="shared" si="62"/>
        <v>E</v>
      </c>
      <c r="P659" s="10" t="str">
        <f t="shared" si="63"/>
        <v>50</v>
      </c>
      <c r="Q659" s="10" t="str">
        <f t="shared" si="64"/>
        <v>ZSEG</v>
      </c>
      <c r="R659" s="10" t="str">
        <f t="shared" si="65"/>
        <v>43191600</v>
      </c>
    </row>
    <row r="660" spans="1:18" ht="38.25" hidden="1" x14ac:dyDescent="0.2">
      <c r="A660" s="21" t="s">
        <v>2692</v>
      </c>
      <c r="B660" s="8" t="s">
        <v>2691</v>
      </c>
      <c r="C660" s="8" t="s">
        <v>40</v>
      </c>
      <c r="D660" s="8" t="s">
        <v>241</v>
      </c>
      <c r="E660" s="8" t="s">
        <v>40</v>
      </c>
      <c r="F660" s="8" t="s">
        <v>39</v>
      </c>
      <c r="G660" s="8" t="s">
        <v>220</v>
      </c>
      <c r="H660" s="8" t="s">
        <v>37</v>
      </c>
      <c r="I660" s="8" t="s">
        <v>53</v>
      </c>
      <c r="J660" s="8" t="s">
        <v>90</v>
      </c>
      <c r="K660" s="8" t="s">
        <v>2690</v>
      </c>
      <c r="L660" s="7">
        <v>7398</v>
      </c>
      <c r="M660" s="10" t="str">
        <f t="shared" si="60"/>
        <v>CMI02090300</v>
      </c>
      <c r="N660" s="10" t="str">
        <f t="shared" si="61"/>
        <v>SEG221000</v>
      </c>
      <c r="O660" s="10" t="str">
        <f t="shared" si="62"/>
        <v>E</v>
      </c>
      <c r="P660" s="10" t="str">
        <f t="shared" si="63"/>
        <v>50</v>
      </c>
      <c r="Q660" s="10" t="str">
        <f t="shared" si="64"/>
        <v>ZSEG</v>
      </c>
      <c r="R660" s="10" t="str">
        <f t="shared" si="65"/>
        <v>39111610</v>
      </c>
    </row>
    <row r="661" spans="1:18" ht="38.25" hidden="1" x14ac:dyDescent="0.2">
      <c r="A661" s="21" t="s">
        <v>2689</v>
      </c>
      <c r="B661" s="8" t="s">
        <v>2688</v>
      </c>
      <c r="C661" s="8" t="s">
        <v>40</v>
      </c>
      <c r="D661" s="8" t="s">
        <v>1648</v>
      </c>
      <c r="E661" s="8" t="s">
        <v>40</v>
      </c>
      <c r="F661" s="8" t="s">
        <v>39</v>
      </c>
      <c r="G661" s="8" t="s">
        <v>220</v>
      </c>
      <c r="H661" s="8" t="s">
        <v>37</v>
      </c>
      <c r="I661" s="8" t="s">
        <v>53</v>
      </c>
      <c r="J661" s="8" t="s">
        <v>90</v>
      </c>
      <c r="K661" s="8" t="s">
        <v>2687</v>
      </c>
      <c r="L661" s="7">
        <v>7399</v>
      </c>
      <c r="M661" s="10" t="str">
        <f t="shared" si="60"/>
        <v>CMI02070100</v>
      </c>
      <c r="N661" s="10" t="str">
        <f t="shared" si="61"/>
        <v>SEG221000</v>
      </c>
      <c r="O661" s="10" t="str">
        <f t="shared" si="62"/>
        <v>E</v>
      </c>
      <c r="P661" s="10" t="str">
        <f t="shared" si="63"/>
        <v>50</v>
      </c>
      <c r="Q661" s="10" t="str">
        <f t="shared" si="64"/>
        <v>ZSEG</v>
      </c>
      <c r="R661" s="10" t="str">
        <f t="shared" si="65"/>
        <v>46161511</v>
      </c>
    </row>
    <row r="662" spans="1:18" ht="38.25" hidden="1" x14ac:dyDescent="0.2">
      <c r="A662" s="21" t="s">
        <v>2686</v>
      </c>
      <c r="B662" s="8" t="s">
        <v>2685</v>
      </c>
      <c r="C662" s="8" t="s">
        <v>40</v>
      </c>
      <c r="D662" s="8" t="s">
        <v>224</v>
      </c>
      <c r="E662" s="8" t="s">
        <v>40</v>
      </c>
      <c r="F662" s="8" t="s">
        <v>39</v>
      </c>
      <c r="G662" s="8" t="s">
        <v>220</v>
      </c>
      <c r="H662" s="8" t="s">
        <v>37</v>
      </c>
      <c r="I662" s="8" t="s">
        <v>53</v>
      </c>
      <c r="J662" s="8" t="s">
        <v>90</v>
      </c>
      <c r="K662" s="8" t="s">
        <v>2684</v>
      </c>
      <c r="L662" s="7">
        <v>7400</v>
      </c>
      <c r="M662" s="10" t="str">
        <f t="shared" si="60"/>
        <v>CMI02170100</v>
      </c>
      <c r="N662" s="10" t="str">
        <f t="shared" si="61"/>
        <v>SEG221000</v>
      </c>
      <c r="O662" s="10" t="str">
        <f t="shared" si="62"/>
        <v>E</v>
      </c>
      <c r="P662" s="10" t="str">
        <f t="shared" si="63"/>
        <v>50</v>
      </c>
      <c r="Q662" s="10" t="str">
        <f t="shared" si="64"/>
        <v>ZSEG</v>
      </c>
      <c r="R662" s="10" t="str">
        <f t="shared" si="65"/>
        <v>42311505</v>
      </c>
    </row>
    <row r="663" spans="1:18" ht="38.25" hidden="1" x14ac:dyDescent="0.2">
      <c r="A663" s="21" t="s">
        <v>2683</v>
      </c>
      <c r="B663" s="8" t="s">
        <v>2682</v>
      </c>
      <c r="C663" s="8" t="s">
        <v>40</v>
      </c>
      <c r="D663" s="8" t="s">
        <v>224</v>
      </c>
      <c r="E663" s="8" t="s">
        <v>40</v>
      </c>
      <c r="F663" s="8" t="s">
        <v>39</v>
      </c>
      <c r="G663" s="8" t="s">
        <v>220</v>
      </c>
      <c r="H663" s="8" t="s">
        <v>37</v>
      </c>
      <c r="I663" s="8" t="s">
        <v>53</v>
      </c>
      <c r="J663" s="8" t="s">
        <v>90</v>
      </c>
      <c r="K663" s="8" t="s">
        <v>654</v>
      </c>
      <c r="L663" s="7">
        <v>7401</v>
      </c>
      <c r="M663" s="10" t="str">
        <f t="shared" si="60"/>
        <v>CMI02170100</v>
      </c>
      <c r="N663" s="10" t="str">
        <f t="shared" si="61"/>
        <v>SEG221000</v>
      </c>
      <c r="O663" s="10" t="str">
        <f t="shared" si="62"/>
        <v>E</v>
      </c>
      <c r="P663" s="10" t="str">
        <f t="shared" si="63"/>
        <v>50</v>
      </c>
      <c r="Q663" s="10" t="str">
        <f t="shared" si="64"/>
        <v>ZSEG</v>
      </c>
      <c r="R663" s="10" t="str">
        <f t="shared" si="65"/>
        <v>42311506</v>
      </c>
    </row>
    <row r="664" spans="1:18" ht="38.25" hidden="1" x14ac:dyDescent="0.2">
      <c r="A664" s="21" t="s">
        <v>2681</v>
      </c>
      <c r="B664" s="8" t="s">
        <v>2680</v>
      </c>
      <c r="C664" s="8" t="s">
        <v>40</v>
      </c>
      <c r="D664" s="8" t="s">
        <v>224</v>
      </c>
      <c r="E664" s="7">
        <v>6</v>
      </c>
      <c r="F664" s="8" t="s">
        <v>39</v>
      </c>
      <c r="G664" s="8" t="s">
        <v>220</v>
      </c>
      <c r="H664" s="8" t="s">
        <v>37</v>
      </c>
      <c r="I664" s="8" t="s">
        <v>36</v>
      </c>
      <c r="J664" s="8" t="s">
        <v>90</v>
      </c>
      <c r="K664" s="8" t="s">
        <v>2679</v>
      </c>
      <c r="L664" s="7">
        <v>7402</v>
      </c>
      <c r="M664" s="10" t="str">
        <f t="shared" si="60"/>
        <v>CMI02170100</v>
      </c>
      <c r="N664" s="10" t="str">
        <f t="shared" si="61"/>
        <v>SEG221000</v>
      </c>
      <c r="O664" s="10" t="str">
        <f t="shared" si="62"/>
        <v>E</v>
      </c>
      <c r="P664" s="10" t="str">
        <f t="shared" si="63"/>
        <v>10</v>
      </c>
      <c r="Q664" s="10" t="str">
        <f t="shared" si="64"/>
        <v>ZSEG</v>
      </c>
      <c r="R664" s="10" t="str">
        <f t="shared" si="65"/>
        <v>42172001</v>
      </c>
    </row>
    <row r="665" spans="1:18" ht="38.25" hidden="1" x14ac:dyDescent="0.2">
      <c r="A665" s="21" t="s">
        <v>2678</v>
      </c>
      <c r="B665" s="8" t="s">
        <v>2677</v>
      </c>
      <c r="C665" s="8" t="s">
        <v>40</v>
      </c>
      <c r="D665" s="8" t="s">
        <v>224</v>
      </c>
      <c r="E665" s="8" t="s">
        <v>40</v>
      </c>
      <c r="F665" s="8" t="s">
        <v>39</v>
      </c>
      <c r="G665" s="8" t="s">
        <v>220</v>
      </c>
      <c r="H665" s="8" t="s">
        <v>37</v>
      </c>
      <c r="I665" s="8" t="s">
        <v>53</v>
      </c>
      <c r="J665" s="8" t="s">
        <v>90</v>
      </c>
      <c r="K665" s="8" t="s">
        <v>2676</v>
      </c>
      <c r="L665" s="7">
        <v>7403</v>
      </c>
      <c r="M665" s="10" t="str">
        <f t="shared" si="60"/>
        <v>CMI02170100</v>
      </c>
      <c r="N665" s="10" t="str">
        <f t="shared" si="61"/>
        <v>SEG221000</v>
      </c>
      <c r="O665" s="10" t="str">
        <f t="shared" si="62"/>
        <v>E</v>
      </c>
      <c r="P665" s="10" t="str">
        <f t="shared" si="63"/>
        <v>50</v>
      </c>
      <c r="Q665" s="10" t="str">
        <f t="shared" si="64"/>
        <v>ZSEG</v>
      </c>
      <c r="R665" s="10" t="str">
        <f t="shared" si="65"/>
        <v>42311512</v>
      </c>
    </row>
    <row r="666" spans="1:18" ht="38.25" hidden="1" x14ac:dyDescent="0.2">
      <c r="A666" s="21" t="s">
        <v>2675</v>
      </c>
      <c r="B666" s="8" t="s">
        <v>2674</v>
      </c>
      <c r="C666" s="8" t="s">
        <v>40</v>
      </c>
      <c r="D666" s="8" t="s">
        <v>224</v>
      </c>
      <c r="E666" s="8" t="s">
        <v>40</v>
      </c>
      <c r="F666" s="8" t="s">
        <v>39</v>
      </c>
      <c r="G666" s="8" t="s">
        <v>220</v>
      </c>
      <c r="H666" s="8" t="s">
        <v>37</v>
      </c>
      <c r="I666" s="8" t="s">
        <v>53</v>
      </c>
      <c r="J666" s="8" t="s">
        <v>90</v>
      </c>
      <c r="K666" s="8" t="s">
        <v>2673</v>
      </c>
      <c r="L666" s="7">
        <v>7404</v>
      </c>
      <c r="M666" s="10" t="str">
        <f t="shared" si="60"/>
        <v>CMI02170100</v>
      </c>
      <c r="N666" s="10" t="str">
        <f t="shared" si="61"/>
        <v>SEG221000</v>
      </c>
      <c r="O666" s="10" t="str">
        <f t="shared" si="62"/>
        <v>E</v>
      </c>
      <c r="P666" s="10" t="str">
        <f t="shared" si="63"/>
        <v>50</v>
      </c>
      <c r="Q666" s="10" t="str">
        <f t="shared" si="64"/>
        <v>ZSEG</v>
      </c>
      <c r="R666" s="10" t="str">
        <f t="shared" si="65"/>
        <v>42171608</v>
      </c>
    </row>
    <row r="667" spans="1:18" ht="38.25" hidden="1" x14ac:dyDescent="0.2">
      <c r="A667" s="21" t="s">
        <v>2672</v>
      </c>
      <c r="B667" s="8" t="s">
        <v>2671</v>
      </c>
      <c r="C667" s="8" t="s">
        <v>40</v>
      </c>
      <c r="D667" s="8" t="s">
        <v>224</v>
      </c>
      <c r="E667" s="8" t="s">
        <v>40</v>
      </c>
      <c r="F667" s="8" t="s">
        <v>39</v>
      </c>
      <c r="G667" s="8" t="s">
        <v>220</v>
      </c>
      <c r="H667" s="8" t="s">
        <v>37</v>
      </c>
      <c r="I667" s="8" t="s">
        <v>53</v>
      </c>
      <c r="J667" s="8" t="s">
        <v>90</v>
      </c>
      <c r="K667" s="8" t="s">
        <v>2670</v>
      </c>
      <c r="L667" s="7">
        <v>7405</v>
      </c>
      <c r="M667" s="10" t="str">
        <f t="shared" si="60"/>
        <v>CMI02170100</v>
      </c>
      <c r="N667" s="10" t="str">
        <f t="shared" si="61"/>
        <v>SEG221000</v>
      </c>
      <c r="O667" s="10" t="str">
        <f t="shared" si="62"/>
        <v>E</v>
      </c>
      <c r="P667" s="10" t="str">
        <f t="shared" si="63"/>
        <v>50</v>
      </c>
      <c r="Q667" s="10" t="str">
        <f t="shared" si="64"/>
        <v>ZSEG</v>
      </c>
      <c r="R667" s="10" t="str">
        <f t="shared" si="65"/>
        <v>46182002</v>
      </c>
    </row>
    <row r="668" spans="1:18" ht="38.25" hidden="1" x14ac:dyDescent="0.2">
      <c r="A668" s="21" t="s">
        <v>2669</v>
      </c>
      <c r="B668" s="8" t="s">
        <v>2668</v>
      </c>
      <c r="C668" s="8" t="s">
        <v>40</v>
      </c>
      <c r="D668" s="8" t="s">
        <v>224</v>
      </c>
      <c r="E668" s="8" t="s">
        <v>40</v>
      </c>
      <c r="F668" s="8" t="s">
        <v>39</v>
      </c>
      <c r="G668" s="8" t="s">
        <v>220</v>
      </c>
      <c r="H668" s="8" t="s">
        <v>37</v>
      </c>
      <c r="I668" s="8" t="s">
        <v>53</v>
      </c>
      <c r="J668" s="8" t="s">
        <v>90</v>
      </c>
      <c r="K668" s="8" t="s">
        <v>2667</v>
      </c>
      <c r="L668" s="7">
        <v>7406</v>
      </c>
      <c r="M668" s="10" t="str">
        <f t="shared" si="60"/>
        <v>CMI02170100</v>
      </c>
      <c r="N668" s="10" t="str">
        <f t="shared" si="61"/>
        <v>SEG221000</v>
      </c>
      <c r="O668" s="10" t="str">
        <f t="shared" si="62"/>
        <v>E</v>
      </c>
      <c r="P668" s="10" t="str">
        <f t="shared" si="63"/>
        <v>50</v>
      </c>
      <c r="Q668" s="10" t="str">
        <f t="shared" si="64"/>
        <v>ZSEG</v>
      </c>
      <c r="R668" s="10" t="str">
        <f t="shared" si="65"/>
        <v>46181901</v>
      </c>
    </row>
    <row r="669" spans="1:18" ht="38.25" hidden="1" x14ac:dyDescent="0.2">
      <c r="A669" s="21" t="s">
        <v>2666</v>
      </c>
      <c r="B669" s="8" t="s">
        <v>2665</v>
      </c>
      <c r="C669" s="8" t="s">
        <v>40</v>
      </c>
      <c r="D669" s="8" t="s">
        <v>55</v>
      </c>
      <c r="E669" s="8" t="s">
        <v>40</v>
      </c>
      <c r="F669" s="8" t="s">
        <v>39</v>
      </c>
      <c r="G669" s="8" t="s">
        <v>220</v>
      </c>
      <c r="H669" s="8" t="s">
        <v>37</v>
      </c>
      <c r="I669" s="8" t="s">
        <v>53</v>
      </c>
      <c r="J669" s="8" t="s">
        <v>90</v>
      </c>
      <c r="K669" s="8" t="s">
        <v>2664</v>
      </c>
      <c r="L669" s="7">
        <v>7407</v>
      </c>
      <c r="M669" s="10" t="str">
        <f t="shared" si="60"/>
        <v>CMI02140300</v>
      </c>
      <c r="N669" s="10" t="str">
        <f t="shared" si="61"/>
        <v>SEG221000</v>
      </c>
      <c r="O669" s="10" t="str">
        <f t="shared" si="62"/>
        <v>E</v>
      </c>
      <c r="P669" s="10" t="str">
        <f t="shared" si="63"/>
        <v>50</v>
      </c>
      <c r="Q669" s="10" t="str">
        <f t="shared" si="64"/>
        <v>ZSEG</v>
      </c>
      <c r="R669" s="10" t="str">
        <f t="shared" si="65"/>
        <v>41113038</v>
      </c>
    </row>
    <row r="670" spans="1:18" ht="38.25" hidden="1" x14ac:dyDescent="0.2">
      <c r="A670" s="21" t="s">
        <v>2663</v>
      </c>
      <c r="B670" s="8" t="s">
        <v>2662</v>
      </c>
      <c r="C670" s="8" t="s">
        <v>40</v>
      </c>
      <c r="D670" s="8" t="s">
        <v>2396</v>
      </c>
      <c r="E670" s="8" t="s">
        <v>40</v>
      </c>
      <c r="F670" s="8" t="s">
        <v>39</v>
      </c>
      <c r="G670" s="8" t="s">
        <v>220</v>
      </c>
      <c r="H670" s="8" t="s">
        <v>37</v>
      </c>
      <c r="I670" s="8" t="s">
        <v>53</v>
      </c>
      <c r="J670" s="8" t="s">
        <v>90</v>
      </c>
      <c r="K670" s="8" t="s">
        <v>2661</v>
      </c>
      <c r="L670" s="7">
        <v>7408</v>
      </c>
      <c r="M670" s="10" t="str">
        <f t="shared" si="60"/>
        <v>CMI02052100</v>
      </c>
      <c r="N670" s="10" t="str">
        <f t="shared" si="61"/>
        <v>SEG221000</v>
      </c>
      <c r="O670" s="10" t="str">
        <f t="shared" si="62"/>
        <v>E</v>
      </c>
      <c r="P670" s="10" t="str">
        <f t="shared" si="63"/>
        <v>50</v>
      </c>
      <c r="Q670" s="10" t="str">
        <f t="shared" si="64"/>
        <v>ZSEG</v>
      </c>
      <c r="R670" s="10" t="str">
        <f t="shared" si="65"/>
        <v>41122703</v>
      </c>
    </row>
    <row r="671" spans="1:18" ht="38.25" hidden="1" x14ac:dyDescent="0.2">
      <c r="A671" s="21" t="s">
        <v>2660</v>
      </c>
      <c r="B671" s="8" t="s">
        <v>2659</v>
      </c>
      <c r="C671" s="8" t="s">
        <v>40</v>
      </c>
      <c r="D671" s="8" t="s">
        <v>2658</v>
      </c>
      <c r="E671" s="8" t="s">
        <v>40</v>
      </c>
      <c r="F671" s="8" t="s">
        <v>39</v>
      </c>
      <c r="G671" s="8" t="s">
        <v>220</v>
      </c>
      <c r="H671" s="8" t="s">
        <v>37</v>
      </c>
      <c r="I671" s="8" t="s">
        <v>53</v>
      </c>
      <c r="J671" s="8" t="s">
        <v>90</v>
      </c>
      <c r="K671" s="8" t="s">
        <v>2657</v>
      </c>
      <c r="L671" s="7">
        <v>7409</v>
      </c>
      <c r="M671" s="10" t="str">
        <f t="shared" si="60"/>
        <v>CMI01010400</v>
      </c>
      <c r="N671" s="10" t="str">
        <f t="shared" si="61"/>
        <v>SEG221000</v>
      </c>
      <c r="O671" s="10" t="str">
        <f t="shared" si="62"/>
        <v>E</v>
      </c>
      <c r="P671" s="10" t="str">
        <f t="shared" si="63"/>
        <v>50</v>
      </c>
      <c r="Q671" s="10" t="str">
        <f t="shared" si="64"/>
        <v>ZSEG</v>
      </c>
      <c r="R671" s="10" t="str">
        <f t="shared" si="65"/>
        <v>43230000</v>
      </c>
    </row>
    <row r="672" spans="1:18" ht="38.25" hidden="1" x14ac:dyDescent="0.2">
      <c r="A672" s="21" t="s">
        <v>2656</v>
      </c>
      <c r="B672" s="8" t="s">
        <v>2655</v>
      </c>
      <c r="C672" s="8" t="s">
        <v>40</v>
      </c>
      <c r="D672" s="8" t="s">
        <v>224</v>
      </c>
      <c r="E672" s="8" t="s">
        <v>40</v>
      </c>
      <c r="F672" s="8" t="s">
        <v>39</v>
      </c>
      <c r="G672" s="8" t="s">
        <v>91</v>
      </c>
      <c r="H672" s="8" t="s">
        <v>37</v>
      </c>
      <c r="I672" s="8" t="s">
        <v>53</v>
      </c>
      <c r="J672" s="8" t="s">
        <v>90</v>
      </c>
      <c r="K672" s="8" t="s">
        <v>2654</v>
      </c>
      <c r="L672" s="7">
        <v>7410</v>
      </c>
      <c r="M672" s="10" t="str">
        <f t="shared" si="60"/>
        <v>CMI02170100</v>
      </c>
      <c r="N672" s="10" t="str">
        <f t="shared" si="61"/>
        <v>SEG221100</v>
      </c>
      <c r="O672" s="10" t="str">
        <f t="shared" si="62"/>
        <v>E</v>
      </c>
      <c r="P672" s="10" t="str">
        <f t="shared" si="63"/>
        <v>50</v>
      </c>
      <c r="Q672" s="10" t="str">
        <f t="shared" si="64"/>
        <v>ZSEG</v>
      </c>
      <c r="R672" s="10" t="str">
        <f t="shared" si="65"/>
        <v>46181507</v>
      </c>
    </row>
    <row r="673" spans="1:18" ht="38.25" hidden="1" x14ac:dyDescent="0.2">
      <c r="A673" s="21" t="s">
        <v>2653</v>
      </c>
      <c r="B673" s="8" t="s">
        <v>2652</v>
      </c>
      <c r="C673" s="8" t="s">
        <v>40</v>
      </c>
      <c r="D673" s="8" t="s">
        <v>224</v>
      </c>
      <c r="E673" s="8" t="s">
        <v>40</v>
      </c>
      <c r="F673" s="8" t="s">
        <v>39</v>
      </c>
      <c r="G673" s="8" t="s">
        <v>220</v>
      </c>
      <c r="H673" s="8" t="s">
        <v>37</v>
      </c>
      <c r="I673" s="8" t="s">
        <v>53</v>
      </c>
      <c r="J673" s="8" t="s">
        <v>90</v>
      </c>
      <c r="K673" s="8" t="s">
        <v>2651</v>
      </c>
      <c r="L673" s="7">
        <v>7411</v>
      </c>
      <c r="M673" s="10" t="str">
        <f t="shared" si="60"/>
        <v>CMI02170100</v>
      </c>
      <c r="N673" s="10" t="str">
        <f t="shared" si="61"/>
        <v>SEG221000</v>
      </c>
      <c r="O673" s="10" t="str">
        <f t="shared" si="62"/>
        <v>E</v>
      </c>
      <c r="P673" s="10" t="str">
        <f t="shared" si="63"/>
        <v>50</v>
      </c>
      <c r="Q673" s="10" t="str">
        <f t="shared" si="64"/>
        <v>ZSEG</v>
      </c>
      <c r="R673" s="10" t="str">
        <f t="shared" si="65"/>
        <v>46181604</v>
      </c>
    </row>
    <row r="674" spans="1:18" ht="38.25" hidden="1" x14ac:dyDescent="0.2">
      <c r="A674" s="21" t="s">
        <v>2650</v>
      </c>
      <c r="B674" s="8" t="s">
        <v>2649</v>
      </c>
      <c r="C674" s="8" t="s">
        <v>40</v>
      </c>
      <c r="D674" s="8" t="s">
        <v>224</v>
      </c>
      <c r="E674" s="8" t="s">
        <v>40</v>
      </c>
      <c r="F674" s="8" t="s">
        <v>39</v>
      </c>
      <c r="G674" s="8" t="s">
        <v>91</v>
      </c>
      <c r="H674" s="8" t="s">
        <v>37</v>
      </c>
      <c r="I674" s="8" t="s">
        <v>53</v>
      </c>
      <c r="J674" s="8" t="s">
        <v>90</v>
      </c>
      <c r="K674" s="8" t="s">
        <v>2648</v>
      </c>
      <c r="L674" s="7">
        <v>7412</v>
      </c>
      <c r="M674" s="10" t="str">
        <f t="shared" si="60"/>
        <v>CMI02170100</v>
      </c>
      <c r="N674" s="10" t="str">
        <f t="shared" si="61"/>
        <v>SEG221100</v>
      </c>
      <c r="O674" s="10" t="str">
        <f t="shared" si="62"/>
        <v>E</v>
      </c>
      <c r="P674" s="10" t="str">
        <f t="shared" si="63"/>
        <v>50</v>
      </c>
      <c r="Q674" s="10" t="str">
        <f t="shared" si="64"/>
        <v>ZSEG</v>
      </c>
      <c r="R674" s="10" t="str">
        <f t="shared" si="65"/>
        <v>46181503</v>
      </c>
    </row>
    <row r="675" spans="1:18" ht="38.25" hidden="1" x14ac:dyDescent="0.2">
      <c r="A675" s="21" t="s">
        <v>2647</v>
      </c>
      <c r="B675" s="8" t="s">
        <v>2646</v>
      </c>
      <c r="C675" s="8" t="s">
        <v>40</v>
      </c>
      <c r="D675" s="8" t="s">
        <v>224</v>
      </c>
      <c r="E675" s="8" t="s">
        <v>40</v>
      </c>
      <c r="F675" s="8" t="s">
        <v>39</v>
      </c>
      <c r="G675" s="8" t="s">
        <v>220</v>
      </c>
      <c r="H675" s="8" t="s">
        <v>37</v>
      </c>
      <c r="I675" s="8" t="s">
        <v>53</v>
      </c>
      <c r="J675" s="8" t="s">
        <v>90</v>
      </c>
      <c r="K675" s="8" t="s">
        <v>2645</v>
      </c>
      <c r="L675" s="7">
        <v>7413</v>
      </c>
      <c r="M675" s="10" t="str">
        <f t="shared" si="60"/>
        <v>CMI02170100</v>
      </c>
      <c r="N675" s="10" t="str">
        <f t="shared" si="61"/>
        <v>SEG221000</v>
      </c>
      <c r="O675" s="10" t="str">
        <f t="shared" si="62"/>
        <v>E</v>
      </c>
      <c r="P675" s="10" t="str">
        <f t="shared" si="63"/>
        <v>50</v>
      </c>
      <c r="Q675" s="10" t="str">
        <f t="shared" si="64"/>
        <v>ZSEG</v>
      </c>
      <c r="R675" s="10" t="str">
        <f t="shared" si="65"/>
        <v>46181522</v>
      </c>
    </row>
    <row r="676" spans="1:18" ht="38.25" hidden="1" x14ac:dyDescent="0.2">
      <c r="A676" s="21" t="s">
        <v>2644</v>
      </c>
      <c r="B676" s="8" t="s">
        <v>2643</v>
      </c>
      <c r="C676" s="8" t="s">
        <v>40</v>
      </c>
      <c r="D676" s="8" t="s">
        <v>74</v>
      </c>
      <c r="E676" s="8" t="s">
        <v>40</v>
      </c>
      <c r="F676" s="8" t="s">
        <v>39</v>
      </c>
      <c r="G676" s="8" t="s">
        <v>220</v>
      </c>
      <c r="H676" s="8" t="s">
        <v>37</v>
      </c>
      <c r="I676" s="8" t="s">
        <v>53</v>
      </c>
      <c r="J676" s="8" t="s">
        <v>90</v>
      </c>
      <c r="K676" s="8" t="s">
        <v>223</v>
      </c>
      <c r="L676" s="7">
        <v>7414</v>
      </c>
      <c r="M676" s="10" t="str">
        <f t="shared" si="60"/>
        <v>CMI02170300</v>
      </c>
      <c r="N676" s="10" t="str">
        <f t="shared" si="61"/>
        <v>SEG221000</v>
      </c>
      <c r="O676" s="10" t="str">
        <f t="shared" si="62"/>
        <v>E</v>
      </c>
      <c r="P676" s="10" t="str">
        <f t="shared" si="63"/>
        <v>50</v>
      </c>
      <c r="Q676" s="10" t="str">
        <f t="shared" si="64"/>
        <v>ZSEG</v>
      </c>
      <c r="R676" s="10" t="str">
        <f t="shared" si="65"/>
        <v>46181704</v>
      </c>
    </row>
    <row r="677" spans="1:18" ht="38.25" hidden="1" x14ac:dyDescent="0.2">
      <c r="A677" s="21" t="s">
        <v>2642</v>
      </c>
      <c r="B677" s="8" t="s">
        <v>2641</v>
      </c>
      <c r="C677" s="8" t="s">
        <v>40</v>
      </c>
      <c r="D677" s="8" t="s">
        <v>224</v>
      </c>
      <c r="E677" s="8" t="s">
        <v>40</v>
      </c>
      <c r="F677" s="8" t="s">
        <v>39</v>
      </c>
      <c r="G677" s="8" t="s">
        <v>91</v>
      </c>
      <c r="H677" s="8" t="s">
        <v>37</v>
      </c>
      <c r="I677" s="8" t="s">
        <v>53</v>
      </c>
      <c r="J677" s="8" t="s">
        <v>90</v>
      </c>
      <c r="K677" s="8" t="s">
        <v>2640</v>
      </c>
      <c r="L677" s="7">
        <v>7415</v>
      </c>
      <c r="M677" s="10" t="str">
        <f t="shared" si="60"/>
        <v>CMI02170100</v>
      </c>
      <c r="N677" s="10" t="str">
        <f t="shared" si="61"/>
        <v>SEG221100</v>
      </c>
      <c r="O677" s="10" t="str">
        <f t="shared" si="62"/>
        <v>E</v>
      </c>
      <c r="P677" s="10" t="str">
        <f t="shared" si="63"/>
        <v>50</v>
      </c>
      <c r="Q677" s="10" t="str">
        <f t="shared" si="64"/>
        <v>ZSEG</v>
      </c>
      <c r="R677" s="10" t="str">
        <f t="shared" si="65"/>
        <v>53101802</v>
      </c>
    </row>
    <row r="678" spans="1:18" ht="38.25" hidden="1" x14ac:dyDescent="0.2">
      <c r="A678" s="21" t="s">
        <v>2639</v>
      </c>
      <c r="B678" s="8" t="s">
        <v>2638</v>
      </c>
      <c r="C678" s="8" t="s">
        <v>40</v>
      </c>
      <c r="D678" s="8" t="s">
        <v>224</v>
      </c>
      <c r="E678" s="8" t="s">
        <v>40</v>
      </c>
      <c r="F678" s="8" t="s">
        <v>39</v>
      </c>
      <c r="G678" s="8" t="s">
        <v>220</v>
      </c>
      <c r="H678" s="8" t="s">
        <v>37</v>
      </c>
      <c r="I678" s="8" t="s">
        <v>53</v>
      </c>
      <c r="J678" s="8" t="s">
        <v>90</v>
      </c>
      <c r="K678" s="8" t="s">
        <v>2637</v>
      </c>
      <c r="L678" s="7">
        <v>7416</v>
      </c>
      <c r="M678" s="10" t="str">
        <f t="shared" si="60"/>
        <v>CMI02170100</v>
      </c>
      <c r="N678" s="10" t="str">
        <f t="shared" si="61"/>
        <v>SEG221000</v>
      </c>
      <c r="O678" s="10" t="str">
        <f t="shared" si="62"/>
        <v>E</v>
      </c>
      <c r="P678" s="10" t="str">
        <f t="shared" si="63"/>
        <v>50</v>
      </c>
      <c r="Q678" s="10" t="str">
        <f t="shared" si="64"/>
        <v>ZSEG</v>
      </c>
      <c r="R678" s="10" t="str">
        <f t="shared" si="65"/>
        <v>46181520</v>
      </c>
    </row>
    <row r="679" spans="1:18" ht="38.25" hidden="1" x14ac:dyDescent="0.2">
      <c r="A679" s="21" t="s">
        <v>2636</v>
      </c>
      <c r="B679" s="8" t="s">
        <v>2635</v>
      </c>
      <c r="C679" s="8" t="s">
        <v>40</v>
      </c>
      <c r="D679" s="8" t="s">
        <v>224</v>
      </c>
      <c r="E679" s="8" t="s">
        <v>40</v>
      </c>
      <c r="F679" s="8" t="s">
        <v>39</v>
      </c>
      <c r="G679" s="8" t="s">
        <v>220</v>
      </c>
      <c r="H679" s="8" t="s">
        <v>37</v>
      </c>
      <c r="I679" s="8" t="s">
        <v>53</v>
      </c>
      <c r="J679" s="8" t="s">
        <v>90</v>
      </c>
      <c r="K679" s="8" t="s">
        <v>2634</v>
      </c>
      <c r="L679" s="7">
        <v>7417</v>
      </c>
      <c r="M679" s="10" t="str">
        <f t="shared" si="60"/>
        <v>CMI02170100</v>
      </c>
      <c r="N679" s="10" t="str">
        <f t="shared" si="61"/>
        <v>SEG221000</v>
      </c>
      <c r="O679" s="10" t="str">
        <f t="shared" si="62"/>
        <v>E</v>
      </c>
      <c r="P679" s="10" t="str">
        <f t="shared" si="63"/>
        <v>50</v>
      </c>
      <c r="Q679" s="10" t="str">
        <f t="shared" si="64"/>
        <v>ZSEG</v>
      </c>
      <c r="R679" s="10" t="str">
        <f t="shared" si="65"/>
        <v>46181706</v>
      </c>
    </row>
    <row r="680" spans="1:18" ht="38.25" hidden="1" x14ac:dyDescent="0.2">
      <c r="A680" s="21" t="s">
        <v>2633</v>
      </c>
      <c r="B680" s="8" t="s">
        <v>2632</v>
      </c>
      <c r="C680" s="8" t="s">
        <v>40</v>
      </c>
      <c r="D680" s="8" t="s">
        <v>92</v>
      </c>
      <c r="E680" s="8" t="s">
        <v>40</v>
      </c>
      <c r="F680" s="8" t="s">
        <v>39</v>
      </c>
      <c r="G680" s="8" t="s">
        <v>91</v>
      </c>
      <c r="H680" s="8" t="s">
        <v>37</v>
      </c>
      <c r="I680" s="8" t="s">
        <v>53</v>
      </c>
      <c r="J680" s="8" t="s">
        <v>90</v>
      </c>
      <c r="K680" s="8" t="s">
        <v>2631</v>
      </c>
      <c r="L680" s="7">
        <v>7418</v>
      </c>
      <c r="M680" s="10" t="str">
        <f t="shared" si="60"/>
        <v>CMI02170400</v>
      </c>
      <c r="N680" s="10" t="str">
        <f t="shared" si="61"/>
        <v>SEG221100</v>
      </c>
      <c r="O680" s="10" t="str">
        <f t="shared" si="62"/>
        <v>E</v>
      </c>
      <c r="P680" s="10" t="str">
        <f t="shared" si="63"/>
        <v>50</v>
      </c>
      <c r="Q680" s="10" t="str">
        <f t="shared" si="64"/>
        <v>ZSEG</v>
      </c>
      <c r="R680" s="10" t="str">
        <f t="shared" si="65"/>
        <v>53101602</v>
      </c>
    </row>
    <row r="681" spans="1:18" ht="38.25" hidden="1" x14ac:dyDescent="0.2">
      <c r="A681" s="21" t="s">
        <v>2630</v>
      </c>
      <c r="B681" s="8" t="s">
        <v>2629</v>
      </c>
      <c r="C681" s="8" t="s">
        <v>40</v>
      </c>
      <c r="D681" s="8" t="s">
        <v>224</v>
      </c>
      <c r="E681" s="8" t="s">
        <v>40</v>
      </c>
      <c r="F681" s="8" t="s">
        <v>39</v>
      </c>
      <c r="G681" s="8" t="s">
        <v>220</v>
      </c>
      <c r="H681" s="8" t="s">
        <v>37</v>
      </c>
      <c r="I681" s="8" t="s">
        <v>53</v>
      </c>
      <c r="J681" s="8" t="s">
        <v>90</v>
      </c>
      <c r="K681" s="8" t="s">
        <v>2628</v>
      </c>
      <c r="L681" s="7">
        <v>7419</v>
      </c>
      <c r="M681" s="10" t="str">
        <f t="shared" si="60"/>
        <v>CMI02170100</v>
      </c>
      <c r="N681" s="10" t="str">
        <f t="shared" si="61"/>
        <v>SEG221000</v>
      </c>
      <c r="O681" s="10" t="str">
        <f t="shared" si="62"/>
        <v>E</v>
      </c>
      <c r="P681" s="10" t="str">
        <f t="shared" si="63"/>
        <v>50</v>
      </c>
      <c r="Q681" s="10" t="str">
        <f t="shared" si="64"/>
        <v>ZSEG</v>
      </c>
      <c r="R681" s="10" t="str">
        <f t="shared" si="65"/>
        <v>46181605</v>
      </c>
    </row>
    <row r="682" spans="1:18" ht="38.25" hidden="1" x14ac:dyDescent="0.2">
      <c r="A682" s="21" t="s">
        <v>2627</v>
      </c>
      <c r="B682" s="8" t="s">
        <v>2626</v>
      </c>
      <c r="C682" s="8" t="s">
        <v>40</v>
      </c>
      <c r="D682" s="8" t="s">
        <v>224</v>
      </c>
      <c r="E682" s="8" t="s">
        <v>40</v>
      </c>
      <c r="F682" s="8" t="s">
        <v>39</v>
      </c>
      <c r="G682" s="8" t="s">
        <v>91</v>
      </c>
      <c r="H682" s="8" t="s">
        <v>37</v>
      </c>
      <c r="I682" s="8" t="s">
        <v>53</v>
      </c>
      <c r="J682" s="8" t="s">
        <v>90</v>
      </c>
      <c r="K682" s="8" t="s">
        <v>2625</v>
      </c>
      <c r="L682" s="7">
        <v>7420</v>
      </c>
      <c r="M682" s="10" t="str">
        <f t="shared" si="60"/>
        <v>CMI02170100</v>
      </c>
      <c r="N682" s="10" t="str">
        <f t="shared" si="61"/>
        <v>SEG221100</v>
      </c>
      <c r="O682" s="10" t="str">
        <f t="shared" si="62"/>
        <v>E</v>
      </c>
      <c r="P682" s="10" t="str">
        <f t="shared" si="63"/>
        <v>50</v>
      </c>
      <c r="Q682" s="10" t="str">
        <f t="shared" si="64"/>
        <v>ZSEG</v>
      </c>
      <c r="R682" s="10" t="str">
        <f t="shared" si="65"/>
        <v>53102501</v>
      </c>
    </row>
    <row r="683" spans="1:18" ht="38.25" hidden="1" x14ac:dyDescent="0.2">
      <c r="A683" s="21" t="s">
        <v>2624</v>
      </c>
      <c r="B683" s="8" t="s">
        <v>2623</v>
      </c>
      <c r="C683" s="8" t="s">
        <v>40</v>
      </c>
      <c r="D683" s="8" t="s">
        <v>92</v>
      </c>
      <c r="E683" s="8" t="s">
        <v>40</v>
      </c>
      <c r="F683" s="8" t="s">
        <v>39</v>
      </c>
      <c r="G683" s="8" t="s">
        <v>91</v>
      </c>
      <c r="H683" s="8" t="s">
        <v>37</v>
      </c>
      <c r="I683" s="8" t="s">
        <v>53</v>
      </c>
      <c r="J683" s="8" t="s">
        <v>90</v>
      </c>
      <c r="K683" s="8" t="s">
        <v>2620</v>
      </c>
      <c r="L683" s="7">
        <v>7421</v>
      </c>
      <c r="M683" s="10" t="str">
        <f t="shared" si="60"/>
        <v>CMI02170400</v>
      </c>
      <c r="N683" s="10" t="str">
        <f t="shared" si="61"/>
        <v>SEG221100</v>
      </c>
      <c r="O683" s="10" t="str">
        <f t="shared" si="62"/>
        <v>E</v>
      </c>
      <c r="P683" s="10" t="str">
        <f t="shared" si="63"/>
        <v>50</v>
      </c>
      <c r="Q683" s="10" t="str">
        <f t="shared" si="64"/>
        <v>ZSEG</v>
      </c>
      <c r="R683" s="10" t="str">
        <f t="shared" si="65"/>
        <v>53101500</v>
      </c>
    </row>
    <row r="684" spans="1:18" ht="38.25" hidden="1" x14ac:dyDescent="0.2">
      <c r="A684" s="21" t="s">
        <v>2622</v>
      </c>
      <c r="B684" s="8" t="s">
        <v>2621</v>
      </c>
      <c r="C684" s="8" t="s">
        <v>40</v>
      </c>
      <c r="D684" s="8" t="s">
        <v>224</v>
      </c>
      <c r="E684" s="8" t="s">
        <v>40</v>
      </c>
      <c r="F684" s="8" t="s">
        <v>39</v>
      </c>
      <c r="G684" s="8" t="s">
        <v>91</v>
      </c>
      <c r="H684" s="8" t="s">
        <v>37</v>
      </c>
      <c r="I684" s="8" t="s">
        <v>53</v>
      </c>
      <c r="J684" s="8" t="s">
        <v>90</v>
      </c>
      <c r="K684" s="8" t="s">
        <v>2620</v>
      </c>
      <c r="L684" s="7">
        <v>7422</v>
      </c>
      <c r="M684" s="10" t="str">
        <f t="shared" si="60"/>
        <v>CMI02170100</v>
      </c>
      <c r="N684" s="10" t="str">
        <f t="shared" si="61"/>
        <v>SEG221100</v>
      </c>
      <c r="O684" s="10" t="str">
        <f t="shared" si="62"/>
        <v>E</v>
      </c>
      <c r="P684" s="10" t="str">
        <f t="shared" si="63"/>
        <v>50</v>
      </c>
      <c r="Q684" s="10" t="str">
        <f t="shared" si="64"/>
        <v>ZSEG</v>
      </c>
      <c r="R684" s="10" t="str">
        <f t="shared" si="65"/>
        <v>53101500</v>
      </c>
    </row>
    <row r="685" spans="1:18" ht="38.25" hidden="1" x14ac:dyDescent="0.2">
      <c r="A685" s="21" t="s">
        <v>2619</v>
      </c>
      <c r="B685" s="8" t="s">
        <v>2618</v>
      </c>
      <c r="C685" s="8" t="s">
        <v>40</v>
      </c>
      <c r="D685" s="8" t="s">
        <v>224</v>
      </c>
      <c r="E685" s="8" t="s">
        <v>40</v>
      </c>
      <c r="F685" s="8" t="s">
        <v>39</v>
      </c>
      <c r="G685" s="8" t="s">
        <v>220</v>
      </c>
      <c r="H685" s="8" t="s">
        <v>37</v>
      </c>
      <c r="I685" s="8" t="s">
        <v>53</v>
      </c>
      <c r="J685" s="8" t="s">
        <v>90</v>
      </c>
      <c r="K685" s="8" t="s">
        <v>2617</v>
      </c>
      <c r="L685" s="7">
        <v>7423</v>
      </c>
      <c r="M685" s="10" t="str">
        <f t="shared" si="60"/>
        <v>CMI02170100</v>
      </c>
      <c r="N685" s="10" t="str">
        <f t="shared" si="61"/>
        <v>SEG221000</v>
      </c>
      <c r="O685" s="10" t="str">
        <f t="shared" si="62"/>
        <v>E</v>
      </c>
      <c r="P685" s="10" t="str">
        <f t="shared" si="63"/>
        <v>50</v>
      </c>
      <c r="Q685" s="10" t="str">
        <f t="shared" si="64"/>
        <v>ZSEG</v>
      </c>
      <c r="R685" s="10" t="str">
        <f t="shared" si="65"/>
        <v>46181531</v>
      </c>
    </row>
    <row r="686" spans="1:18" ht="38.25" hidden="1" x14ac:dyDescent="0.2">
      <c r="A686" s="21" t="s">
        <v>2616</v>
      </c>
      <c r="B686" s="8" t="s">
        <v>2615</v>
      </c>
      <c r="C686" s="8" t="s">
        <v>40</v>
      </c>
      <c r="D686" s="8" t="s">
        <v>224</v>
      </c>
      <c r="E686" s="8" t="s">
        <v>40</v>
      </c>
      <c r="F686" s="8" t="s">
        <v>39</v>
      </c>
      <c r="G686" s="8" t="s">
        <v>220</v>
      </c>
      <c r="H686" s="8" t="s">
        <v>37</v>
      </c>
      <c r="I686" s="8" t="s">
        <v>53</v>
      </c>
      <c r="J686" s="8" t="s">
        <v>90</v>
      </c>
      <c r="K686" s="8" t="s">
        <v>2614</v>
      </c>
      <c r="L686" s="7">
        <v>7424</v>
      </c>
      <c r="M686" s="10" t="str">
        <f t="shared" si="60"/>
        <v>CMI02170100</v>
      </c>
      <c r="N686" s="10" t="str">
        <f t="shared" si="61"/>
        <v>SEG221000</v>
      </c>
      <c r="O686" s="10" t="str">
        <f t="shared" si="62"/>
        <v>E</v>
      </c>
      <c r="P686" s="10" t="str">
        <f t="shared" si="63"/>
        <v>50</v>
      </c>
      <c r="Q686" s="10" t="str">
        <f t="shared" si="64"/>
        <v>ZSEG</v>
      </c>
      <c r="R686" s="10" t="str">
        <f t="shared" si="65"/>
        <v>46161604</v>
      </c>
    </row>
    <row r="687" spans="1:18" ht="38.25" hidden="1" x14ac:dyDescent="0.2">
      <c r="A687" s="21" t="s">
        <v>2613</v>
      </c>
      <c r="B687" s="8" t="s">
        <v>2612</v>
      </c>
      <c r="C687" s="8" t="s">
        <v>40</v>
      </c>
      <c r="D687" s="8" t="s">
        <v>1075</v>
      </c>
      <c r="E687" s="8" t="s">
        <v>40</v>
      </c>
      <c r="F687" s="8" t="s">
        <v>39</v>
      </c>
      <c r="G687" s="8" t="s">
        <v>220</v>
      </c>
      <c r="H687" s="8" t="s">
        <v>37</v>
      </c>
      <c r="I687" s="8" t="s">
        <v>53</v>
      </c>
      <c r="J687" s="8" t="s">
        <v>90</v>
      </c>
      <c r="K687" s="8" t="s">
        <v>2611</v>
      </c>
      <c r="L687" s="7">
        <v>7425</v>
      </c>
      <c r="M687" s="10" t="str">
        <f t="shared" si="60"/>
        <v>CMI02052300</v>
      </c>
      <c r="N687" s="10" t="str">
        <f t="shared" si="61"/>
        <v>SEG221000</v>
      </c>
      <c r="O687" s="10" t="str">
        <f t="shared" si="62"/>
        <v>E</v>
      </c>
      <c r="P687" s="10" t="str">
        <f t="shared" si="63"/>
        <v>50</v>
      </c>
      <c r="Q687" s="10" t="str">
        <f t="shared" si="64"/>
        <v>ZSEG</v>
      </c>
      <c r="R687" s="10" t="str">
        <f t="shared" si="65"/>
        <v>30171706</v>
      </c>
    </row>
    <row r="688" spans="1:18" ht="38.25" hidden="1" x14ac:dyDescent="0.2">
      <c r="A688" s="21" t="s">
        <v>2610</v>
      </c>
      <c r="B688" s="8" t="s">
        <v>2609</v>
      </c>
      <c r="C688" s="8" t="s">
        <v>40</v>
      </c>
      <c r="D688" s="8" t="s">
        <v>2396</v>
      </c>
      <c r="E688" s="8" t="s">
        <v>40</v>
      </c>
      <c r="F688" s="8" t="s">
        <v>39</v>
      </c>
      <c r="G688" s="8" t="s">
        <v>220</v>
      </c>
      <c r="H688" s="8" t="s">
        <v>37</v>
      </c>
      <c r="I688" s="8" t="s">
        <v>53</v>
      </c>
      <c r="J688" s="8" t="s">
        <v>90</v>
      </c>
      <c r="K688" s="8" t="s">
        <v>2608</v>
      </c>
      <c r="L688" s="7">
        <v>7426</v>
      </c>
      <c r="M688" s="10" t="str">
        <f t="shared" si="60"/>
        <v>CMI02052100</v>
      </c>
      <c r="N688" s="10" t="str">
        <f t="shared" si="61"/>
        <v>SEG221000</v>
      </c>
      <c r="O688" s="10" t="str">
        <f t="shared" si="62"/>
        <v>E</v>
      </c>
      <c r="P688" s="10" t="str">
        <f t="shared" si="63"/>
        <v>50</v>
      </c>
      <c r="Q688" s="10" t="str">
        <f t="shared" si="64"/>
        <v>ZSEG</v>
      </c>
      <c r="R688" s="10" t="str">
        <f t="shared" si="65"/>
        <v>31201516</v>
      </c>
    </row>
    <row r="689" spans="1:18" ht="38.25" hidden="1" x14ac:dyDescent="0.2">
      <c r="A689" s="21" t="s">
        <v>2607</v>
      </c>
      <c r="B689" s="8" t="s">
        <v>2606</v>
      </c>
      <c r="C689" s="8" t="s">
        <v>40</v>
      </c>
      <c r="D689" s="8" t="s">
        <v>224</v>
      </c>
      <c r="E689" s="8" t="s">
        <v>40</v>
      </c>
      <c r="F689" s="8" t="s">
        <v>39</v>
      </c>
      <c r="G689" s="8" t="s">
        <v>91</v>
      </c>
      <c r="H689" s="8" t="s">
        <v>37</v>
      </c>
      <c r="I689" s="8" t="s">
        <v>53</v>
      </c>
      <c r="J689" s="8" t="s">
        <v>90</v>
      </c>
      <c r="K689" s="8" t="s">
        <v>2544</v>
      </c>
      <c r="L689" s="7">
        <v>7427</v>
      </c>
      <c r="M689" s="10" t="str">
        <f t="shared" si="60"/>
        <v>CMI02170100</v>
      </c>
      <c r="N689" s="10" t="str">
        <f t="shared" si="61"/>
        <v>SEG221100</v>
      </c>
      <c r="O689" s="10" t="str">
        <f t="shared" si="62"/>
        <v>E</v>
      </c>
      <c r="P689" s="10" t="str">
        <f t="shared" si="63"/>
        <v>50</v>
      </c>
      <c r="Q689" s="10" t="str">
        <f t="shared" si="64"/>
        <v>ZSEG</v>
      </c>
      <c r="R689" s="10" t="str">
        <f t="shared" si="65"/>
        <v>46181504</v>
      </c>
    </row>
    <row r="690" spans="1:18" ht="38.25" hidden="1" x14ac:dyDescent="0.2">
      <c r="A690" s="21" t="s">
        <v>2605</v>
      </c>
      <c r="B690" s="8" t="s">
        <v>2604</v>
      </c>
      <c r="C690" s="8" t="s">
        <v>40</v>
      </c>
      <c r="D690" s="8" t="s">
        <v>2396</v>
      </c>
      <c r="E690" s="8" t="s">
        <v>40</v>
      </c>
      <c r="F690" s="8" t="s">
        <v>39</v>
      </c>
      <c r="G690" s="8" t="s">
        <v>220</v>
      </c>
      <c r="H690" s="8" t="s">
        <v>37</v>
      </c>
      <c r="I690" s="8" t="s">
        <v>53</v>
      </c>
      <c r="J690" s="8" t="s">
        <v>90</v>
      </c>
      <c r="K690" s="8" t="s">
        <v>2603</v>
      </c>
      <c r="L690" s="7">
        <v>7428</v>
      </c>
      <c r="M690" s="10" t="str">
        <f t="shared" si="60"/>
        <v>CMI02052100</v>
      </c>
      <c r="N690" s="10" t="str">
        <f t="shared" si="61"/>
        <v>SEG221000</v>
      </c>
      <c r="O690" s="10" t="str">
        <f t="shared" si="62"/>
        <v>E</v>
      </c>
      <c r="P690" s="10" t="str">
        <f t="shared" si="63"/>
        <v>50</v>
      </c>
      <c r="Q690" s="10" t="str">
        <f t="shared" si="64"/>
        <v>ZSEG</v>
      </c>
      <c r="R690" s="10" t="str">
        <f t="shared" si="65"/>
        <v>46161508</v>
      </c>
    </row>
    <row r="691" spans="1:18" ht="38.25" hidden="1" x14ac:dyDescent="0.2">
      <c r="A691" s="21" t="s">
        <v>2602</v>
      </c>
      <c r="B691" s="8" t="s">
        <v>2601</v>
      </c>
      <c r="C691" s="8" t="s">
        <v>40</v>
      </c>
      <c r="D691" s="8" t="s">
        <v>2396</v>
      </c>
      <c r="E691" s="8" t="s">
        <v>40</v>
      </c>
      <c r="F691" s="8" t="s">
        <v>39</v>
      </c>
      <c r="G691" s="8" t="s">
        <v>220</v>
      </c>
      <c r="H691" s="8" t="s">
        <v>37</v>
      </c>
      <c r="I691" s="8" t="s">
        <v>36</v>
      </c>
      <c r="J691" s="8" t="s">
        <v>90</v>
      </c>
      <c r="K691" s="8" t="s">
        <v>2600</v>
      </c>
      <c r="L691" s="7">
        <v>7429</v>
      </c>
      <c r="M691" s="10" t="str">
        <f t="shared" si="60"/>
        <v>CMI02052100</v>
      </c>
      <c r="N691" s="10" t="str">
        <f t="shared" si="61"/>
        <v>SEG221000</v>
      </c>
      <c r="O691" s="10" t="str">
        <f t="shared" si="62"/>
        <v>E</v>
      </c>
      <c r="P691" s="10" t="str">
        <f t="shared" si="63"/>
        <v>10</v>
      </c>
      <c r="Q691" s="10" t="str">
        <f t="shared" si="64"/>
        <v>ZSEG</v>
      </c>
      <c r="R691" s="10" t="str">
        <f t="shared" si="65"/>
        <v>55121717</v>
      </c>
    </row>
    <row r="692" spans="1:18" ht="38.25" hidden="1" x14ac:dyDescent="0.2">
      <c r="A692" s="21" t="s">
        <v>2599</v>
      </c>
      <c r="B692" s="8" t="s">
        <v>2598</v>
      </c>
      <c r="C692" s="8" t="s">
        <v>40</v>
      </c>
      <c r="D692" s="8" t="s">
        <v>2396</v>
      </c>
      <c r="E692" s="8" t="s">
        <v>40</v>
      </c>
      <c r="F692" s="8" t="s">
        <v>39</v>
      </c>
      <c r="G692" s="8" t="s">
        <v>220</v>
      </c>
      <c r="H692" s="8" t="s">
        <v>37</v>
      </c>
      <c r="I692" s="8" t="s">
        <v>53</v>
      </c>
      <c r="J692" s="8" t="s">
        <v>90</v>
      </c>
      <c r="K692" s="8" t="s">
        <v>2538</v>
      </c>
      <c r="L692" s="7">
        <v>7430</v>
      </c>
      <c r="M692" s="10" t="str">
        <f t="shared" si="60"/>
        <v>CMI02052100</v>
      </c>
      <c r="N692" s="10" t="str">
        <f t="shared" si="61"/>
        <v>SEG221000</v>
      </c>
      <c r="O692" s="10" t="str">
        <f t="shared" si="62"/>
        <v>E</v>
      </c>
      <c r="P692" s="10" t="str">
        <f t="shared" si="63"/>
        <v>50</v>
      </c>
      <c r="Q692" s="10" t="str">
        <f t="shared" si="64"/>
        <v>ZSEG</v>
      </c>
      <c r="R692" s="10" t="str">
        <f t="shared" si="65"/>
        <v>55121704</v>
      </c>
    </row>
    <row r="693" spans="1:18" ht="38.25" hidden="1" x14ac:dyDescent="0.2">
      <c r="A693" s="21" t="s">
        <v>2597</v>
      </c>
      <c r="B693" s="8" t="s">
        <v>2596</v>
      </c>
      <c r="C693" s="8" t="s">
        <v>40</v>
      </c>
      <c r="D693" s="8" t="s">
        <v>2396</v>
      </c>
      <c r="E693" s="8" t="s">
        <v>40</v>
      </c>
      <c r="F693" s="8" t="s">
        <v>39</v>
      </c>
      <c r="G693" s="8" t="s">
        <v>220</v>
      </c>
      <c r="H693" s="8" t="s">
        <v>37</v>
      </c>
      <c r="I693" s="8" t="s">
        <v>53</v>
      </c>
      <c r="J693" s="8" t="s">
        <v>90</v>
      </c>
      <c r="K693" s="8" t="s">
        <v>2595</v>
      </c>
      <c r="L693" s="7">
        <v>7431</v>
      </c>
      <c r="M693" s="10" t="str">
        <f t="shared" si="60"/>
        <v>CMI02052100</v>
      </c>
      <c r="N693" s="10" t="str">
        <f t="shared" si="61"/>
        <v>SEG221000</v>
      </c>
      <c r="O693" s="10" t="str">
        <f t="shared" si="62"/>
        <v>E</v>
      </c>
      <c r="P693" s="10" t="str">
        <f t="shared" si="63"/>
        <v>50</v>
      </c>
      <c r="Q693" s="10" t="str">
        <f t="shared" si="64"/>
        <v>ZSEG</v>
      </c>
      <c r="R693" s="10" t="str">
        <f t="shared" si="65"/>
        <v>31201513</v>
      </c>
    </row>
    <row r="694" spans="1:18" ht="38.25" hidden="1" x14ac:dyDescent="0.2">
      <c r="A694" s="21" t="s">
        <v>2594</v>
      </c>
      <c r="B694" s="8" t="s">
        <v>2593</v>
      </c>
      <c r="C694" s="8" t="s">
        <v>40</v>
      </c>
      <c r="D694" s="8" t="s">
        <v>224</v>
      </c>
      <c r="E694" s="8" t="s">
        <v>40</v>
      </c>
      <c r="F694" s="8" t="s">
        <v>39</v>
      </c>
      <c r="G694" s="8" t="s">
        <v>91</v>
      </c>
      <c r="H694" s="8" t="s">
        <v>37</v>
      </c>
      <c r="I694" s="8" t="s">
        <v>53</v>
      </c>
      <c r="J694" s="8" t="s">
        <v>90</v>
      </c>
      <c r="K694" s="8" t="s">
        <v>2592</v>
      </c>
      <c r="L694" s="7">
        <v>7432</v>
      </c>
      <c r="M694" s="10" t="str">
        <f t="shared" si="60"/>
        <v>CMI02170100</v>
      </c>
      <c r="N694" s="10" t="str">
        <f t="shared" si="61"/>
        <v>SEG221100</v>
      </c>
      <c r="O694" s="10" t="str">
        <f t="shared" si="62"/>
        <v>E</v>
      </c>
      <c r="P694" s="10" t="str">
        <f t="shared" si="63"/>
        <v>50</v>
      </c>
      <c r="Q694" s="10" t="str">
        <f t="shared" si="64"/>
        <v>ZSEG</v>
      </c>
      <c r="R694" s="10" t="str">
        <f t="shared" si="65"/>
        <v>46180000</v>
      </c>
    </row>
    <row r="695" spans="1:18" ht="38.25" hidden="1" x14ac:dyDescent="0.2">
      <c r="A695" s="21" t="s">
        <v>2591</v>
      </c>
      <c r="B695" s="8" t="s">
        <v>2590</v>
      </c>
      <c r="C695" s="8" t="s">
        <v>40</v>
      </c>
      <c r="D695" s="8" t="s">
        <v>224</v>
      </c>
      <c r="E695" s="8" t="s">
        <v>40</v>
      </c>
      <c r="F695" s="8" t="s">
        <v>39</v>
      </c>
      <c r="G695" s="8" t="s">
        <v>220</v>
      </c>
      <c r="H695" s="8" t="s">
        <v>37</v>
      </c>
      <c r="I695" s="8" t="s">
        <v>53</v>
      </c>
      <c r="J695" s="8" t="s">
        <v>90</v>
      </c>
      <c r="K695" s="8" t="s">
        <v>2589</v>
      </c>
      <c r="L695" s="7">
        <v>7433</v>
      </c>
      <c r="M695" s="10" t="str">
        <f t="shared" si="60"/>
        <v>CMI02170100</v>
      </c>
      <c r="N695" s="10" t="str">
        <f t="shared" si="61"/>
        <v>SEG221000</v>
      </c>
      <c r="O695" s="10" t="str">
        <f t="shared" si="62"/>
        <v>E</v>
      </c>
      <c r="P695" s="10" t="str">
        <f t="shared" si="63"/>
        <v>50</v>
      </c>
      <c r="Q695" s="10" t="str">
        <f t="shared" si="64"/>
        <v>ZSEG</v>
      </c>
      <c r="R695" s="10" t="str">
        <f t="shared" si="65"/>
        <v>55111514</v>
      </c>
    </row>
    <row r="696" spans="1:18" ht="38.25" hidden="1" x14ac:dyDescent="0.2">
      <c r="A696" s="21" t="s">
        <v>2588</v>
      </c>
      <c r="B696" s="8" t="s">
        <v>2587</v>
      </c>
      <c r="C696" s="8" t="s">
        <v>40</v>
      </c>
      <c r="D696" s="8" t="s">
        <v>1508</v>
      </c>
      <c r="E696" s="8" t="s">
        <v>40</v>
      </c>
      <c r="F696" s="8" t="s">
        <v>39</v>
      </c>
      <c r="G696" s="8" t="s">
        <v>220</v>
      </c>
      <c r="H696" s="8" t="s">
        <v>37</v>
      </c>
      <c r="I696" s="8" t="s">
        <v>53</v>
      </c>
      <c r="J696" s="8" t="s">
        <v>90</v>
      </c>
      <c r="K696" s="8" t="s">
        <v>2586</v>
      </c>
      <c r="L696" s="7">
        <v>7434</v>
      </c>
      <c r="M696" s="10" t="str">
        <f t="shared" si="60"/>
        <v>CMI01030100</v>
      </c>
      <c r="N696" s="10" t="str">
        <f t="shared" si="61"/>
        <v>SEG221000</v>
      </c>
      <c r="O696" s="10" t="str">
        <f t="shared" si="62"/>
        <v>E</v>
      </c>
      <c r="P696" s="10" t="str">
        <f t="shared" si="63"/>
        <v>50</v>
      </c>
      <c r="Q696" s="10" t="str">
        <f t="shared" si="64"/>
        <v>ZSEG</v>
      </c>
      <c r="R696" s="10" t="str">
        <f t="shared" si="65"/>
        <v>52161512</v>
      </c>
    </row>
    <row r="697" spans="1:18" ht="38.25" hidden="1" x14ac:dyDescent="0.2">
      <c r="A697" s="21" t="s">
        <v>2585</v>
      </c>
      <c r="B697" s="8" t="s">
        <v>2584</v>
      </c>
      <c r="C697" s="8" t="s">
        <v>40</v>
      </c>
      <c r="D697" s="8" t="s">
        <v>256</v>
      </c>
      <c r="E697" s="8" t="s">
        <v>40</v>
      </c>
      <c r="F697" s="8" t="s">
        <v>39</v>
      </c>
      <c r="G697" s="8" t="s">
        <v>220</v>
      </c>
      <c r="H697" s="8" t="s">
        <v>37</v>
      </c>
      <c r="I697" s="8" t="s">
        <v>53</v>
      </c>
      <c r="J697" s="8" t="s">
        <v>90</v>
      </c>
      <c r="K697" s="8" t="s">
        <v>2583</v>
      </c>
      <c r="L697" s="7">
        <v>7435</v>
      </c>
      <c r="M697" s="10" t="str">
        <f t="shared" si="60"/>
        <v>CMI02090900</v>
      </c>
      <c r="N697" s="10" t="str">
        <f t="shared" si="61"/>
        <v>SEG221000</v>
      </c>
      <c r="O697" s="10" t="str">
        <f t="shared" si="62"/>
        <v>E</v>
      </c>
      <c r="P697" s="10" t="str">
        <f t="shared" si="63"/>
        <v>50</v>
      </c>
      <c r="Q697" s="10" t="str">
        <f t="shared" si="64"/>
        <v>ZSEG</v>
      </c>
      <c r="R697" s="10" t="str">
        <f t="shared" si="65"/>
        <v>46151505</v>
      </c>
    </row>
    <row r="698" spans="1:18" ht="38.25" hidden="1" x14ac:dyDescent="0.2">
      <c r="A698" s="21" t="s">
        <v>2582</v>
      </c>
      <c r="B698" s="8" t="s">
        <v>2581</v>
      </c>
      <c r="C698" s="8" t="s">
        <v>40</v>
      </c>
      <c r="D698" s="8" t="s">
        <v>141</v>
      </c>
      <c r="E698" s="8" t="s">
        <v>40</v>
      </c>
      <c r="F698" s="8" t="s">
        <v>39</v>
      </c>
      <c r="G698" s="8" t="s">
        <v>91</v>
      </c>
      <c r="H698" s="8" t="s">
        <v>37</v>
      </c>
      <c r="I698" s="8" t="s">
        <v>53</v>
      </c>
      <c r="J698" s="8" t="s">
        <v>90</v>
      </c>
      <c r="K698" s="8" t="s">
        <v>2580</v>
      </c>
      <c r="L698" s="7">
        <v>7436</v>
      </c>
      <c r="M698" s="10" t="str">
        <f t="shared" si="60"/>
        <v>CMI02150200</v>
      </c>
      <c r="N698" s="10" t="str">
        <f t="shared" si="61"/>
        <v>SEG221100</v>
      </c>
      <c r="O698" s="10" t="str">
        <f t="shared" si="62"/>
        <v>E</v>
      </c>
      <c r="P698" s="10" t="str">
        <f t="shared" si="63"/>
        <v>50</v>
      </c>
      <c r="Q698" s="10" t="str">
        <f t="shared" si="64"/>
        <v>ZSEG</v>
      </c>
      <c r="R698" s="10" t="str">
        <f t="shared" si="65"/>
        <v>46182004</v>
      </c>
    </row>
    <row r="699" spans="1:18" ht="38.25" hidden="1" x14ac:dyDescent="0.2">
      <c r="A699" s="21" t="s">
        <v>2579</v>
      </c>
      <c r="B699" s="8" t="s">
        <v>2578</v>
      </c>
      <c r="C699" s="8" t="s">
        <v>40</v>
      </c>
      <c r="D699" s="8" t="s">
        <v>141</v>
      </c>
      <c r="E699" s="8" t="s">
        <v>40</v>
      </c>
      <c r="F699" s="8" t="s">
        <v>39</v>
      </c>
      <c r="G699" s="8" t="s">
        <v>220</v>
      </c>
      <c r="H699" s="8" t="s">
        <v>37</v>
      </c>
      <c r="I699" s="8" t="s">
        <v>53</v>
      </c>
      <c r="J699" s="8" t="s">
        <v>90</v>
      </c>
      <c r="K699" s="8" t="s">
        <v>2577</v>
      </c>
      <c r="L699" s="7">
        <v>7437</v>
      </c>
      <c r="M699" s="10" t="str">
        <f t="shared" si="60"/>
        <v>CMI02150200</v>
      </c>
      <c r="N699" s="10" t="str">
        <f t="shared" si="61"/>
        <v>SEG221000</v>
      </c>
      <c r="O699" s="10" t="str">
        <f t="shared" si="62"/>
        <v>E</v>
      </c>
      <c r="P699" s="10" t="str">
        <f t="shared" si="63"/>
        <v>50</v>
      </c>
      <c r="Q699" s="10" t="str">
        <f t="shared" si="64"/>
        <v>ZSEG</v>
      </c>
      <c r="R699" s="10" t="str">
        <f t="shared" si="65"/>
        <v>42241803</v>
      </c>
    </row>
    <row r="700" spans="1:18" ht="38.25" hidden="1" x14ac:dyDescent="0.2">
      <c r="A700" s="21" t="s">
        <v>2576</v>
      </c>
      <c r="B700" s="8" t="s">
        <v>2575</v>
      </c>
      <c r="C700" s="8" t="s">
        <v>40</v>
      </c>
      <c r="D700" s="8" t="s">
        <v>224</v>
      </c>
      <c r="E700" s="8" t="s">
        <v>40</v>
      </c>
      <c r="F700" s="8" t="s">
        <v>39</v>
      </c>
      <c r="G700" s="8" t="s">
        <v>220</v>
      </c>
      <c r="H700" s="8" t="s">
        <v>37</v>
      </c>
      <c r="I700" s="8" t="s">
        <v>53</v>
      </c>
      <c r="J700" s="8" t="s">
        <v>90</v>
      </c>
      <c r="K700" s="8" t="s">
        <v>223</v>
      </c>
      <c r="L700" s="7">
        <v>7438</v>
      </c>
      <c r="M700" s="10" t="str">
        <f t="shared" si="60"/>
        <v>CMI02170100</v>
      </c>
      <c r="N700" s="10" t="str">
        <f t="shared" si="61"/>
        <v>SEG221000</v>
      </c>
      <c r="O700" s="10" t="str">
        <f t="shared" si="62"/>
        <v>E</v>
      </c>
      <c r="P700" s="10" t="str">
        <f t="shared" si="63"/>
        <v>50</v>
      </c>
      <c r="Q700" s="10" t="str">
        <f t="shared" si="64"/>
        <v>ZSEG</v>
      </c>
      <c r="R700" s="10" t="str">
        <f t="shared" si="65"/>
        <v>46181704</v>
      </c>
    </row>
    <row r="701" spans="1:18" ht="38.25" hidden="1" x14ac:dyDescent="0.2">
      <c r="A701" s="21" t="s">
        <v>2574</v>
      </c>
      <c r="B701" s="8" t="s">
        <v>2573</v>
      </c>
      <c r="C701" s="8" t="s">
        <v>40</v>
      </c>
      <c r="D701" s="8" t="s">
        <v>1059</v>
      </c>
      <c r="E701" s="8" t="s">
        <v>40</v>
      </c>
      <c r="F701" s="8" t="s">
        <v>39</v>
      </c>
      <c r="G701" s="8" t="s">
        <v>220</v>
      </c>
      <c r="H701" s="8" t="s">
        <v>37</v>
      </c>
      <c r="I701" s="8" t="s">
        <v>53</v>
      </c>
      <c r="J701" s="8" t="s">
        <v>90</v>
      </c>
      <c r="K701" s="8" t="s">
        <v>2572</v>
      </c>
      <c r="L701" s="7">
        <v>7439</v>
      </c>
      <c r="M701" s="10" t="str">
        <f t="shared" si="60"/>
        <v>CMI02090600</v>
      </c>
      <c r="N701" s="10" t="str">
        <f t="shared" si="61"/>
        <v>SEG221000</v>
      </c>
      <c r="O701" s="10" t="str">
        <f t="shared" si="62"/>
        <v>E</v>
      </c>
      <c r="P701" s="10" t="str">
        <f t="shared" si="63"/>
        <v>50</v>
      </c>
      <c r="Q701" s="10" t="str">
        <f t="shared" si="64"/>
        <v>ZSEG</v>
      </c>
      <c r="R701" s="10" t="str">
        <f t="shared" si="65"/>
        <v>46191603</v>
      </c>
    </row>
    <row r="702" spans="1:18" ht="38.25" hidden="1" x14ac:dyDescent="0.2">
      <c r="A702" s="21" t="s">
        <v>2571</v>
      </c>
      <c r="B702" s="8" t="s">
        <v>2570</v>
      </c>
      <c r="C702" s="8" t="s">
        <v>40</v>
      </c>
      <c r="D702" s="8" t="s">
        <v>224</v>
      </c>
      <c r="E702" s="8" t="s">
        <v>40</v>
      </c>
      <c r="F702" s="8" t="s">
        <v>39</v>
      </c>
      <c r="G702" s="8" t="s">
        <v>220</v>
      </c>
      <c r="H702" s="8" t="s">
        <v>37</v>
      </c>
      <c r="I702" s="8" t="s">
        <v>53</v>
      </c>
      <c r="J702" s="8" t="s">
        <v>90</v>
      </c>
      <c r="K702" s="8" t="s">
        <v>2569</v>
      </c>
      <c r="L702" s="7">
        <v>7440</v>
      </c>
      <c r="M702" s="10" t="str">
        <f t="shared" si="60"/>
        <v>CMI02170100</v>
      </c>
      <c r="N702" s="10" t="str">
        <f t="shared" si="61"/>
        <v>SEG221000</v>
      </c>
      <c r="O702" s="10" t="str">
        <f t="shared" si="62"/>
        <v>E</v>
      </c>
      <c r="P702" s="10" t="str">
        <f t="shared" si="63"/>
        <v>50</v>
      </c>
      <c r="Q702" s="10" t="str">
        <f t="shared" si="64"/>
        <v>ZSEG</v>
      </c>
      <c r="R702" s="10" t="str">
        <f t="shared" si="65"/>
        <v>46151607</v>
      </c>
    </row>
    <row r="703" spans="1:18" ht="38.25" hidden="1" x14ac:dyDescent="0.2">
      <c r="A703" s="21" t="s">
        <v>2568</v>
      </c>
      <c r="B703" s="8" t="s">
        <v>2567</v>
      </c>
      <c r="C703" s="8" t="s">
        <v>40</v>
      </c>
      <c r="D703" s="8" t="s">
        <v>249</v>
      </c>
      <c r="E703" s="8" t="s">
        <v>40</v>
      </c>
      <c r="F703" s="8" t="s">
        <v>39</v>
      </c>
      <c r="G703" s="8" t="s">
        <v>220</v>
      </c>
      <c r="H703" s="8" t="s">
        <v>37</v>
      </c>
      <c r="I703" s="8" t="s">
        <v>53</v>
      </c>
      <c r="J703" s="8" t="s">
        <v>90</v>
      </c>
      <c r="K703" s="8" t="s">
        <v>2566</v>
      </c>
      <c r="L703" s="7">
        <v>7441</v>
      </c>
      <c r="M703" s="10" t="str">
        <f t="shared" si="60"/>
        <v>CMI02090700</v>
      </c>
      <c r="N703" s="10" t="str">
        <f t="shared" si="61"/>
        <v>SEG221000</v>
      </c>
      <c r="O703" s="10" t="str">
        <f t="shared" si="62"/>
        <v>E</v>
      </c>
      <c r="P703" s="10" t="str">
        <f t="shared" si="63"/>
        <v>50</v>
      </c>
      <c r="Q703" s="10" t="str">
        <f t="shared" si="64"/>
        <v>ZSEG</v>
      </c>
      <c r="R703" s="10" t="str">
        <f t="shared" si="65"/>
        <v>46171511</v>
      </c>
    </row>
    <row r="704" spans="1:18" ht="38.25" hidden="1" x14ac:dyDescent="0.2">
      <c r="A704" s="21" t="s">
        <v>2565</v>
      </c>
      <c r="B704" s="8" t="s">
        <v>2564</v>
      </c>
      <c r="C704" s="8" t="s">
        <v>40</v>
      </c>
      <c r="D704" s="8" t="s">
        <v>363</v>
      </c>
      <c r="E704" s="7">
        <v>6</v>
      </c>
      <c r="F704" s="8" t="s">
        <v>39</v>
      </c>
      <c r="G704" s="8" t="s">
        <v>220</v>
      </c>
      <c r="H704" s="8" t="s">
        <v>37</v>
      </c>
      <c r="I704" s="8" t="s">
        <v>53</v>
      </c>
      <c r="J704" s="8" t="s">
        <v>90</v>
      </c>
      <c r="K704" s="8" t="s">
        <v>2563</v>
      </c>
      <c r="L704" s="7">
        <v>7442</v>
      </c>
      <c r="M704" s="10" t="str">
        <f t="shared" si="60"/>
        <v>CMI02051300</v>
      </c>
      <c r="N704" s="10" t="str">
        <f t="shared" si="61"/>
        <v>SEG221000</v>
      </c>
      <c r="O704" s="10" t="str">
        <f t="shared" si="62"/>
        <v>E</v>
      </c>
      <c r="P704" s="10" t="str">
        <f t="shared" si="63"/>
        <v>50</v>
      </c>
      <c r="Q704" s="10" t="str">
        <f t="shared" si="64"/>
        <v>ZSEG</v>
      </c>
      <c r="R704" s="10" t="str">
        <f t="shared" si="65"/>
        <v>11162111</v>
      </c>
    </row>
    <row r="705" spans="1:18" ht="38.25" hidden="1" x14ac:dyDescent="0.2">
      <c r="A705" s="21" t="s">
        <v>2562</v>
      </c>
      <c r="B705" s="8" t="s">
        <v>2561</v>
      </c>
      <c r="C705" s="8" t="s">
        <v>40</v>
      </c>
      <c r="D705" s="8" t="s">
        <v>74</v>
      </c>
      <c r="E705" s="8" t="s">
        <v>40</v>
      </c>
      <c r="F705" s="8" t="s">
        <v>39</v>
      </c>
      <c r="G705" s="8" t="s">
        <v>220</v>
      </c>
      <c r="H705" s="8" t="s">
        <v>37</v>
      </c>
      <c r="I705" s="8" t="s">
        <v>53</v>
      </c>
      <c r="J705" s="8" t="s">
        <v>90</v>
      </c>
      <c r="K705" s="8" t="s">
        <v>2560</v>
      </c>
      <c r="L705" s="7">
        <v>7443</v>
      </c>
      <c r="M705" s="10" t="str">
        <f t="shared" si="60"/>
        <v>CMI02170300</v>
      </c>
      <c r="N705" s="10" t="str">
        <f t="shared" si="61"/>
        <v>SEG221000</v>
      </c>
      <c r="O705" s="10" t="str">
        <f t="shared" si="62"/>
        <v>E</v>
      </c>
      <c r="P705" s="10" t="str">
        <f t="shared" si="63"/>
        <v>50</v>
      </c>
      <c r="Q705" s="10" t="str">
        <f t="shared" si="64"/>
        <v>ZSEG</v>
      </c>
      <c r="R705" s="10" t="str">
        <f t="shared" si="65"/>
        <v>40141731</v>
      </c>
    </row>
    <row r="706" spans="1:18" ht="38.25" hidden="1" x14ac:dyDescent="0.2">
      <c r="A706" s="21" t="s">
        <v>2559</v>
      </c>
      <c r="B706" s="8" t="s">
        <v>2558</v>
      </c>
      <c r="C706" s="8" t="s">
        <v>40</v>
      </c>
      <c r="D706" s="8" t="s">
        <v>224</v>
      </c>
      <c r="E706" s="8" t="s">
        <v>40</v>
      </c>
      <c r="F706" s="8" t="s">
        <v>39</v>
      </c>
      <c r="G706" s="8" t="s">
        <v>220</v>
      </c>
      <c r="H706" s="8" t="s">
        <v>37</v>
      </c>
      <c r="I706" s="8" t="s">
        <v>53</v>
      </c>
      <c r="J706" s="8" t="s">
        <v>90</v>
      </c>
      <c r="K706" s="8" t="s">
        <v>2557</v>
      </c>
      <c r="L706" s="7">
        <v>7444</v>
      </c>
      <c r="M706" s="10" t="str">
        <f t="shared" si="60"/>
        <v>CMI02170100</v>
      </c>
      <c r="N706" s="10" t="str">
        <f t="shared" si="61"/>
        <v>SEG221000</v>
      </c>
      <c r="O706" s="10" t="str">
        <f t="shared" si="62"/>
        <v>E</v>
      </c>
      <c r="P706" s="10" t="str">
        <f t="shared" si="63"/>
        <v>50</v>
      </c>
      <c r="Q706" s="10" t="str">
        <f t="shared" si="64"/>
        <v>ZSEG</v>
      </c>
      <c r="R706" s="10" t="str">
        <f t="shared" si="65"/>
        <v>31151500</v>
      </c>
    </row>
    <row r="707" spans="1:18" ht="38.25" hidden="1" x14ac:dyDescent="0.2">
      <c r="A707" s="21" t="s">
        <v>2556</v>
      </c>
      <c r="B707" s="8" t="s">
        <v>2555</v>
      </c>
      <c r="C707" s="8" t="s">
        <v>40</v>
      </c>
      <c r="D707" s="8" t="s">
        <v>2274</v>
      </c>
      <c r="E707" s="8" t="s">
        <v>40</v>
      </c>
      <c r="F707" s="8" t="s">
        <v>39</v>
      </c>
      <c r="G707" s="8" t="s">
        <v>91</v>
      </c>
      <c r="H707" s="8" t="s">
        <v>37</v>
      </c>
      <c r="I707" s="8" t="s">
        <v>53</v>
      </c>
      <c r="J707" s="8" t="s">
        <v>90</v>
      </c>
      <c r="K707" s="8" t="s">
        <v>2554</v>
      </c>
      <c r="L707" s="7">
        <v>7445</v>
      </c>
      <c r="M707" s="10" t="str">
        <f t="shared" ref="M707:M770" si="66">+LEFT(D707,11)</f>
        <v>CMI02040400</v>
      </c>
      <c r="N707" s="10" t="str">
        <f t="shared" ref="N707:N770" si="67">+LEFT(G707,9)</f>
        <v>SEG221100</v>
      </c>
      <c r="O707" s="10" t="str">
        <f t="shared" ref="O707:O770" si="68">+LEFT(H707,1)</f>
        <v>E</v>
      </c>
      <c r="P707" s="10" t="str">
        <f t="shared" ref="P707:P770" si="69">+LEFT(I707,2)</f>
        <v>50</v>
      </c>
      <c r="Q707" s="10" t="str">
        <f t="shared" ref="Q707:Q770" si="70">+LEFT(J707,4)</f>
        <v>ZSEG</v>
      </c>
      <c r="R707" s="10" t="str">
        <f t="shared" ref="R707:R770" si="71">+LEFT(K707,8)</f>
        <v>53103001</v>
      </c>
    </row>
    <row r="708" spans="1:18" ht="38.25" hidden="1" x14ac:dyDescent="0.2">
      <c r="A708" s="21" t="s">
        <v>2553</v>
      </c>
      <c r="B708" s="8" t="s">
        <v>2552</v>
      </c>
      <c r="C708" s="8" t="s">
        <v>40</v>
      </c>
      <c r="D708" s="8" t="s">
        <v>2396</v>
      </c>
      <c r="E708" s="7">
        <v>6</v>
      </c>
      <c r="F708" s="8" t="s">
        <v>39</v>
      </c>
      <c r="G708" s="8" t="s">
        <v>220</v>
      </c>
      <c r="H708" s="8" t="s">
        <v>37</v>
      </c>
      <c r="I708" s="8" t="s">
        <v>36</v>
      </c>
      <c r="J708" s="8" t="s">
        <v>90</v>
      </c>
      <c r="K708" s="8" t="s">
        <v>2538</v>
      </c>
      <c r="L708" s="7">
        <v>7446</v>
      </c>
      <c r="M708" s="10" t="str">
        <f t="shared" si="66"/>
        <v>CMI02052100</v>
      </c>
      <c r="N708" s="10" t="str">
        <f t="shared" si="67"/>
        <v>SEG221000</v>
      </c>
      <c r="O708" s="10" t="str">
        <f t="shared" si="68"/>
        <v>E</v>
      </c>
      <c r="P708" s="10" t="str">
        <f t="shared" si="69"/>
        <v>10</v>
      </c>
      <c r="Q708" s="10" t="str">
        <f t="shared" si="70"/>
        <v>ZSEG</v>
      </c>
      <c r="R708" s="10" t="str">
        <f t="shared" si="71"/>
        <v>55121704</v>
      </c>
    </row>
    <row r="709" spans="1:18" ht="38.25" hidden="1" x14ac:dyDescent="0.2">
      <c r="A709" s="21" t="s">
        <v>2551</v>
      </c>
      <c r="B709" s="8" t="s">
        <v>2550</v>
      </c>
      <c r="C709" s="8" t="s">
        <v>40</v>
      </c>
      <c r="D709" s="8" t="s">
        <v>141</v>
      </c>
      <c r="E709" s="8" t="s">
        <v>40</v>
      </c>
      <c r="F709" s="8" t="s">
        <v>39</v>
      </c>
      <c r="G709" s="8" t="s">
        <v>220</v>
      </c>
      <c r="H709" s="8" t="s">
        <v>37</v>
      </c>
      <c r="I709" s="8" t="s">
        <v>53</v>
      </c>
      <c r="J709" s="8" t="s">
        <v>90</v>
      </c>
      <c r="K709" s="8" t="s">
        <v>2549</v>
      </c>
      <c r="L709" s="7">
        <v>7447</v>
      </c>
      <c r="M709" s="10" t="str">
        <f t="shared" si="66"/>
        <v>CMI02150200</v>
      </c>
      <c r="N709" s="10" t="str">
        <f t="shared" si="67"/>
        <v>SEG221000</v>
      </c>
      <c r="O709" s="10" t="str">
        <f t="shared" si="68"/>
        <v>E</v>
      </c>
      <c r="P709" s="10" t="str">
        <f t="shared" si="69"/>
        <v>50</v>
      </c>
      <c r="Q709" s="10" t="str">
        <f t="shared" si="70"/>
        <v>ZSEG</v>
      </c>
      <c r="R709" s="10" t="str">
        <f t="shared" si="71"/>
        <v>42171606</v>
      </c>
    </row>
    <row r="710" spans="1:18" ht="38.25" hidden="1" x14ac:dyDescent="0.2">
      <c r="A710" s="21" t="s">
        <v>2548</v>
      </c>
      <c r="B710" s="8" t="s">
        <v>2547</v>
      </c>
      <c r="C710" s="8" t="s">
        <v>40</v>
      </c>
      <c r="D710" s="8" t="s">
        <v>224</v>
      </c>
      <c r="E710" s="8" t="s">
        <v>40</v>
      </c>
      <c r="F710" s="8" t="s">
        <v>39</v>
      </c>
      <c r="G710" s="8" t="s">
        <v>91</v>
      </c>
      <c r="H710" s="8" t="s">
        <v>37</v>
      </c>
      <c r="I710" s="8" t="s">
        <v>53</v>
      </c>
      <c r="J710" s="8" t="s">
        <v>90</v>
      </c>
      <c r="K710" s="8" t="s">
        <v>2541</v>
      </c>
      <c r="L710" s="7">
        <v>7448</v>
      </c>
      <c r="M710" s="10" t="str">
        <f t="shared" si="66"/>
        <v>CMI02170100</v>
      </c>
      <c r="N710" s="10" t="str">
        <f t="shared" si="67"/>
        <v>SEG221100</v>
      </c>
      <c r="O710" s="10" t="str">
        <f t="shared" si="68"/>
        <v>E</v>
      </c>
      <c r="P710" s="10" t="str">
        <f t="shared" si="69"/>
        <v>50</v>
      </c>
      <c r="Q710" s="10" t="str">
        <f t="shared" si="70"/>
        <v>ZSEG</v>
      </c>
      <c r="R710" s="10" t="str">
        <f t="shared" si="71"/>
        <v>46181543</v>
      </c>
    </row>
    <row r="711" spans="1:18" ht="38.25" hidden="1" x14ac:dyDescent="0.2">
      <c r="A711" s="21" t="s">
        <v>2546</v>
      </c>
      <c r="B711" s="8" t="s">
        <v>2545</v>
      </c>
      <c r="C711" s="8" t="s">
        <v>40</v>
      </c>
      <c r="D711" s="8" t="s">
        <v>224</v>
      </c>
      <c r="E711" s="8" t="s">
        <v>40</v>
      </c>
      <c r="F711" s="8" t="s">
        <v>39</v>
      </c>
      <c r="G711" s="8" t="s">
        <v>220</v>
      </c>
      <c r="H711" s="8" t="s">
        <v>37</v>
      </c>
      <c r="I711" s="8" t="s">
        <v>53</v>
      </c>
      <c r="J711" s="8" t="s">
        <v>90</v>
      </c>
      <c r="K711" s="8" t="s">
        <v>2544</v>
      </c>
      <c r="L711" s="7">
        <v>7449</v>
      </c>
      <c r="M711" s="10" t="str">
        <f t="shared" si="66"/>
        <v>CMI02170100</v>
      </c>
      <c r="N711" s="10" t="str">
        <f t="shared" si="67"/>
        <v>SEG221000</v>
      </c>
      <c r="O711" s="10" t="str">
        <f t="shared" si="68"/>
        <v>E</v>
      </c>
      <c r="P711" s="10" t="str">
        <f t="shared" si="69"/>
        <v>50</v>
      </c>
      <c r="Q711" s="10" t="str">
        <f t="shared" si="70"/>
        <v>ZSEG</v>
      </c>
      <c r="R711" s="10" t="str">
        <f t="shared" si="71"/>
        <v>46181504</v>
      </c>
    </row>
    <row r="712" spans="1:18" ht="38.25" hidden="1" x14ac:dyDescent="0.2">
      <c r="A712" s="22" t="s">
        <v>2543</v>
      </c>
      <c r="B712" s="8" t="s">
        <v>2542</v>
      </c>
      <c r="C712" s="8" t="s">
        <v>40</v>
      </c>
      <c r="D712" s="8" t="s">
        <v>224</v>
      </c>
      <c r="E712" s="8" t="s">
        <v>40</v>
      </c>
      <c r="F712" s="8" t="s">
        <v>39</v>
      </c>
      <c r="G712" s="8" t="s">
        <v>220</v>
      </c>
      <c r="H712" s="8" t="s">
        <v>37</v>
      </c>
      <c r="I712" s="8" t="s">
        <v>53</v>
      </c>
      <c r="J712" s="8" t="s">
        <v>90</v>
      </c>
      <c r="K712" s="8" t="s">
        <v>2541</v>
      </c>
      <c r="L712" s="7">
        <v>7450</v>
      </c>
      <c r="M712" s="10" t="str">
        <f t="shared" si="66"/>
        <v>CMI02170100</v>
      </c>
      <c r="N712" s="10" t="str">
        <f t="shared" si="67"/>
        <v>SEG221000</v>
      </c>
      <c r="O712" s="10" t="str">
        <f t="shared" si="68"/>
        <v>E</v>
      </c>
      <c r="P712" s="10" t="str">
        <f t="shared" si="69"/>
        <v>50</v>
      </c>
      <c r="Q712" s="10" t="str">
        <f t="shared" si="70"/>
        <v>ZSEG</v>
      </c>
      <c r="R712" s="10" t="str">
        <f t="shared" si="71"/>
        <v>46181543</v>
      </c>
    </row>
    <row r="713" spans="1:18" ht="38.25" hidden="1" x14ac:dyDescent="0.2">
      <c r="A713" s="22" t="s">
        <v>2540</v>
      </c>
      <c r="B713" s="8" t="s">
        <v>2539</v>
      </c>
      <c r="C713" s="8" t="s">
        <v>40</v>
      </c>
      <c r="D713" s="8" t="s">
        <v>2396</v>
      </c>
      <c r="E713" s="8" t="s">
        <v>40</v>
      </c>
      <c r="F713" s="8" t="s">
        <v>39</v>
      </c>
      <c r="G713" s="8" t="s">
        <v>220</v>
      </c>
      <c r="H713" s="8" t="s">
        <v>37</v>
      </c>
      <c r="I713" s="8" t="s">
        <v>53</v>
      </c>
      <c r="J713" s="8" t="s">
        <v>90</v>
      </c>
      <c r="K713" s="8" t="s">
        <v>2538</v>
      </c>
      <c r="L713" s="7">
        <v>7451</v>
      </c>
      <c r="M713" s="10" t="str">
        <f t="shared" si="66"/>
        <v>CMI02052100</v>
      </c>
      <c r="N713" s="10" t="str">
        <f t="shared" si="67"/>
        <v>SEG221000</v>
      </c>
      <c r="O713" s="10" t="str">
        <f t="shared" si="68"/>
        <v>E</v>
      </c>
      <c r="P713" s="10" t="str">
        <f t="shared" si="69"/>
        <v>50</v>
      </c>
      <c r="Q713" s="10" t="str">
        <f t="shared" si="70"/>
        <v>ZSEG</v>
      </c>
      <c r="R713" s="10" t="str">
        <f t="shared" si="71"/>
        <v>55121704</v>
      </c>
    </row>
    <row r="714" spans="1:18" ht="38.25" hidden="1" x14ac:dyDescent="0.2">
      <c r="A714" s="22" t="s">
        <v>2537</v>
      </c>
      <c r="B714" s="8" t="s">
        <v>2536</v>
      </c>
      <c r="C714" s="8" t="s">
        <v>40</v>
      </c>
      <c r="D714" s="8" t="s">
        <v>1648</v>
      </c>
      <c r="E714" s="8" t="s">
        <v>40</v>
      </c>
      <c r="F714" s="8" t="s">
        <v>39</v>
      </c>
      <c r="G714" s="8" t="s">
        <v>220</v>
      </c>
      <c r="H714" s="8" t="s">
        <v>37</v>
      </c>
      <c r="I714" s="8" t="s">
        <v>53</v>
      </c>
      <c r="J714" s="8" t="s">
        <v>90</v>
      </c>
      <c r="K714" s="8" t="s">
        <v>2535</v>
      </c>
      <c r="L714" s="7">
        <v>7452</v>
      </c>
      <c r="M714" s="10" t="str">
        <f t="shared" si="66"/>
        <v>CMI02070100</v>
      </c>
      <c r="N714" s="10" t="str">
        <f t="shared" si="67"/>
        <v>SEG221000</v>
      </c>
      <c r="O714" s="10" t="str">
        <f t="shared" si="68"/>
        <v>E</v>
      </c>
      <c r="P714" s="10" t="str">
        <f t="shared" si="69"/>
        <v>50</v>
      </c>
      <c r="Q714" s="10" t="str">
        <f t="shared" si="70"/>
        <v>ZSEG</v>
      </c>
      <c r="R714" s="10" t="str">
        <f t="shared" si="71"/>
        <v>46171606</v>
      </c>
    </row>
    <row r="715" spans="1:18" ht="38.25" hidden="1" x14ac:dyDescent="0.2">
      <c r="A715" s="21" t="s">
        <v>2534</v>
      </c>
      <c r="B715" s="8" t="s">
        <v>2533</v>
      </c>
      <c r="C715" s="8" t="s">
        <v>40</v>
      </c>
      <c r="D715" s="8" t="s">
        <v>224</v>
      </c>
      <c r="E715" s="8" t="s">
        <v>40</v>
      </c>
      <c r="F715" s="8" t="s">
        <v>39</v>
      </c>
      <c r="G715" s="8" t="s">
        <v>220</v>
      </c>
      <c r="H715" s="8" t="s">
        <v>37</v>
      </c>
      <c r="I715" s="8" t="s">
        <v>53</v>
      </c>
      <c r="J715" s="8" t="s">
        <v>90</v>
      </c>
      <c r="K715" s="8" t="s">
        <v>2532</v>
      </c>
      <c r="L715" s="7">
        <v>7453</v>
      </c>
      <c r="M715" s="10" t="str">
        <f t="shared" si="66"/>
        <v>CMI02170100</v>
      </c>
      <c r="N715" s="10" t="str">
        <f t="shared" si="67"/>
        <v>SEG221000</v>
      </c>
      <c r="O715" s="10" t="str">
        <f t="shared" si="68"/>
        <v>E</v>
      </c>
      <c r="P715" s="10" t="str">
        <f t="shared" si="69"/>
        <v>50</v>
      </c>
      <c r="Q715" s="10" t="str">
        <f t="shared" si="70"/>
        <v>ZSEG</v>
      </c>
      <c r="R715" s="10" t="str">
        <f t="shared" si="71"/>
        <v>24112207</v>
      </c>
    </row>
    <row r="716" spans="1:18" ht="38.25" hidden="1" x14ac:dyDescent="0.2">
      <c r="A716" s="21" t="s">
        <v>2531</v>
      </c>
      <c r="B716" s="8" t="s">
        <v>2530</v>
      </c>
      <c r="C716" s="8" t="s">
        <v>40</v>
      </c>
      <c r="D716" s="8" t="s">
        <v>224</v>
      </c>
      <c r="E716" s="8" t="s">
        <v>40</v>
      </c>
      <c r="F716" s="8" t="s">
        <v>39</v>
      </c>
      <c r="G716" s="8" t="s">
        <v>220</v>
      </c>
      <c r="H716" s="8" t="s">
        <v>37</v>
      </c>
      <c r="I716" s="8" t="s">
        <v>53</v>
      </c>
      <c r="J716" s="8" t="s">
        <v>90</v>
      </c>
      <c r="K716" s="8" t="s">
        <v>2529</v>
      </c>
      <c r="L716" s="7">
        <v>7454</v>
      </c>
      <c r="M716" s="10" t="str">
        <f t="shared" si="66"/>
        <v>CMI02170100</v>
      </c>
      <c r="N716" s="10" t="str">
        <f t="shared" si="67"/>
        <v>SEG221000</v>
      </c>
      <c r="O716" s="10" t="str">
        <f t="shared" si="68"/>
        <v>E</v>
      </c>
      <c r="P716" s="10" t="str">
        <f t="shared" si="69"/>
        <v>50</v>
      </c>
      <c r="Q716" s="10" t="str">
        <f t="shared" si="70"/>
        <v>ZSEG</v>
      </c>
      <c r="R716" s="10" t="str">
        <f t="shared" si="71"/>
        <v>46181514</v>
      </c>
    </row>
    <row r="717" spans="1:18" ht="38.25" hidden="1" x14ac:dyDescent="0.2">
      <c r="A717" s="21" t="s">
        <v>2528</v>
      </c>
      <c r="B717" s="8" t="s">
        <v>2527</v>
      </c>
      <c r="C717" s="8" t="s">
        <v>40</v>
      </c>
      <c r="D717" s="8" t="s">
        <v>141</v>
      </c>
      <c r="E717" s="8" t="s">
        <v>40</v>
      </c>
      <c r="F717" s="8" t="s">
        <v>39</v>
      </c>
      <c r="G717" s="8" t="s">
        <v>220</v>
      </c>
      <c r="H717" s="8" t="s">
        <v>37</v>
      </c>
      <c r="I717" s="8" t="s">
        <v>53</v>
      </c>
      <c r="J717" s="8" t="s">
        <v>90</v>
      </c>
      <c r="K717" s="8" t="s">
        <v>2526</v>
      </c>
      <c r="L717" s="7">
        <v>7455</v>
      </c>
      <c r="M717" s="10" t="str">
        <f t="shared" si="66"/>
        <v>CMI02150200</v>
      </c>
      <c r="N717" s="10" t="str">
        <f t="shared" si="67"/>
        <v>SEG221000</v>
      </c>
      <c r="O717" s="10" t="str">
        <f t="shared" si="68"/>
        <v>E</v>
      </c>
      <c r="P717" s="10" t="str">
        <f t="shared" si="69"/>
        <v>50</v>
      </c>
      <c r="Q717" s="10" t="str">
        <f t="shared" si="70"/>
        <v>ZSEG</v>
      </c>
      <c r="R717" s="10" t="str">
        <f t="shared" si="71"/>
        <v>41116201</v>
      </c>
    </row>
    <row r="718" spans="1:18" ht="38.25" hidden="1" x14ac:dyDescent="0.2">
      <c r="A718" s="21" t="s">
        <v>2525</v>
      </c>
      <c r="B718" s="8" t="s">
        <v>2524</v>
      </c>
      <c r="C718" s="8" t="s">
        <v>40</v>
      </c>
      <c r="D718" s="8" t="s">
        <v>141</v>
      </c>
      <c r="E718" s="8" t="s">
        <v>40</v>
      </c>
      <c r="F718" s="8" t="s">
        <v>39</v>
      </c>
      <c r="G718" s="8" t="s">
        <v>220</v>
      </c>
      <c r="H718" s="8" t="s">
        <v>37</v>
      </c>
      <c r="I718" s="8" t="s">
        <v>53</v>
      </c>
      <c r="J718" s="8" t="s">
        <v>90</v>
      </c>
      <c r="K718" s="8" t="s">
        <v>2523</v>
      </c>
      <c r="L718" s="7">
        <v>7456</v>
      </c>
      <c r="M718" s="10" t="str">
        <f t="shared" si="66"/>
        <v>CMI02150200</v>
      </c>
      <c r="N718" s="10" t="str">
        <f t="shared" si="67"/>
        <v>SEG221000</v>
      </c>
      <c r="O718" s="10" t="str">
        <f t="shared" si="68"/>
        <v>E</v>
      </c>
      <c r="P718" s="10" t="str">
        <f t="shared" si="69"/>
        <v>50</v>
      </c>
      <c r="Q718" s="10" t="str">
        <f t="shared" si="70"/>
        <v>ZSEG</v>
      </c>
      <c r="R718" s="10" t="str">
        <f t="shared" si="71"/>
        <v>41104100</v>
      </c>
    </row>
    <row r="719" spans="1:18" ht="38.25" hidden="1" x14ac:dyDescent="0.2">
      <c r="A719" s="21" t="s">
        <v>2522</v>
      </c>
      <c r="B719" s="8" t="s">
        <v>2521</v>
      </c>
      <c r="C719" s="8" t="s">
        <v>40</v>
      </c>
      <c r="D719" s="8" t="s">
        <v>141</v>
      </c>
      <c r="E719" s="8" t="s">
        <v>40</v>
      </c>
      <c r="F719" s="8" t="s">
        <v>39</v>
      </c>
      <c r="G719" s="8" t="s">
        <v>220</v>
      </c>
      <c r="H719" s="8" t="s">
        <v>37</v>
      </c>
      <c r="I719" s="8" t="s">
        <v>53</v>
      </c>
      <c r="J719" s="8" t="s">
        <v>90</v>
      </c>
      <c r="K719" s="8" t="s">
        <v>2520</v>
      </c>
      <c r="L719" s="7">
        <v>7457</v>
      </c>
      <c r="M719" s="10" t="str">
        <f t="shared" si="66"/>
        <v>CMI02150200</v>
      </c>
      <c r="N719" s="10" t="str">
        <f t="shared" si="67"/>
        <v>SEG221000</v>
      </c>
      <c r="O719" s="10" t="str">
        <f t="shared" si="68"/>
        <v>E</v>
      </c>
      <c r="P719" s="10" t="str">
        <f t="shared" si="69"/>
        <v>50</v>
      </c>
      <c r="Q719" s="10" t="str">
        <f t="shared" si="70"/>
        <v>ZSEG</v>
      </c>
      <c r="R719" s="10" t="str">
        <f t="shared" si="71"/>
        <v>41116101</v>
      </c>
    </row>
    <row r="720" spans="1:18" ht="38.25" hidden="1" x14ac:dyDescent="0.2">
      <c r="A720" s="21" t="s">
        <v>2519</v>
      </c>
      <c r="B720" s="8" t="s">
        <v>2518</v>
      </c>
      <c r="C720" s="8" t="s">
        <v>40</v>
      </c>
      <c r="D720" s="8" t="s">
        <v>141</v>
      </c>
      <c r="E720" s="8" t="s">
        <v>40</v>
      </c>
      <c r="F720" s="8" t="s">
        <v>39</v>
      </c>
      <c r="G720" s="8" t="s">
        <v>220</v>
      </c>
      <c r="H720" s="8" t="s">
        <v>37</v>
      </c>
      <c r="I720" s="8" t="s">
        <v>53</v>
      </c>
      <c r="J720" s="8" t="s">
        <v>90</v>
      </c>
      <c r="K720" s="8" t="s">
        <v>2517</v>
      </c>
      <c r="L720" s="7">
        <v>7458</v>
      </c>
      <c r="M720" s="10" t="str">
        <f t="shared" si="66"/>
        <v>CMI02150200</v>
      </c>
      <c r="N720" s="10" t="str">
        <f t="shared" si="67"/>
        <v>SEG221000</v>
      </c>
      <c r="O720" s="10" t="str">
        <f t="shared" si="68"/>
        <v>E</v>
      </c>
      <c r="P720" s="10" t="str">
        <f t="shared" si="69"/>
        <v>50</v>
      </c>
      <c r="Q720" s="10" t="str">
        <f t="shared" si="70"/>
        <v>ZSEG</v>
      </c>
      <c r="R720" s="10" t="str">
        <f t="shared" si="71"/>
        <v>42142108</v>
      </c>
    </row>
    <row r="721" spans="1:18" ht="38.25" hidden="1" x14ac:dyDescent="0.2">
      <c r="A721" s="21" t="s">
        <v>2516</v>
      </c>
      <c r="B721" s="8" t="s">
        <v>2515</v>
      </c>
      <c r="C721" s="8" t="s">
        <v>40</v>
      </c>
      <c r="D721" s="8" t="s">
        <v>74</v>
      </c>
      <c r="E721" s="8" t="s">
        <v>40</v>
      </c>
      <c r="F721" s="8" t="s">
        <v>39</v>
      </c>
      <c r="G721" s="8" t="s">
        <v>91</v>
      </c>
      <c r="H721" s="8" t="s">
        <v>37</v>
      </c>
      <c r="I721" s="8" t="s">
        <v>53</v>
      </c>
      <c r="J721" s="8" t="s">
        <v>90</v>
      </c>
      <c r="K721" s="8" t="s">
        <v>2514</v>
      </c>
      <c r="L721" s="7">
        <v>7459</v>
      </c>
      <c r="M721" s="10" t="str">
        <f t="shared" si="66"/>
        <v>CMI02170300</v>
      </c>
      <c r="N721" s="10" t="str">
        <f t="shared" si="67"/>
        <v>SEG221100</v>
      </c>
      <c r="O721" s="10" t="str">
        <f t="shared" si="68"/>
        <v>E</v>
      </c>
      <c r="P721" s="10" t="str">
        <f t="shared" si="69"/>
        <v>50</v>
      </c>
      <c r="Q721" s="10" t="str">
        <f t="shared" si="70"/>
        <v>ZSEG</v>
      </c>
      <c r="R721" s="10" t="str">
        <f t="shared" si="71"/>
        <v>60101811</v>
      </c>
    </row>
    <row r="722" spans="1:18" ht="38.25" hidden="1" x14ac:dyDescent="0.2">
      <c r="A722" s="21" t="s">
        <v>2513</v>
      </c>
      <c r="B722" s="8" t="s">
        <v>2512</v>
      </c>
      <c r="C722" s="8" t="s">
        <v>40</v>
      </c>
      <c r="D722" s="8" t="s">
        <v>2396</v>
      </c>
      <c r="E722" s="8" t="s">
        <v>40</v>
      </c>
      <c r="F722" s="8" t="s">
        <v>39</v>
      </c>
      <c r="G722" s="8" t="s">
        <v>220</v>
      </c>
      <c r="H722" s="8" t="s">
        <v>37</v>
      </c>
      <c r="I722" s="8" t="s">
        <v>53</v>
      </c>
      <c r="J722" s="8" t="s">
        <v>90</v>
      </c>
      <c r="K722" s="8" t="s">
        <v>2511</v>
      </c>
      <c r="L722" s="7">
        <v>7460</v>
      </c>
      <c r="M722" s="10" t="str">
        <f t="shared" si="66"/>
        <v>CMI02052100</v>
      </c>
      <c r="N722" s="10" t="str">
        <f t="shared" si="67"/>
        <v>SEG221000</v>
      </c>
      <c r="O722" s="10" t="str">
        <f t="shared" si="68"/>
        <v>E</v>
      </c>
      <c r="P722" s="10" t="str">
        <f t="shared" si="69"/>
        <v>50</v>
      </c>
      <c r="Q722" s="10" t="str">
        <f t="shared" si="70"/>
        <v>ZSEG</v>
      </c>
      <c r="R722" s="10" t="str">
        <f t="shared" si="71"/>
        <v>30121719</v>
      </c>
    </row>
    <row r="723" spans="1:18" ht="38.25" hidden="1" x14ac:dyDescent="0.2">
      <c r="A723" s="21" t="s">
        <v>2510</v>
      </c>
      <c r="B723" s="8" t="s">
        <v>2509</v>
      </c>
      <c r="C723" s="8" t="s">
        <v>40</v>
      </c>
      <c r="D723" s="8" t="s">
        <v>947</v>
      </c>
      <c r="E723" s="8" t="s">
        <v>40</v>
      </c>
      <c r="F723" s="8" t="s">
        <v>39</v>
      </c>
      <c r="G723" s="8" t="s">
        <v>220</v>
      </c>
      <c r="H723" s="8" t="s">
        <v>37</v>
      </c>
      <c r="I723" s="8" t="s">
        <v>53</v>
      </c>
      <c r="J723" s="8" t="s">
        <v>90</v>
      </c>
      <c r="K723" s="8" t="s">
        <v>2508</v>
      </c>
      <c r="L723" s="7">
        <v>7461</v>
      </c>
      <c r="M723" s="10" t="str">
        <f t="shared" si="66"/>
        <v>CMI02160200</v>
      </c>
      <c r="N723" s="10" t="str">
        <f t="shared" si="67"/>
        <v>SEG221000</v>
      </c>
      <c r="O723" s="10" t="str">
        <f t="shared" si="68"/>
        <v>E</v>
      </c>
      <c r="P723" s="10" t="str">
        <f t="shared" si="69"/>
        <v>50</v>
      </c>
      <c r="Q723" s="10" t="str">
        <f t="shared" si="70"/>
        <v>ZSEG</v>
      </c>
      <c r="R723" s="10" t="str">
        <f t="shared" si="71"/>
        <v>25131705</v>
      </c>
    </row>
    <row r="724" spans="1:18" ht="38.25" hidden="1" x14ac:dyDescent="0.2">
      <c r="A724" s="21" t="s">
        <v>2507</v>
      </c>
      <c r="B724" s="8" t="s">
        <v>2506</v>
      </c>
      <c r="C724" s="8" t="s">
        <v>40</v>
      </c>
      <c r="D724" s="8" t="s">
        <v>363</v>
      </c>
      <c r="E724" s="8" t="s">
        <v>40</v>
      </c>
      <c r="F724" s="8" t="s">
        <v>39</v>
      </c>
      <c r="G724" s="8" t="s">
        <v>220</v>
      </c>
      <c r="H724" s="8" t="s">
        <v>37</v>
      </c>
      <c r="I724" s="8" t="s">
        <v>53</v>
      </c>
      <c r="J724" s="8" t="s">
        <v>90</v>
      </c>
      <c r="K724" s="8" t="s">
        <v>2505</v>
      </c>
      <c r="L724" s="7">
        <v>7462</v>
      </c>
      <c r="M724" s="10" t="str">
        <f t="shared" si="66"/>
        <v>CMI02051300</v>
      </c>
      <c r="N724" s="10" t="str">
        <f t="shared" si="67"/>
        <v>SEG221000</v>
      </c>
      <c r="O724" s="10" t="str">
        <f t="shared" si="68"/>
        <v>E</v>
      </c>
      <c r="P724" s="10" t="str">
        <f t="shared" si="69"/>
        <v>50</v>
      </c>
      <c r="Q724" s="10" t="str">
        <f t="shared" si="70"/>
        <v>ZSEG</v>
      </c>
      <c r="R724" s="10" t="str">
        <f t="shared" si="71"/>
        <v>30171505</v>
      </c>
    </row>
    <row r="725" spans="1:18" ht="38.25" hidden="1" x14ac:dyDescent="0.2">
      <c r="A725" s="21" t="s">
        <v>2504</v>
      </c>
      <c r="B725" s="8" t="s">
        <v>2503</v>
      </c>
      <c r="C725" s="8" t="s">
        <v>40</v>
      </c>
      <c r="D725" s="8" t="s">
        <v>275</v>
      </c>
      <c r="E725" s="8" t="s">
        <v>40</v>
      </c>
      <c r="F725" s="8" t="s">
        <v>39</v>
      </c>
      <c r="G725" s="8" t="s">
        <v>220</v>
      </c>
      <c r="H725" s="8" t="s">
        <v>37</v>
      </c>
      <c r="I725" s="8" t="s">
        <v>53</v>
      </c>
      <c r="J725" s="8" t="s">
        <v>90</v>
      </c>
      <c r="K725" s="8" t="s">
        <v>2502</v>
      </c>
      <c r="L725" s="7">
        <v>7463</v>
      </c>
      <c r="M725" s="10" t="str">
        <f t="shared" si="66"/>
        <v>CMI01030300</v>
      </c>
      <c r="N725" s="10" t="str">
        <f t="shared" si="67"/>
        <v>SEG221000</v>
      </c>
      <c r="O725" s="10" t="str">
        <f t="shared" si="68"/>
        <v>E</v>
      </c>
      <c r="P725" s="10" t="str">
        <f t="shared" si="69"/>
        <v>50</v>
      </c>
      <c r="Q725" s="10" t="str">
        <f t="shared" si="70"/>
        <v>ZSEG</v>
      </c>
      <c r="R725" s="10" t="str">
        <f t="shared" si="71"/>
        <v>44111605</v>
      </c>
    </row>
    <row r="726" spans="1:18" ht="38.25" hidden="1" x14ac:dyDescent="0.2">
      <c r="A726" s="21" t="s">
        <v>2501</v>
      </c>
      <c r="B726" s="8" t="s">
        <v>2500</v>
      </c>
      <c r="C726" s="8" t="s">
        <v>40</v>
      </c>
      <c r="D726" s="8" t="s">
        <v>224</v>
      </c>
      <c r="E726" s="7">
        <v>6</v>
      </c>
      <c r="F726" s="8" t="s">
        <v>39</v>
      </c>
      <c r="G726" s="8" t="s">
        <v>220</v>
      </c>
      <c r="H726" s="8" t="s">
        <v>37</v>
      </c>
      <c r="I726" s="8" t="s">
        <v>53</v>
      </c>
      <c r="J726" s="8" t="s">
        <v>90</v>
      </c>
      <c r="K726" s="8" t="s">
        <v>2499</v>
      </c>
      <c r="L726" s="7">
        <v>7464</v>
      </c>
      <c r="M726" s="10" t="str">
        <f t="shared" si="66"/>
        <v>CMI02170100</v>
      </c>
      <c r="N726" s="10" t="str">
        <f t="shared" si="67"/>
        <v>SEG221000</v>
      </c>
      <c r="O726" s="10" t="str">
        <f t="shared" si="68"/>
        <v>E</v>
      </c>
      <c r="P726" s="10" t="str">
        <f t="shared" si="69"/>
        <v>50</v>
      </c>
      <c r="Q726" s="10" t="str">
        <f t="shared" si="70"/>
        <v>ZSEG</v>
      </c>
      <c r="R726" s="10" t="str">
        <f t="shared" si="71"/>
        <v>49141500</v>
      </c>
    </row>
    <row r="727" spans="1:18" ht="38.25" hidden="1" x14ac:dyDescent="0.2">
      <c r="A727" s="21" t="s">
        <v>2498</v>
      </c>
      <c r="B727" s="8" t="s">
        <v>2497</v>
      </c>
      <c r="C727" s="8" t="s">
        <v>40</v>
      </c>
      <c r="D727" s="8" t="s">
        <v>224</v>
      </c>
      <c r="E727" s="8" t="s">
        <v>40</v>
      </c>
      <c r="F727" s="8" t="s">
        <v>39</v>
      </c>
      <c r="G727" s="8" t="s">
        <v>220</v>
      </c>
      <c r="H727" s="8" t="s">
        <v>37</v>
      </c>
      <c r="I727" s="8" t="s">
        <v>53</v>
      </c>
      <c r="J727" s="8" t="s">
        <v>90</v>
      </c>
      <c r="K727" s="8" t="s">
        <v>2496</v>
      </c>
      <c r="L727" s="7">
        <v>7465</v>
      </c>
      <c r="M727" s="10" t="str">
        <f t="shared" si="66"/>
        <v>CMI02170100</v>
      </c>
      <c r="N727" s="10" t="str">
        <f t="shared" si="67"/>
        <v>SEG221000</v>
      </c>
      <c r="O727" s="10" t="str">
        <f t="shared" si="68"/>
        <v>E</v>
      </c>
      <c r="P727" s="10" t="str">
        <f t="shared" si="69"/>
        <v>50</v>
      </c>
      <c r="Q727" s="10" t="str">
        <f t="shared" si="70"/>
        <v>ZSEG</v>
      </c>
      <c r="R727" s="10" t="str">
        <f t="shared" si="71"/>
        <v>24122000</v>
      </c>
    </row>
    <row r="728" spans="1:18" ht="38.25" hidden="1" x14ac:dyDescent="0.2">
      <c r="A728" s="21" t="s">
        <v>2495</v>
      </c>
      <c r="B728" s="8" t="s">
        <v>2494</v>
      </c>
      <c r="C728" s="8" t="s">
        <v>40</v>
      </c>
      <c r="D728" s="8" t="s">
        <v>141</v>
      </c>
      <c r="E728" s="8" t="s">
        <v>40</v>
      </c>
      <c r="F728" s="8" t="s">
        <v>39</v>
      </c>
      <c r="G728" s="8" t="s">
        <v>220</v>
      </c>
      <c r="H728" s="8" t="s">
        <v>37</v>
      </c>
      <c r="I728" s="8" t="s">
        <v>53</v>
      </c>
      <c r="J728" s="8" t="s">
        <v>90</v>
      </c>
      <c r="K728" s="8" t="s">
        <v>2493</v>
      </c>
      <c r="L728" s="7">
        <v>7466</v>
      </c>
      <c r="M728" s="10" t="str">
        <f t="shared" si="66"/>
        <v>CMI02150200</v>
      </c>
      <c r="N728" s="10" t="str">
        <f t="shared" si="67"/>
        <v>SEG221000</v>
      </c>
      <c r="O728" s="10" t="str">
        <f t="shared" si="68"/>
        <v>E</v>
      </c>
      <c r="P728" s="10" t="str">
        <f t="shared" si="69"/>
        <v>50</v>
      </c>
      <c r="Q728" s="10" t="str">
        <f t="shared" si="70"/>
        <v>ZSEG</v>
      </c>
      <c r="R728" s="10" t="str">
        <f t="shared" si="71"/>
        <v>42300000</v>
      </c>
    </row>
    <row r="729" spans="1:18" ht="38.25" hidden="1" x14ac:dyDescent="0.2">
      <c r="A729" s="21" t="s">
        <v>2492</v>
      </c>
      <c r="B729" s="8" t="s">
        <v>2491</v>
      </c>
      <c r="C729" s="8" t="s">
        <v>40</v>
      </c>
      <c r="D729" s="8" t="s">
        <v>224</v>
      </c>
      <c r="E729" s="8" t="s">
        <v>40</v>
      </c>
      <c r="F729" s="8" t="s">
        <v>39</v>
      </c>
      <c r="G729" s="8" t="s">
        <v>220</v>
      </c>
      <c r="H729" s="8" t="s">
        <v>37</v>
      </c>
      <c r="I729" s="8" t="s">
        <v>53</v>
      </c>
      <c r="J729" s="8" t="s">
        <v>90</v>
      </c>
      <c r="K729" s="8" t="s">
        <v>2490</v>
      </c>
      <c r="L729" s="7">
        <v>7467</v>
      </c>
      <c r="M729" s="10" t="str">
        <f t="shared" si="66"/>
        <v>CMI02170100</v>
      </c>
      <c r="N729" s="10" t="str">
        <f t="shared" si="67"/>
        <v>SEG221000</v>
      </c>
      <c r="O729" s="10" t="str">
        <f t="shared" si="68"/>
        <v>E</v>
      </c>
      <c r="P729" s="10" t="str">
        <f t="shared" si="69"/>
        <v>50</v>
      </c>
      <c r="Q729" s="10" t="str">
        <f t="shared" si="70"/>
        <v>ZSEG</v>
      </c>
      <c r="R729" s="10" t="str">
        <f t="shared" si="71"/>
        <v>46181811</v>
      </c>
    </row>
    <row r="730" spans="1:18" ht="38.25" hidden="1" x14ac:dyDescent="0.2">
      <c r="A730" s="21" t="s">
        <v>2489</v>
      </c>
      <c r="B730" s="8" t="s">
        <v>2488</v>
      </c>
      <c r="C730" s="8" t="s">
        <v>40</v>
      </c>
      <c r="D730" s="8" t="s">
        <v>241</v>
      </c>
      <c r="E730" s="8" t="s">
        <v>40</v>
      </c>
      <c r="F730" s="8" t="s">
        <v>39</v>
      </c>
      <c r="G730" s="8" t="s">
        <v>220</v>
      </c>
      <c r="H730" s="8" t="s">
        <v>37</v>
      </c>
      <c r="I730" s="8" t="s">
        <v>53</v>
      </c>
      <c r="J730" s="8" t="s">
        <v>90</v>
      </c>
      <c r="K730" s="8" t="s">
        <v>2487</v>
      </c>
      <c r="L730" s="7">
        <v>7468</v>
      </c>
      <c r="M730" s="10" t="str">
        <f t="shared" si="66"/>
        <v>CMI02090300</v>
      </c>
      <c r="N730" s="10" t="str">
        <f t="shared" si="67"/>
        <v>SEG221000</v>
      </c>
      <c r="O730" s="10" t="str">
        <f t="shared" si="68"/>
        <v>E</v>
      </c>
      <c r="P730" s="10" t="str">
        <f t="shared" si="69"/>
        <v>50</v>
      </c>
      <c r="Q730" s="10" t="str">
        <f t="shared" si="70"/>
        <v>ZSEG</v>
      </c>
      <c r="R730" s="10" t="str">
        <f t="shared" si="71"/>
        <v>46171620</v>
      </c>
    </row>
    <row r="731" spans="1:18" ht="38.25" hidden="1" x14ac:dyDescent="0.2">
      <c r="A731" s="21" t="s">
        <v>2486</v>
      </c>
      <c r="B731" s="8" t="s">
        <v>2485</v>
      </c>
      <c r="C731" s="8" t="s">
        <v>40</v>
      </c>
      <c r="D731" s="8" t="s">
        <v>212</v>
      </c>
      <c r="E731" s="8" t="s">
        <v>40</v>
      </c>
      <c r="F731" s="8" t="s">
        <v>39</v>
      </c>
      <c r="G731" s="8" t="s">
        <v>220</v>
      </c>
      <c r="H731" s="8" t="s">
        <v>37</v>
      </c>
      <c r="I731" s="8" t="s">
        <v>53</v>
      </c>
      <c r="J731" s="8" t="s">
        <v>90</v>
      </c>
      <c r="K731" s="8" t="s">
        <v>2484</v>
      </c>
      <c r="L731" s="7">
        <v>7469</v>
      </c>
      <c r="M731" s="10" t="str">
        <f t="shared" si="66"/>
        <v>CMI01010500</v>
      </c>
      <c r="N731" s="10" t="str">
        <f t="shared" si="67"/>
        <v>SEG221000</v>
      </c>
      <c r="O731" s="10" t="str">
        <f t="shared" si="68"/>
        <v>E</v>
      </c>
      <c r="P731" s="10" t="str">
        <f t="shared" si="69"/>
        <v>50</v>
      </c>
      <c r="Q731" s="10" t="str">
        <f t="shared" si="70"/>
        <v>ZSEG</v>
      </c>
      <c r="R731" s="10" t="str">
        <f t="shared" si="71"/>
        <v>46171610</v>
      </c>
    </row>
    <row r="732" spans="1:18" ht="38.25" hidden="1" x14ac:dyDescent="0.2">
      <c r="A732" s="21" t="s">
        <v>2483</v>
      </c>
      <c r="B732" s="8" t="s">
        <v>2482</v>
      </c>
      <c r="C732" s="8" t="s">
        <v>40</v>
      </c>
      <c r="D732" s="8" t="s">
        <v>224</v>
      </c>
      <c r="E732" s="8" t="s">
        <v>40</v>
      </c>
      <c r="F732" s="8" t="s">
        <v>39</v>
      </c>
      <c r="G732" s="8" t="s">
        <v>220</v>
      </c>
      <c r="H732" s="8" t="s">
        <v>37</v>
      </c>
      <c r="I732" s="8" t="s">
        <v>53</v>
      </c>
      <c r="J732" s="8" t="s">
        <v>90</v>
      </c>
      <c r="K732" s="8" t="s">
        <v>2481</v>
      </c>
      <c r="L732" s="7">
        <v>7470</v>
      </c>
      <c r="M732" s="10" t="str">
        <f t="shared" si="66"/>
        <v>CMI02170100</v>
      </c>
      <c r="N732" s="10" t="str">
        <f t="shared" si="67"/>
        <v>SEG221000</v>
      </c>
      <c r="O732" s="10" t="str">
        <f t="shared" si="68"/>
        <v>E</v>
      </c>
      <c r="P732" s="10" t="str">
        <f t="shared" si="69"/>
        <v>50</v>
      </c>
      <c r="Q732" s="10" t="str">
        <f t="shared" si="70"/>
        <v>ZSEG</v>
      </c>
      <c r="R732" s="10" t="str">
        <f t="shared" si="71"/>
        <v>46191608</v>
      </c>
    </row>
    <row r="733" spans="1:18" ht="38.25" hidden="1" x14ac:dyDescent="0.2">
      <c r="A733" s="21" t="s">
        <v>2480</v>
      </c>
      <c r="B733" s="8" t="s">
        <v>2479</v>
      </c>
      <c r="C733" s="8" t="s">
        <v>40</v>
      </c>
      <c r="D733" s="8" t="s">
        <v>92</v>
      </c>
      <c r="E733" s="8" t="s">
        <v>40</v>
      </c>
      <c r="F733" s="8" t="s">
        <v>39</v>
      </c>
      <c r="G733" s="8" t="s">
        <v>91</v>
      </c>
      <c r="H733" s="8" t="s">
        <v>37</v>
      </c>
      <c r="I733" s="8" t="s">
        <v>53</v>
      </c>
      <c r="J733" s="8" t="s">
        <v>90</v>
      </c>
      <c r="K733" s="8" t="s">
        <v>2478</v>
      </c>
      <c r="L733" s="7">
        <v>7471</v>
      </c>
      <c r="M733" s="10" t="str">
        <f t="shared" si="66"/>
        <v>CMI02170400</v>
      </c>
      <c r="N733" s="10" t="str">
        <f t="shared" si="67"/>
        <v>SEG221100</v>
      </c>
      <c r="O733" s="10" t="str">
        <f t="shared" si="68"/>
        <v>E</v>
      </c>
      <c r="P733" s="10" t="str">
        <f t="shared" si="69"/>
        <v>50</v>
      </c>
      <c r="Q733" s="10" t="str">
        <f t="shared" si="70"/>
        <v>ZSEG</v>
      </c>
      <c r="R733" s="10" t="str">
        <f t="shared" si="71"/>
        <v>53101804</v>
      </c>
    </row>
    <row r="734" spans="1:18" ht="38.25" hidden="1" x14ac:dyDescent="0.2">
      <c r="A734" s="21" t="s">
        <v>2477</v>
      </c>
      <c r="B734" s="8" t="s">
        <v>2476</v>
      </c>
      <c r="C734" s="8" t="s">
        <v>40</v>
      </c>
      <c r="D734" s="8" t="s">
        <v>92</v>
      </c>
      <c r="E734" s="8" t="s">
        <v>40</v>
      </c>
      <c r="F734" s="8" t="s">
        <v>39</v>
      </c>
      <c r="G734" s="8" t="s">
        <v>91</v>
      </c>
      <c r="H734" s="8" t="s">
        <v>37</v>
      </c>
      <c r="I734" s="8" t="s">
        <v>53</v>
      </c>
      <c r="J734" s="8" t="s">
        <v>90</v>
      </c>
      <c r="K734" s="8" t="s">
        <v>2475</v>
      </c>
      <c r="L734" s="7">
        <v>7472</v>
      </c>
      <c r="M734" s="10" t="str">
        <f t="shared" si="66"/>
        <v>CMI02170400</v>
      </c>
      <c r="N734" s="10" t="str">
        <f t="shared" si="67"/>
        <v>SEG221100</v>
      </c>
      <c r="O734" s="10" t="str">
        <f t="shared" si="68"/>
        <v>E</v>
      </c>
      <c r="P734" s="10" t="str">
        <f t="shared" si="69"/>
        <v>50</v>
      </c>
      <c r="Q734" s="10" t="str">
        <f t="shared" si="70"/>
        <v>ZSEG</v>
      </c>
      <c r="R734" s="10" t="str">
        <f t="shared" si="71"/>
        <v>53103100</v>
      </c>
    </row>
    <row r="735" spans="1:18" ht="38.25" hidden="1" x14ac:dyDescent="0.2">
      <c r="A735" s="21" t="s">
        <v>2474</v>
      </c>
      <c r="B735" s="8" t="s">
        <v>2473</v>
      </c>
      <c r="C735" s="8" t="s">
        <v>40</v>
      </c>
      <c r="D735" s="8" t="s">
        <v>249</v>
      </c>
      <c r="E735" s="8" t="s">
        <v>40</v>
      </c>
      <c r="F735" s="8" t="s">
        <v>39</v>
      </c>
      <c r="G735" s="8" t="s">
        <v>220</v>
      </c>
      <c r="H735" s="8" t="s">
        <v>37</v>
      </c>
      <c r="I735" s="8" t="s">
        <v>53</v>
      </c>
      <c r="J735" s="8" t="s">
        <v>90</v>
      </c>
      <c r="K735" s="8" t="s">
        <v>2472</v>
      </c>
      <c r="L735" s="7">
        <v>7473</v>
      </c>
      <c r="M735" s="10" t="str">
        <f t="shared" si="66"/>
        <v>CMI02090700</v>
      </c>
      <c r="N735" s="10" t="str">
        <f t="shared" si="67"/>
        <v>SEG221000</v>
      </c>
      <c r="O735" s="10" t="str">
        <f t="shared" si="68"/>
        <v>E</v>
      </c>
      <c r="P735" s="10" t="str">
        <f t="shared" si="69"/>
        <v>50</v>
      </c>
      <c r="Q735" s="10" t="str">
        <f t="shared" si="70"/>
        <v>ZSEG</v>
      </c>
      <c r="R735" s="10" t="str">
        <f t="shared" si="71"/>
        <v>24101900</v>
      </c>
    </row>
    <row r="736" spans="1:18" ht="38.25" hidden="1" x14ac:dyDescent="0.2">
      <c r="A736" s="21" t="s">
        <v>2471</v>
      </c>
      <c r="B736" s="8" t="s">
        <v>2470</v>
      </c>
      <c r="C736" s="8" t="s">
        <v>40</v>
      </c>
      <c r="D736" s="8" t="s">
        <v>669</v>
      </c>
      <c r="E736" s="8" t="s">
        <v>40</v>
      </c>
      <c r="F736" s="8" t="s">
        <v>39</v>
      </c>
      <c r="G736" s="8" t="s">
        <v>220</v>
      </c>
      <c r="H736" s="8" t="s">
        <v>37</v>
      </c>
      <c r="I736" s="8" t="s">
        <v>53</v>
      </c>
      <c r="J736" s="8" t="s">
        <v>90</v>
      </c>
      <c r="K736" s="8" t="s">
        <v>2469</v>
      </c>
      <c r="L736" s="7">
        <v>7474</v>
      </c>
      <c r="M736" s="10" t="str">
        <f t="shared" si="66"/>
        <v>CMI02140700</v>
      </c>
      <c r="N736" s="10" t="str">
        <f t="shared" si="67"/>
        <v>SEG221000</v>
      </c>
      <c r="O736" s="10" t="str">
        <f t="shared" si="68"/>
        <v>E</v>
      </c>
      <c r="P736" s="10" t="str">
        <f t="shared" si="69"/>
        <v>50</v>
      </c>
      <c r="Q736" s="10" t="str">
        <f t="shared" si="70"/>
        <v>ZSEG</v>
      </c>
      <c r="R736" s="10" t="str">
        <f t="shared" si="71"/>
        <v>30191601</v>
      </c>
    </row>
    <row r="737" spans="1:18" ht="38.25" hidden="1" x14ac:dyDescent="0.2">
      <c r="A737" s="21" t="s">
        <v>2468</v>
      </c>
      <c r="B737" s="8" t="s">
        <v>2467</v>
      </c>
      <c r="C737" s="8" t="s">
        <v>40</v>
      </c>
      <c r="D737" s="8" t="s">
        <v>92</v>
      </c>
      <c r="E737" s="8" t="s">
        <v>40</v>
      </c>
      <c r="F737" s="8" t="s">
        <v>39</v>
      </c>
      <c r="G737" s="8" t="s">
        <v>91</v>
      </c>
      <c r="H737" s="8" t="s">
        <v>37</v>
      </c>
      <c r="I737" s="8" t="s">
        <v>53</v>
      </c>
      <c r="J737" s="8" t="s">
        <v>90</v>
      </c>
      <c r="K737" s="8" t="s">
        <v>2466</v>
      </c>
      <c r="L737" s="7">
        <v>7475</v>
      </c>
      <c r="M737" s="10" t="str">
        <f t="shared" si="66"/>
        <v>CMI02170400</v>
      </c>
      <c r="N737" s="10" t="str">
        <f t="shared" si="67"/>
        <v>SEG221100</v>
      </c>
      <c r="O737" s="10" t="str">
        <f t="shared" si="68"/>
        <v>E</v>
      </c>
      <c r="P737" s="10" t="str">
        <f t="shared" si="69"/>
        <v>50</v>
      </c>
      <c r="Q737" s="10" t="str">
        <f t="shared" si="70"/>
        <v>ZSEG</v>
      </c>
      <c r="R737" s="10" t="str">
        <f t="shared" si="71"/>
        <v>53101600</v>
      </c>
    </row>
    <row r="738" spans="1:18" ht="25.5" hidden="1" x14ac:dyDescent="0.2">
      <c r="A738" s="21" t="s">
        <v>2465</v>
      </c>
      <c r="B738" s="8" t="s">
        <v>2464</v>
      </c>
      <c r="C738" s="8" t="s">
        <v>40</v>
      </c>
      <c r="D738" s="8" t="s">
        <v>321</v>
      </c>
      <c r="E738" s="8" t="s">
        <v>40</v>
      </c>
      <c r="F738" s="8" t="s">
        <v>39</v>
      </c>
      <c r="G738" s="8" t="s">
        <v>60</v>
      </c>
      <c r="H738" s="8" t="s">
        <v>37</v>
      </c>
      <c r="I738" s="8" t="s">
        <v>53</v>
      </c>
      <c r="J738" s="8" t="s">
        <v>59</v>
      </c>
      <c r="K738" s="8" t="s">
        <v>2463</v>
      </c>
      <c r="L738" s="7">
        <v>7476</v>
      </c>
      <c r="M738" s="10" t="str">
        <f t="shared" si="66"/>
        <v>CMI02050100</v>
      </c>
      <c r="N738" s="10" t="str">
        <f t="shared" si="67"/>
        <v>SUM231200</v>
      </c>
      <c r="O738" s="10" t="str">
        <f t="shared" si="68"/>
        <v>E</v>
      </c>
      <c r="P738" s="10" t="str">
        <f t="shared" si="69"/>
        <v>50</v>
      </c>
      <c r="Q738" s="10" t="str">
        <f t="shared" si="70"/>
        <v>ZSUM</v>
      </c>
      <c r="R738" s="10" t="str">
        <f t="shared" si="71"/>
        <v>41111950</v>
      </c>
    </row>
    <row r="739" spans="1:18" ht="38.25" hidden="1" x14ac:dyDescent="0.2">
      <c r="A739" s="21" t="s">
        <v>2462</v>
      </c>
      <c r="B739" s="8" t="s">
        <v>2461</v>
      </c>
      <c r="C739" s="8" t="s">
        <v>40</v>
      </c>
      <c r="D739" s="8" t="s">
        <v>2240</v>
      </c>
      <c r="E739" s="8" t="s">
        <v>40</v>
      </c>
      <c r="F739" s="8" t="s">
        <v>39</v>
      </c>
      <c r="G739" s="8" t="s">
        <v>60</v>
      </c>
      <c r="H739" s="8" t="s">
        <v>37</v>
      </c>
      <c r="I739" s="8" t="s">
        <v>53</v>
      </c>
      <c r="J739" s="8" t="s">
        <v>59</v>
      </c>
      <c r="K739" s="8" t="s">
        <v>2460</v>
      </c>
      <c r="L739" s="7">
        <v>7477</v>
      </c>
      <c r="M739" s="10" t="str">
        <f t="shared" si="66"/>
        <v>CMI02070200</v>
      </c>
      <c r="N739" s="10" t="str">
        <f t="shared" si="67"/>
        <v>SUM231200</v>
      </c>
      <c r="O739" s="10" t="str">
        <f t="shared" si="68"/>
        <v>E</v>
      </c>
      <c r="P739" s="10" t="str">
        <f t="shared" si="69"/>
        <v>50</v>
      </c>
      <c r="Q739" s="10" t="str">
        <f t="shared" si="70"/>
        <v>ZSUM</v>
      </c>
      <c r="R739" s="10" t="str">
        <f t="shared" si="71"/>
        <v>25172500</v>
      </c>
    </row>
    <row r="740" spans="1:18" ht="25.5" hidden="1" x14ac:dyDescent="0.2">
      <c r="A740" s="21" t="s">
        <v>2459</v>
      </c>
      <c r="B740" s="8" t="s">
        <v>1128</v>
      </c>
      <c r="C740" s="8" t="s">
        <v>40</v>
      </c>
      <c r="D740" s="8" t="s">
        <v>245</v>
      </c>
      <c r="E740" s="8" t="s">
        <v>40</v>
      </c>
      <c r="F740" s="8" t="s">
        <v>39</v>
      </c>
      <c r="G740" s="8" t="s">
        <v>60</v>
      </c>
      <c r="H740" s="8" t="s">
        <v>37</v>
      </c>
      <c r="I740" s="8" t="s">
        <v>53</v>
      </c>
      <c r="J740" s="8" t="s">
        <v>59</v>
      </c>
      <c r="K740" s="8" t="s">
        <v>2458</v>
      </c>
      <c r="L740" s="7">
        <v>7478</v>
      </c>
      <c r="M740" s="10" t="str">
        <f t="shared" si="66"/>
        <v>CMI01020300</v>
      </c>
      <c r="N740" s="10" t="str">
        <f t="shared" si="67"/>
        <v>SUM231200</v>
      </c>
      <c r="O740" s="10" t="str">
        <f t="shared" si="68"/>
        <v>E</v>
      </c>
      <c r="P740" s="10" t="str">
        <f t="shared" si="69"/>
        <v>50</v>
      </c>
      <c r="Q740" s="10" t="str">
        <f t="shared" si="70"/>
        <v>ZSUM</v>
      </c>
      <c r="R740" s="10" t="str">
        <f t="shared" si="71"/>
        <v>40101604</v>
      </c>
    </row>
    <row r="741" spans="1:18" ht="25.5" hidden="1" x14ac:dyDescent="0.2">
      <c r="A741" s="21" t="s">
        <v>2457</v>
      </c>
      <c r="B741" s="8" t="s">
        <v>2456</v>
      </c>
      <c r="C741" s="8" t="s">
        <v>40</v>
      </c>
      <c r="D741" s="8" t="s">
        <v>245</v>
      </c>
      <c r="E741" s="8" t="s">
        <v>40</v>
      </c>
      <c r="F741" s="8" t="s">
        <v>39</v>
      </c>
      <c r="G741" s="8" t="s">
        <v>985</v>
      </c>
      <c r="H741" s="8" t="s">
        <v>37</v>
      </c>
      <c r="I741" s="8" t="s">
        <v>53</v>
      </c>
      <c r="J741" s="8" t="s">
        <v>59</v>
      </c>
      <c r="K741" s="8" t="s">
        <v>2455</v>
      </c>
      <c r="L741" s="7">
        <v>7479</v>
      </c>
      <c r="M741" s="10" t="str">
        <f t="shared" si="66"/>
        <v>CMI01020300</v>
      </c>
      <c r="N741" s="10" t="str">
        <f t="shared" si="67"/>
        <v>SUM231600</v>
      </c>
      <c r="O741" s="10" t="str">
        <f t="shared" si="68"/>
        <v>E</v>
      </c>
      <c r="P741" s="10" t="str">
        <f t="shared" si="69"/>
        <v>50</v>
      </c>
      <c r="Q741" s="10" t="str">
        <f t="shared" si="70"/>
        <v>ZSUM</v>
      </c>
      <c r="R741" s="10" t="str">
        <f t="shared" si="71"/>
        <v>40151533</v>
      </c>
    </row>
    <row r="742" spans="1:18" ht="25.5" hidden="1" x14ac:dyDescent="0.2">
      <c r="A742" s="21" t="s">
        <v>2454</v>
      </c>
      <c r="B742" s="8" t="s">
        <v>2453</v>
      </c>
      <c r="C742" s="8" t="s">
        <v>40</v>
      </c>
      <c r="D742" s="8" t="s">
        <v>74</v>
      </c>
      <c r="E742" s="8" t="s">
        <v>40</v>
      </c>
      <c r="F742" s="8" t="s">
        <v>39</v>
      </c>
      <c r="G742" s="8" t="s">
        <v>60</v>
      </c>
      <c r="H742" s="8" t="s">
        <v>37</v>
      </c>
      <c r="I742" s="8" t="s">
        <v>53</v>
      </c>
      <c r="J742" s="8" t="s">
        <v>59</v>
      </c>
      <c r="K742" s="8" t="s">
        <v>2452</v>
      </c>
      <c r="L742" s="7">
        <v>7480</v>
      </c>
      <c r="M742" s="10" t="str">
        <f t="shared" si="66"/>
        <v>CMI02170300</v>
      </c>
      <c r="N742" s="10" t="str">
        <f t="shared" si="67"/>
        <v>SUM231200</v>
      </c>
      <c r="O742" s="10" t="str">
        <f t="shared" si="68"/>
        <v>E</v>
      </c>
      <c r="P742" s="10" t="str">
        <f t="shared" si="69"/>
        <v>50</v>
      </c>
      <c r="Q742" s="10" t="str">
        <f t="shared" si="70"/>
        <v>ZSUM</v>
      </c>
      <c r="R742" s="10" t="str">
        <f t="shared" si="71"/>
        <v>30181602</v>
      </c>
    </row>
    <row r="743" spans="1:18" ht="25.5" hidden="1" x14ac:dyDescent="0.2">
      <c r="A743" s="21" t="s">
        <v>2451</v>
      </c>
      <c r="B743" s="8" t="s">
        <v>2450</v>
      </c>
      <c r="C743" s="8" t="s">
        <v>40</v>
      </c>
      <c r="D743" s="8" t="s">
        <v>321</v>
      </c>
      <c r="E743" s="8" t="s">
        <v>40</v>
      </c>
      <c r="F743" s="8" t="s">
        <v>39</v>
      </c>
      <c r="G743" s="8" t="s">
        <v>60</v>
      </c>
      <c r="H743" s="8" t="s">
        <v>37</v>
      </c>
      <c r="I743" s="8" t="s">
        <v>53</v>
      </c>
      <c r="J743" s="8" t="s">
        <v>59</v>
      </c>
      <c r="K743" s="8" t="s">
        <v>2449</v>
      </c>
      <c r="L743" s="7">
        <v>7481</v>
      </c>
      <c r="M743" s="10" t="str">
        <f t="shared" si="66"/>
        <v>CMI02050100</v>
      </c>
      <c r="N743" s="10" t="str">
        <f t="shared" si="67"/>
        <v>SUM231200</v>
      </c>
      <c r="O743" s="10" t="str">
        <f t="shared" si="68"/>
        <v>E</v>
      </c>
      <c r="P743" s="10" t="str">
        <f t="shared" si="69"/>
        <v>50</v>
      </c>
      <c r="Q743" s="10" t="str">
        <f t="shared" si="70"/>
        <v>ZSUM</v>
      </c>
      <c r="R743" s="10" t="str">
        <f t="shared" si="71"/>
        <v>40141759</v>
      </c>
    </row>
    <row r="744" spans="1:18" ht="38.25" hidden="1" x14ac:dyDescent="0.2">
      <c r="A744" s="21" t="s">
        <v>2448</v>
      </c>
      <c r="B744" s="8" t="s">
        <v>2447</v>
      </c>
      <c r="C744" s="8" t="s">
        <v>40</v>
      </c>
      <c r="D744" s="8" t="s">
        <v>1059</v>
      </c>
      <c r="E744" s="7">
        <v>6</v>
      </c>
      <c r="F744" s="8" t="s">
        <v>39</v>
      </c>
      <c r="G744" s="8" t="s">
        <v>60</v>
      </c>
      <c r="H744" s="8" t="s">
        <v>37</v>
      </c>
      <c r="I744" s="8" t="s">
        <v>53</v>
      </c>
      <c r="J744" s="8" t="s">
        <v>59</v>
      </c>
      <c r="K744" s="8" t="s">
        <v>2446</v>
      </c>
      <c r="L744" s="7">
        <v>7482</v>
      </c>
      <c r="M744" s="10" t="str">
        <f t="shared" si="66"/>
        <v>CMI02090600</v>
      </c>
      <c r="N744" s="10" t="str">
        <f t="shared" si="67"/>
        <v>SUM231200</v>
      </c>
      <c r="O744" s="10" t="str">
        <f t="shared" si="68"/>
        <v>E</v>
      </c>
      <c r="P744" s="10" t="str">
        <f t="shared" si="69"/>
        <v>50</v>
      </c>
      <c r="Q744" s="10" t="str">
        <f t="shared" si="70"/>
        <v>ZSUM</v>
      </c>
      <c r="R744" s="10" t="str">
        <f t="shared" si="71"/>
        <v>40141653</v>
      </c>
    </row>
    <row r="745" spans="1:18" ht="38.25" hidden="1" x14ac:dyDescent="0.2">
      <c r="A745" s="21" t="s">
        <v>2445</v>
      </c>
      <c r="B745" s="8" t="s">
        <v>2444</v>
      </c>
      <c r="C745" s="8" t="s">
        <v>40</v>
      </c>
      <c r="D745" s="8" t="s">
        <v>990</v>
      </c>
      <c r="E745" s="8" t="s">
        <v>40</v>
      </c>
      <c r="F745" s="8" t="s">
        <v>39</v>
      </c>
      <c r="G745" s="8" t="s">
        <v>60</v>
      </c>
      <c r="H745" s="8" t="s">
        <v>37</v>
      </c>
      <c r="I745" s="8" t="s">
        <v>53</v>
      </c>
      <c r="J745" s="8" t="s">
        <v>59</v>
      </c>
      <c r="K745" s="8" t="s">
        <v>2443</v>
      </c>
      <c r="L745" s="7">
        <v>7483</v>
      </c>
      <c r="M745" s="10" t="str">
        <f t="shared" si="66"/>
        <v>CMI02090500</v>
      </c>
      <c r="N745" s="10" t="str">
        <f t="shared" si="67"/>
        <v>SUM231200</v>
      </c>
      <c r="O745" s="10" t="str">
        <f t="shared" si="68"/>
        <v>E</v>
      </c>
      <c r="P745" s="10" t="str">
        <f t="shared" si="69"/>
        <v>50</v>
      </c>
      <c r="Q745" s="10" t="str">
        <f t="shared" si="70"/>
        <v>ZSUM</v>
      </c>
      <c r="R745" s="10" t="str">
        <f t="shared" si="71"/>
        <v>27111543</v>
      </c>
    </row>
    <row r="746" spans="1:18" ht="25.5" hidden="1" x14ac:dyDescent="0.2">
      <c r="A746" s="21" t="s">
        <v>2442</v>
      </c>
      <c r="B746" s="8" t="s">
        <v>2441</v>
      </c>
      <c r="C746" s="8" t="s">
        <v>40</v>
      </c>
      <c r="D746" s="8" t="s">
        <v>256</v>
      </c>
      <c r="E746" s="8" t="s">
        <v>40</v>
      </c>
      <c r="F746" s="8" t="s">
        <v>39</v>
      </c>
      <c r="G746" s="8" t="s">
        <v>60</v>
      </c>
      <c r="H746" s="8" t="s">
        <v>37</v>
      </c>
      <c r="I746" s="8" t="s">
        <v>53</v>
      </c>
      <c r="J746" s="8" t="s">
        <v>59</v>
      </c>
      <c r="K746" s="8" t="s">
        <v>2440</v>
      </c>
      <c r="L746" s="7">
        <v>7484</v>
      </c>
      <c r="M746" s="10" t="str">
        <f t="shared" si="66"/>
        <v>CMI02090900</v>
      </c>
      <c r="N746" s="10" t="str">
        <f t="shared" si="67"/>
        <v>SUM231200</v>
      </c>
      <c r="O746" s="10" t="str">
        <f t="shared" si="68"/>
        <v>E</v>
      </c>
      <c r="P746" s="10" t="str">
        <f t="shared" si="69"/>
        <v>50</v>
      </c>
      <c r="Q746" s="10" t="str">
        <f t="shared" si="70"/>
        <v>ZSUM</v>
      </c>
      <c r="R746" s="10" t="str">
        <f t="shared" si="71"/>
        <v>31161727</v>
      </c>
    </row>
    <row r="747" spans="1:18" ht="25.5" hidden="1" x14ac:dyDescent="0.2">
      <c r="A747" s="21" t="s">
        <v>2439</v>
      </c>
      <c r="B747" s="8" t="s">
        <v>2438</v>
      </c>
      <c r="C747" s="8" t="s">
        <v>40</v>
      </c>
      <c r="D747" s="8" t="s">
        <v>216</v>
      </c>
      <c r="E747" s="8" t="s">
        <v>40</v>
      </c>
      <c r="F747" s="8" t="s">
        <v>39</v>
      </c>
      <c r="G747" s="8" t="s">
        <v>60</v>
      </c>
      <c r="H747" s="8" t="s">
        <v>37</v>
      </c>
      <c r="I747" s="8" t="s">
        <v>53</v>
      </c>
      <c r="J747" s="8" t="s">
        <v>59</v>
      </c>
      <c r="K747" s="8" t="s">
        <v>2437</v>
      </c>
      <c r="L747" s="7">
        <v>7485</v>
      </c>
      <c r="M747" s="10" t="str">
        <f t="shared" si="66"/>
        <v>CMI02140500</v>
      </c>
      <c r="N747" s="10" t="str">
        <f t="shared" si="67"/>
        <v>SUM231200</v>
      </c>
      <c r="O747" s="10" t="str">
        <f t="shared" si="68"/>
        <v>E</v>
      </c>
      <c r="P747" s="10" t="str">
        <f t="shared" si="69"/>
        <v>50</v>
      </c>
      <c r="Q747" s="10" t="str">
        <f t="shared" si="70"/>
        <v>ZSUM</v>
      </c>
      <c r="R747" s="10" t="str">
        <f t="shared" si="71"/>
        <v>46171501</v>
      </c>
    </row>
    <row r="748" spans="1:18" ht="25.5" hidden="1" x14ac:dyDescent="0.2">
      <c r="A748" s="21" t="s">
        <v>2436</v>
      </c>
      <c r="B748" s="8" t="s">
        <v>2435</v>
      </c>
      <c r="C748" s="8" t="s">
        <v>40</v>
      </c>
      <c r="D748" s="8" t="s">
        <v>249</v>
      </c>
      <c r="E748" s="8" t="s">
        <v>40</v>
      </c>
      <c r="F748" s="8" t="s">
        <v>39</v>
      </c>
      <c r="G748" s="8" t="s">
        <v>985</v>
      </c>
      <c r="H748" s="8" t="s">
        <v>37</v>
      </c>
      <c r="I748" s="8" t="s">
        <v>53</v>
      </c>
      <c r="J748" s="8" t="s">
        <v>59</v>
      </c>
      <c r="K748" s="8" t="s">
        <v>2434</v>
      </c>
      <c r="L748" s="7">
        <v>7486</v>
      </c>
      <c r="M748" s="10" t="str">
        <f t="shared" si="66"/>
        <v>CMI02090700</v>
      </c>
      <c r="N748" s="10" t="str">
        <f t="shared" si="67"/>
        <v>SUM231600</v>
      </c>
      <c r="O748" s="10" t="str">
        <f t="shared" si="68"/>
        <v>E</v>
      </c>
      <c r="P748" s="10" t="str">
        <f t="shared" si="69"/>
        <v>50</v>
      </c>
      <c r="Q748" s="10" t="str">
        <f t="shared" si="70"/>
        <v>ZSUM</v>
      </c>
      <c r="R748" s="10" t="str">
        <f t="shared" si="71"/>
        <v>31161500</v>
      </c>
    </row>
    <row r="749" spans="1:18" ht="25.5" hidden="1" x14ac:dyDescent="0.2">
      <c r="A749" s="21" t="s">
        <v>2433</v>
      </c>
      <c r="B749" s="8" t="s">
        <v>2432</v>
      </c>
      <c r="C749" s="8" t="s">
        <v>40</v>
      </c>
      <c r="D749" s="8" t="s">
        <v>241</v>
      </c>
      <c r="E749" s="8" t="s">
        <v>40</v>
      </c>
      <c r="F749" s="8" t="s">
        <v>39</v>
      </c>
      <c r="G749" s="8" t="s">
        <v>885</v>
      </c>
      <c r="H749" s="8" t="s">
        <v>37</v>
      </c>
      <c r="I749" s="8" t="s">
        <v>53</v>
      </c>
      <c r="J749" s="8" t="s">
        <v>59</v>
      </c>
      <c r="K749" s="8" t="s">
        <v>2431</v>
      </c>
      <c r="L749" s="7">
        <v>7487</v>
      </c>
      <c r="M749" s="10" t="str">
        <f t="shared" si="66"/>
        <v>CMI02090300</v>
      </c>
      <c r="N749" s="10" t="str">
        <f t="shared" si="67"/>
        <v>SUM231000</v>
      </c>
      <c r="O749" s="10" t="str">
        <f t="shared" si="68"/>
        <v>E</v>
      </c>
      <c r="P749" s="10" t="str">
        <f t="shared" si="69"/>
        <v>50</v>
      </c>
      <c r="Q749" s="10" t="str">
        <f t="shared" si="70"/>
        <v>ZSUM</v>
      </c>
      <c r="R749" s="10" t="str">
        <f t="shared" si="71"/>
        <v>39121312</v>
      </c>
    </row>
    <row r="750" spans="1:18" ht="25.5" hidden="1" x14ac:dyDescent="0.2">
      <c r="A750" s="21" t="s">
        <v>2430</v>
      </c>
      <c r="B750" s="8" t="s">
        <v>2429</v>
      </c>
      <c r="C750" s="8" t="s">
        <v>40</v>
      </c>
      <c r="D750" s="8" t="s">
        <v>241</v>
      </c>
      <c r="E750" s="8" t="s">
        <v>40</v>
      </c>
      <c r="F750" s="8" t="s">
        <v>39</v>
      </c>
      <c r="G750" s="8" t="s">
        <v>885</v>
      </c>
      <c r="H750" s="8" t="s">
        <v>37</v>
      </c>
      <c r="I750" s="8" t="s">
        <v>53</v>
      </c>
      <c r="J750" s="8" t="s">
        <v>59</v>
      </c>
      <c r="K750" s="8" t="s">
        <v>1788</v>
      </c>
      <c r="L750" s="7">
        <v>7488</v>
      </c>
      <c r="M750" s="10" t="str">
        <f t="shared" si="66"/>
        <v>CMI02090300</v>
      </c>
      <c r="N750" s="10" t="str">
        <f t="shared" si="67"/>
        <v>SUM231000</v>
      </c>
      <c r="O750" s="10" t="str">
        <f t="shared" si="68"/>
        <v>E</v>
      </c>
      <c r="P750" s="10" t="str">
        <f t="shared" si="69"/>
        <v>50</v>
      </c>
      <c r="Q750" s="10" t="str">
        <f t="shared" si="70"/>
        <v>ZSUM</v>
      </c>
      <c r="R750" s="10" t="str">
        <f t="shared" si="71"/>
        <v>26101404</v>
      </c>
    </row>
    <row r="751" spans="1:18" ht="25.5" hidden="1" x14ac:dyDescent="0.2">
      <c r="A751" s="21" t="s">
        <v>2428</v>
      </c>
      <c r="B751" s="8" t="s">
        <v>2427</v>
      </c>
      <c r="C751" s="8" t="s">
        <v>40</v>
      </c>
      <c r="D751" s="8" t="s">
        <v>241</v>
      </c>
      <c r="E751" s="8" t="s">
        <v>40</v>
      </c>
      <c r="F751" s="8" t="s">
        <v>39</v>
      </c>
      <c r="G751" s="8" t="s">
        <v>885</v>
      </c>
      <c r="H751" s="8" t="s">
        <v>37</v>
      </c>
      <c r="I751" s="8" t="s">
        <v>53</v>
      </c>
      <c r="J751" s="8" t="s">
        <v>59</v>
      </c>
      <c r="K751" s="8" t="s">
        <v>1764</v>
      </c>
      <c r="L751" s="7">
        <v>7489</v>
      </c>
      <c r="M751" s="10" t="str">
        <f t="shared" si="66"/>
        <v>CMI02090300</v>
      </c>
      <c r="N751" s="10" t="str">
        <f t="shared" si="67"/>
        <v>SUM231000</v>
      </c>
      <c r="O751" s="10" t="str">
        <f t="shared" si="68"/>
        <v>E</v>
      </c>
      <c r="P751" s="10" t="str">
        <f t="shared" si="69"/>
        <v>50</v>
      </c>
      <c r="Q751" s="10" t="str">
        <f t="shared" si="70"/>
        <v>ZSUM</v>
      </c>
      <c r="R751" s="10" t="str">
        <f t="shared" si="71"/>
        <v>39121303</v>
      </c>
    </row>
    <row r="752" spans="1:18" ht="25.5" hidden="1" x14ac:dyDescent="0.2">
      <c r="A752" s="21" t="s">
        <v>2426</v>
      </c>
      <c r="B752" s="8" t="s">
        <v>2425</v>
      </c>
      <c r="C752" s="8" t="s">
        <v>40</v>
      </c>
      <c r="D752" s="8" t="s">
        <v>363</v>
      </c>
      <c r="E752" s="8" t="s">
        <v>40</v>
      </c>
      <c r="F752" s="8" t="s">
        <v>39</v>
      </c>
      <c r="G752" s="8" t="s">
        <v>885</v>
      </c>
      <c r="H752" s="8" t="s">
        <v>37</v>
      </c>
      <c r="I752" s="8" t="s">
        <v>53</v>
      </c>
      <c r="J752" s="8" t="s">
        <v>59</v>
      </c>
      <c r="K752" s="8" t="s">
        <v>1753</v>
      </c>
      <c r="L752" s="7">
        <v>7490</v>
      </c>
      <c r="M752" s="10" t="str">
        <f t="shared" si="66"/>
        <v>CMI02051300</v>
      </c>
      <c r="N752" s="10" t="str">
        <f t="shared" si="67"/>
        <v>SUM231000</v>
      </c>
      <c r="O752" s="10" t="str">
        <f t="shared" si="68"/>
        <v>E</v>
      </c>
      <c r="P752" s="10" t="str">
        <f t="shared" si="69"/>
        <v>50</v>
      </c>
      <c r="Q752" s="10" t="str">
        <f t="shared" si="70"/>
        <v>ZSUM</v>
      </c>
      <c r="R752" s="10" t="str">
        <f t="shared" si="71"/>
        <v>39131706</v>
      </c>
    </row>
    <row r="753" spans="1:18" ht="25.5" hidden="1" x14ac:dyDescent="0.2">
      <c r="A753" s="21" t="s">
        <v>2424</v>
      </c>
      <c r="B753" s="8" t="s">
        <v>2423</v>
      </c>
      <c r="C753" s="8" t="s">
        <v>40</v>
      </c>
      <c r="D753" s="8" t="s">
        <v>969</v>
      </c>
      <c r="E753" s="8" t="s">
        <v>40</v>
      </c>
      <c r="F753" s="8" t="s">
        <v>39</v>
      </c>
      <c r="G753" s="8" t="s">
        <v>60</v>
      </c>
      <c r="H753" s="8" t="s">
        <v>37</v>
      </c>
      <c r="I753" s="8" t="s">
        <v>53</v>
      </c>
      <c r="J753" s="8" t="s">
        <v>59</v>
      </c>
      <c r="K753" s="8" t="s">
        <v>2422</v>
      </c>
      <c r="L753" s="7">
        <v>7491</v>
      </c>
      <c r="M753" s="10" t="str">
        <f t="shared" si="66"/>
        <v>CMI02051200</v>
      </c>
      <c r="N753" s="10" t="str">
        <f t="shared" si="67"/>
        <v>SUM231200</v>
      </c>
      <c r="O753" s="10" t="str">
        <f t="shared" si="68"/>
        <v>E</v>
      </c>
      <c r="P753" s="10" t="str">
        <f t="shared" si="69"/>
        <v>50</v>
      </c>
      <c r="Q753" s="10" t="str">
        <f t="shared" si="70"/>
        <v>ZSUM</v>
      </c>
      <c r="R753" s="10" t="str">
        <f t="shared" si="71"/>
        <v>39121436</v>
      </c>
    </row>
    <row r="754" spans="1:18" ht="25.5" hidden="1" x14ac:dyDescent="0.2">
      <c r="A754" s="21" t="s">
        <v>2421</v>
      </c>
      <c r="B754" s="8" t="s">
        <v>2420</v>
      </c>
      <c r="C754" s="8" t="s">
        <v>40</v>
      </c>
      <c r="D754" s="8" t="s">
        <v>969</v>
      </c>
      <c r="E754" s="7">
        <v>6</v>
      </c>
      <c r="F754" s="8" t="s">
        <v>39</v>
      </c>
      <c r="G754" s="8" t="s">
        <v>85</v>
      </c>
      <c r="H754" s="8" t="s">
        <v>37</v>
      </c>
      <c r="I754" s="8" t="s">
        <v>53</v>
      </c>
      <c r="J754" s="8" t="s">
        <v>59</v>
      </c>
      <c r="K754" s="8" t="s">
        <v>2419</v>
      </c>
      <c r="L754" s="7">
        <v>7492</v>
      </c>
      <c r="M754" s="10" t="str">
        <f t="shared" si="66"/>
        <v>CMI02051200</v>
      </c>
      <c r="N754" s="10" t="str">
        <f t="shared" si="67"/>
        <v>SUM231500</v>
      </c>
      <c r="O754" s="10" t="str">
        <f t="shared" si="68"/>
        <v>E</v>
      </c>
      <c r="P754" s="10" t="str">
        <f t="shared" si="69"/>
        <v>50</v>
      </c>
      <c r="Q754" s="10" t="str">
        <f t="shared" si="70"/>
        <v>ZSUM</v>
      </c>
      <c r="R754" s="10" t="str">
        <f t="shared" si="71"/>
        <v>32141109</v>
      </c>
    </row>
    <row r="755" spans="1:18" ht="25.5" hidden="1" x14ac:dyDescent="0.2">
      <c r="A755" s="21" t="s">
        <v>2418</v>
      </c>
      <c r="B755" s="8" t="s">
        <v>2417</v>
      </c>
      <c r="C755" s="8" t="s">
        <v>40</v>
      </c>
      <c r="D755" s="8" t="s">
        <v>969</v>
      </c>
      <c r="E755" s="8" t="s">
        <v>40</v>
      </c>
      <c r="F755" s="8" t="s">
        <v>39</v>
      </c>
      <c r="G755" s="8" t="s">
        <v>885</v>
      </c>
      <c r="H755" s="8" t="s">
        <v>37</v>
      </c>
      <c r="I755" s="8" t="s">
        <v>53</v>
      </c>
      <c r="J755" s="8" t="s">
        <v>59</v>
      </c>
      <c r="K755" s="8" t="s">
        <v>1764</v>
      </c>
      <c r="L755" s="7">
        <v>7493</v>
      </c>
      <c r="M755" s="10" t="str">
        <f t="shared" si="66"/>
        <v>CMI02051200</v>
      </c>
      <c r="N755" s="10" t="str">
        <f t="shared" si="67"/>
        <v>SUM231000</v>
      </c>
      <c r="O755" s="10" t="str">
        <f t="shared" si="68"/>
        <v>E</v>
      </c>
      <c r="P755" s="10" t="str">
        <f t="shared" si="69"/>
        <v>50</v>
      </c>
      <c r="Q755" s="10" t="str">
        <f t="shared" si="70"/>
        <v>ZSUM</v>
      </c>
      <c r="R755" s="10" t="str">
        <f t="shared" si="71"/>
        <v>39121303</v>
      </c>
    </row>
    <row r="756" spans="1:18" ht="25.5" hidden="1" x14ac:dyDescent="0.2">
      <c r="A756" s="21" t="s">
        <v>2416</v>
      </c>
      <c r="B756" s="8" t="s">
        <v>2415</v>
      </c>
      <c r="C756" s="8" t="s">
        <v>40</v>
      </c>
      <c r="D756" s="8" t="s">
        <v>969</v>
      </c>
      <c r="E756" s="8" t="s">
        <v>40</v>
      </c>
      <c r="F756" s="8" t="s">
        <v>39</v>
      </c>
      <c r="G756" s="8" t="s">
        <v>885</v>
      </c>
      <c r="H756" s="8" t="s">
        <v>37</v>
      </c>
      <c r="I756" s="8" t="s">
        <v>53</v>
      </c>
      <c r="J756" s="8" t="s">
        <v>59</v>
      </c>
      <c r="K756" s="8" t="s">
        <v>2414</v>
      </c>
      <c r="L756" s="7">
        <v>7494</v>
      </c>
      <c r="M756" s="10" t="str">
        <f t="shared" si="66"/>
        <v>CMI02051200</v>
      </c>
      <c r="N756" s="10" t="str">
        <f t="shared" si="67"/>
        <v>SUM231000</v>
      </c>
      <c r="O756" s="10" t="str">
        <f t="shared" si="68"/>
        <v>E</v>
      </c>
      <c r="P756" s="10" t="str">
        <f t="shared" si="69"/>
        <v>50</v>
      </c>
      <c r="Q756" s="10" t="str">
        <f t="shared" si="70"/>
        <v>ZSUM</v>
      </c>
      <c r="R756" s="10" t="str">
        <f t="shared" si="71"/>
        <v>39131714</v>
      </c>
    </row>
    <row r="757" spans="1:18" ht="25.5" hidden="1" x14ac:dyDescent="0.2">
      <c r="A757" s="21" t="s">
        <v>2413</v>
      </c>
      <c r="B757" s="8" t="s">
        <v>2412</v>
      </c>
      <c r="C757" s="8" t="s">
        <v>40</v>
      </c>
      <c r="D757" s="8" t="s">
        <v>947</v>
      </c>
      <c r="E757" s="8" t="s">
        <v>40</v>
      </c>
      <c r="F757" s="8" t="s">
        <v>39</v>
      </c>
      <c r="G757" s="8" t="s">
        <v>885</v>
      </c>
      <c r="H757" s="8" t="s">
        <v>37</v>
      </c>
      <c r="I757" s="8" t="s">
        <v>53</v>
      </c>
      <c r="J757" s="8" t="s">
        <v>59</v>
      </c>
      <c r="K757" s="8" t="s">
        <v>2411</v>
      </c>
      <c r="L757" s="7">
        <v>7495</v>
      </c>
      <c r="M757" s="10" t="str">
        <f t="shared" si="66"/>
        <v>CMI02160200</v>
      </c>
      <c r="N757" s="10" t="str">
        <f t="shared" si="67"/>
        <v>SUM231000</v>
      </c>
      <c r="O757" s="10" t="str">
        <f t="shared" si="68"/>
        <v>E</v>
      </c>
      <c r="P757" s="10" t="str">
        <f t="shared" si="69"/>
        <v>50</v>
      </c>
      <c r="Q757" s="10" t="str">
        <f t="shared" si="70"/>
        <v>ZSUM</v>
      </c>
      <c r="R757" s="10" t="str">
        <f t="shared" si="71"/>
        <v>26111701</v>
      </c>
    </row>
    <row r="758" spans="1:18" ht="25.5" hidden="1" x14ac:dyDescent="0.2">
      <c r="A758" s="21" t="s">
        <v>2410</v>
      </c>
      <c r="B758" s="8" t="s">
        <v>2409</v>
      </c>
      <c r="C758" s="8" t="s">
        <v>40</v>
      </c>
      <c r="D758" s="8" t="s">
        <v>969</v>
      </c>
      <c r="E758" s="8" t="s">
        <v>40</v>
      </c>
      <c r="F758" s="8" t="s">
        <v>39</v>
      </c>
      <c r="G758" s="8" t="s">
        <v>885</v>
      </c>
      <c r="H758" s="8" t="s">
        <v>37</v>
      </c>
      <c r="I758" s="8" t="s">
        <v>53</v>
      </c>
      <c r="J758" s="8" t="s">
        <v>59</v>
      </c>
      <c r="K758" s="8" t="s">
        <v>2408</v>
      </c>
      <c r="L758" s="7">
        <v>7496</v>
      </c>
      <c r="M758" s="10" t="str">
        <f t="shared" si="66"/>
        <v>CMI02051200</v>
      </c>
      <c r="N758" s="10" t="str">
        <f t="shared" si="67"/>
        <v>SUM231000</v>
      </c>
      <c r="O758" s="10" t="str">
        <f t="shared" si="68"/>
        <v>E</v>
      </c>
      <c r="P758" s="10" t="str">
        <f t="shared" si="69"/>
        <v>50</v>
      </c>
      <c r="Q758" s="10" t="str">
        <f t="shared" si="70"/>
        <v>ZSUM</v>
      </c>
      <c r="R758" s="10" t="str">
        <f t="shared" si="71"/>
        <v>26121500</v>
      </c>
    </row>
    <row r="759" spans="1:18" ht="25.5" hidden="1" x14ac:dyDescent="0.2">
      <c r="A759" s="21" t="s">
        <v>2407</v>
      </c>
      <c r="B759" s="8" t="s">
        <v>2406</v>
      </c>
      <c r="C759" s="8" t="s">
        <v>40</v>
      </c>
      <c r="D759" s="8" t="s">
        <v>969</v>
      </c>
      <c r="E759" s="8" t="s">
        <v>40</v>
      </c>
      <c r="F759" s="8" t="s">
        <v>39</v>
      </c>
      <c r="G759" s="8" t="s">
        <v>885</v>
      </c>
      <c r="H759" s="8" t="s">
        <v>37</v>
      </c>
      <c r="I759" s="8" t="s">
        <v>53</v>
      </c>
      <c r="J759" s="8" t="s">
        <v>59</v>
      </c>
      <c r="K759" s="8" t="s">
        <v>2405</v>
      </c>
      <c r="L759" s="7">
        <v>7497</v>
      </c>
      <c r="M759" s="10" t="str">
        <f t="shared" si="66"/>
        <v>CMI02051200</v>
      </c>
      <c r="N759" s="10" t="str">
        <f t="shared" si="67"/>
        <v>SUM231000</v>
      </c>
      <c r="O759" s="10" t="str">
        <f t="shared" si="68"/>
        <v>E</v>
      </c>
      <c r="P759" s="10" t="str">
        <f t="shared" si="69"/>
        <v>50</v>
      </c>
      <c r="Q759" s="10" t="str">
        <f t="shared" si="70"/>
        <v>ZSUM</v>
      </c>
      <c r="R759" s="10" t="str">
        <f t="shared" si="71"/>
        <v>39101612</v>
      </c>
    </row>
    <row r="760" spans="1:18" ht="25.5" hidden="1" x14ac:dyDescent="0.2">
      <c r="A760" s="21" t="s">
        <v>2404</v>
      </c>
      <c r="B760" s="8" t="s">
        <v>2403</v>
      </c>
      <c r="C760" s="8" t="s">
        <v>40</v>
      </c>
      <c r="D760" s="8" t="s">
        <v>969</v>
      </c>
      <c r="E760" s="8" t="s">
        <v>40</v>
      </c>
      <c r="F760" s="8" t="s">
        <v>39</v>
      </c>
      <c r="G760" s="8" t="s">
        <v>885</v>
      </c>
      <c r="H760" s="8" t="s">
        <v>37</v>
      </c>
      <c r="I760" s="8" t="s">
        <v>53</v>
      </c>
      <c r="J760" s="8" t="s">
        <v>59</v>
      </c>
      <c r="K760" s="8" t="s">
        <v>2402</v>
      </c>
      <c r="L760" s="7">
        <v>7498</v>
      </c>
      <c r="M760" s="10" t="str">
        <f t="shared" si="66"/>
        <v>CMI02051200</v>
      </c>
      <c r="N760" s="10" t="str">
        <f t="shared" si="67"/>
        <v>SUM231000</v>
      </c>
      <c r="O760" s="10" t="str">
        <f t="shared" si="68"/>
        <v>E</v>
      </c>
      <c r="P760" s="10" t="str">
        <f t="shared" si="69"/>
        <v>50</v>
      </c>
      <c r="Q760" s="10" t="str">
        <f t="shared" si="70"/>
        <v>ZSUM</v>
      </c>
      <c r="R760" s="10" t="str">
        <f t="shared" si="71"/>
        <v>39111803</v>
      </c>
    </row>
    <row r="761" spans="1:18" ht="38.25" hidden="1" x14ac:dyDescent="0.2">
      <c r="A761" s="21" t="s">
        <v>2401</v>
      </c>
      <c r="B761" s="8" t="s">
        <v>2400</v>
      </c>
      <c r="C761" s="8" t="s">
        <v>40</v>
      </c>
      <c r="D761" s="8" t="s">
        <v>55</v>
      </c>
      <c r="E761" s="8" t="s">
        <v>40</v>
      </c>
      <c r="F761" s="8" t="s">
        <v>39</v>
      </c>
      <c r="G761" s="8" t="s">
        <v>631</v>
      </c>
      <c r="H761" s="8" t="s">
        <v>37</v>
      </c>
      <c r="I761" s="8" t="s">
        <v>53</v>
      </c>
      <c r="J761" s="8" t="s">
        <v>59</v>
      </c>
      <c r="K761" s="8" t="s">
        <v>2399</v>
      </c>
      <c r="L761" s="7">
        <v>7499</v>
      </c>
      <c r="M761" s="10" t="str">
        <f t="shared" si="66"/>
        <v>CMI02140300</v>
      </c>
      <c r="N761" s="10" t="str">
        <f t="shared" si="67"/>
        <v>SUM231300</v>
      </c>
      <c r="O761" s="10" t="str">
        <f t="shared" si="68"/>
        <v>E</v>
      </c>
      <c r="P761" s="10" t="str">
        <f t="shared" si="69"/>
        <v>50</v>
      </c>
      <c r="Q761" s="10" t="str">
        <f t="shared" si="70"/>
        <v>ZSUM</v>
      </c>
      <c r="R761" s="10" t="str">
        <f t="shared" si="71"/>
        <v>41113633</v>
      </c>
    </row>
    <row r="762" spans="1:18" ht="25.5" hidden="1" x14ac:dyDescent="0.2">
      <c r="A762" s="21" t="s">
        <v>2398</v>
      </c>
      <c r="B762" s="8" t="s">
        <v>2397</v>
      </c>
      <c r="C762" s="8" t="s">
        <v>40</v>
      </c>
      <c r="D762" s="8" t="s">
        <v>2396</v>
      </c>
      <c r="E762" s="8" t="s">
        <v>40</v>
      </c>
      <c r="F762" s="8" t="s">
        <v>39</v>
      </c>
      <c r="G762" s="8" t="s">
        <v>60</v>
      </c>
      <c r="H762" s="8" t="s">
        <v>37</v>
      </c>
      <c r="I762" s="8" t="s">
        <v>53</v>
      </c>
      <c r="J762" s="8" t="s">
        <v>59</v>
      </c>
      <c r="K762" s="8" t="s">
        <v>2395</v>
      </c>
      <c r="L762" s="7">
        <v>7500</v>
      </c>
      <c r="M762" s="10" t="str">
        <f t="shared" si="66"/>
        <v>CMI02052100</v>
      </c>
      <c r="N762" s="10" t="str">
        <f t="shared" si="67"/>
        <v>SUM231200</v>
      </c>
      <c r="O762" s="10" t="str">
        <f t="shared" si="68"/>
        <v>E</v>
      </c>
      <c r="P762" s="10" t="str">
        <f t="shared" si="69"/>
        <v>50</v>
      </c>
      <c r="Q762" s="10" t="str">
        <f t="shared" si="70"/>
        <v>ZSUM</v>
      </c>
      <c r="R762" s="10" t="str">
        <f t="shared" si="71"/>
        <v>41122702</v>
      </c>
    </row>
    <row r="763" spans="1:18" ht="25.5" hidden="1" x14ac:dyDescent="0.2">
      <c r="A763" s="21" t="s">
        <v>2394</v>
      </c>
      <c r="B763" s="8" t="s">
        <v>2393</v>
      </c>
      <c r="C763" s="8" t="s">
        <v>40</v>
      </c>
      <c r="D763" s="8" t="s">
        <v>212</v>
      </c>
      <c r="E763" s="8" t="s">
        <v>40</v>
      </c>
      <c r="F763" s="8" t="s">
        <v>39</v>
      </c>
      <c r="G763" s="8" t="s">
        <v>885</v>
      </c>
      <c r="H763" s="8" t="s">
        <v>37</v>
      </c>
      <c r="I763" s="8" t="s">
        <v>53</v>
      </c>
      <c r="J763" s="8" t="s">
        <v>59</v>
      </c>
      <c r="K763" s="8" t="s">
        <v>2392</v>
      </c>
      <c r="L763" s="7">
        <v>7501</v>
      </c>
      <c r="M763" s="10" t="str">
        <f t="shared" si="66"/>
        <v>CMI01010500</v>
      </c>
      <c r="N763" s="10" t="str">
        <f t="shared" si="67"/>
        <v>SUM231000</v>
      </c>
      <c r="O763" s="10" t="str">
        <f t="shared" si="68"/>
        <v>E</v>
      </c>
      <c r="P763" s="10" t="str">
        <f t="shared" si="69"/>
        <v>50</v>
      </c>
      <c r="Q763" s="10" t="str">
        <f t="shared" si="70"/>
        <v>ZSUM</v>
      </c>
      <c r="R763" s="10" t="str">
        <f t="shared" si="71"/>
        <v>45121516</v>
      </c>
    </row>
    <row r="764" spans="1:18" ht="25.5" hidden="1" x14ac:dyDescent="0.2">
      <c r="A764" s="21" t="s">
        <v>2391</v>
      </c>
      <c r="B764" s="8" t="s">
        <v>2390</v>
      </c>
      <c r="C764" s="8" t="s">
        <v>40</v>
      </c>
      <c r="D764" s="8" t="s">
        <v>730</v>
      </c>
      <c r="E764" s="8" t="s">
        <v>40</v>
      </c>
      <c r="F764" s="8" t="s">
        <v>39</v>
      </c>
      <c r="G764" s="8" t="s">
        <v>60</v>
      </c>
      <c r="H764" s="8" t="s">
        <v>37</v>
      </c>
      <c r="I764" s="8" t="s">
        <v>53</v>
      </c>
      <c r="J764" s="8" t="s">
        <v>59</v>
      </c>
      <c r="K764" s="8" t="s">
        <v>2389</v>
      </c>
      <c r="L764" s="7">
        <v>7502</v>
      </c>
      <c r="M764" s="10" t="str">
        <f t="shared" si="66"/>
        <v>CMI02130200</v>
      </c>
      <c r="N764" s="10" t="str">
        <f t="shared" si="67"/>
        <v>SUM231200</v>
      </c>
      <c r="O764" s="10" t="str">
        <f t="shared" si="68"/>
        <v>E</v>
      </c>
      <c r="P764" s="10" t="str">
        <f t="shared" si="69"/>
        <v>50</v>
      </c>
      <c r="Q764" s="10" t="str">
        <f t="shared" si="70"/>
        <v>ZSUM</v>
      </c>
      <c r="R764" s="10" t="str">
        <f t="shared" si="71"/>
        <v>47131825</v>
      </c>
    </row>
    <row r="765" spans="1:18" ht="38.25" hidden="1" x14ac:dyDescent="0.2">
      <c r="A765" s="21" t="s">
        <v>2388</v>
      </c>
      <c r="B765" s="8" t="s">
        <v>940</v>
      </c>
      <c r="C765" s="8" t="s">
        <v>40</v>
      </c>
      <c r="D765" s="8" t="s">
        <v>275</v>
      </c>
      <c r="E765" s="8" t="s">
        <v>40</v>
      </c>
      <c r="F765" s="8" t="s">
        <v>39</v>
      </c>
      <c r="G765" s="8" t="s">
        <v>885</v>
      </c>
      <c r="H765" s="8" t="s">
        <v>37</v>
      </c>
      <c r="I765" s="8" t="s">
        <v>53</v>
      </c>
      <c r="J765" s="8" t="s">
        <v>59</v>
      </c>
      <c r="K765" s="8" t="s">
        <v>2387</v>
      </c>
      <c r="L765" s="7">
        <v>7503</v>
      </c>
      <c r="M765" s="10" t="str">
        <f t="shared" si="66"/>
        <v>CMI01030300</v>
      </c>
      <c r="N765" s="10" t="str">
        <f t="shared" si="67"/>
        <v>SUM231000</v>
      </c>
      <c r="O765" s="10" t="str">
        <f t="shared" si="68"/>
        <v>E</v>
      </c>
      <c r="P765" s="10" t="str">
        <f t="shared" si="69"/>
        <v>50</v>
      </c>
      <c r="Q765" s="10" t="str">
        <f t="shared" si="70"/>
        <v>ZSUM</v>
      </c>
      <c r="R765" s="10" t="str">
        <f t="shared" si="71"/>
        <v>52101511</v>
      </c>
    </row>
    <row r="766" spans="1:18" ht="38.25" hidden="1" x14ac:dyDescent="0.2">
      <c r="A766" s="21" t="s">
        <v>2386</v>
      </c>
      <c r="B766" s="8" t="s">
        <v>2385</v>
      </c>
      <c r="C766" s="8" t="s">
        <v>40</v>
      </c>
      <c r="D766" s="8" t="s">
        <v>275</v>
      </c>
      <c r="E766" s="8" t="s">
        <v>40</v>
      </c>
      <c r="F766" s="8" t="s">
        <v>39</v>
      </c>
      <c r="G766" s="8" t="s">
        <v>624</v>
      </c>
      <c r="H766" s="8" t="s">
        <v>37</v>
      </c>
      <c r="I766" s="8" t="s">
        <v>53</v>
      </c>
      <c r="J766" s="8" t="s">
        <v>59</v>
      </c>
      <c r="K766" s="8" t="s">
        <v>2384</v>
      </c>
      <c r="L766" s="7">
        <v>7504</v>
      </c>
      <c r="M766" s="10" t="str">
        <f t="shared" si="66"/>
        <v>CMI01030300</v>
      </c>
      <c r="N766" s="10" t="str">
        <f t="shared" si="67"/>
        <v>SUM231400</v>
      </c>
      <c r="O766" s="10" t="str">
        <f t="shared" si="68"/>
        <v>E</v>
      </c>
      <c r="P766" s="10" t="str">
        <f t="shared" si="69"/>
        <v>50</v>
      </c>
      <c r="Q766" s="10" t="str">
        <f t="shared" si="70"/>
        <v>ZSUM</v>
      </c>
      <c r="R766" s="10" t="str">
        <f t="shared" si="71"/>
        <v>44102400</v>
      </c>
    </row>
    <row r="767" spans="1:18" ht="25.5" hidden="1" x14ac:dyDescent="0.2">
      <c r="A767" s="21" t="s">
        <v>2383</v>
      </c>
      <c r="B767" s="8" t="s">
        <v>2382</v>
      </c>
      <c r="C767" s="8" t="s">
        <v>40</v>
      </c>
      <c r="D767" s="8" t="s">
        <v>249</v>
      </c>
      <c r="E767" s="8" t="s">
        <v>40</v>
      </c>
      <c r="F767" s="8" t="s">
        <v>39</v>
      </c>
      <c r="G767" s="8" t="s">
        <v>975</v>
      </c>
      <c r="H767" s="8" t="s">
        <v>37</v>
      </c>
      <c r="I767" s="8" t="s">
        <v>36</v>
      </c>
      <c r="J767" s="8" t="s">
        <v>59</v>
      </c>
      <c r="K767" s="8" t="s">
        <v>2381</v>
      </c>
      <c r="L767" s="7">
        <v>7505</v>
      </c>
      <c r="M767" s="10" t="str">
        <f t="shared" si="66"/>
        <v>CMI02090700</v>
      </c>
      <c r="N767" s="10" t="str">
        <f t="shared" si="67"/>
        <v>SUM231100</v>
      </c>
      <c r="O767" s="10" t="str">
        <f t="shared" si="68"/>
        <v>E</v>
      </c>
      <c r="P767" s="10" t="str">
        <f t="shared" si="69"/>
        <v>10</v>
      </c>
      <c r="Q767" s="10" t="str">
        <f t="shared" si="70"/>
        <v>ZSUM</v>
      </c>
      <c r="R767" s="10" t="str">
        <f t="shared" si="71"/>
        <v>40161501</v>
      </c>
    </row>
    <row r="768" spans="1:18" ht="25.5" hidden="1" x14ac:dyDescent="0.2">
      <c r="A768" s="21" t="s">
        <v>2380</v>
      </c>
      <c r="B768" s="8" t="s">
        <v>2379</v>
      </c>
      <c r="C768" s="8" t="s">
        <v>40</v>
      </c>
      <c r="D768" s="8" t="s">
        <v>1456</v>
      </c>
      <c r="E768" s="8" t="s">
        <v>40</v>
      </c>
      <c r="F768" s="8" t="s">
        <v>39</v>
      </c>
      <c r="G768" s="8" t="s">
        <v>60</v>
      </c>
      <c r="H768" s="8" t="s">
        <v>37</v>
      </c>
      <c r="I768" s="8" t="s">
        <v>53</v>
      </c>
      <c r="J768" s="8" t="s">
        <v>59</v>
      </c>
      <c r="K768" s="8" t="s">
        <v>1455</v>
      </c>
      <c r="L768" s="7">
        <v>7506</v>
      </c>
      <c r="M768" s="10" t="str">
        <f t="shared" si="66"/>
        <v>CMI03010100</v>
      </c>
      <c r="N768" s="10" t="str">
        <f t="shared" si="67"/>
        <v>SUM231200</v>
      </c>
      <c r="O768" s="10" t="str">
        <f t="shared" si="68"/>
        <v>E</v>
      </c>
      <c r="P768" s="10" t="str">
        <f t="shared" si="69"/>
        <v>50</v>
      </c>
      <c r="Q768" s="10" t="str">
        <f t="shared" si="70"/>
        <v>ZSUM</v>
      </c>
      <c r="R768" s="10" t="str">
        <f t="shared" si="71"/>
        <v>31201600</v>
      </c>
    </row>
    <row r="769" spans="1:18" ht="25.5" hidden="1" x14ac:dyDescent="0.2">
      <c r="A769" s="21" t="s">
        <v>2378</v>
      </c>
      <c r="B769" s="8" t="s">
        <v>2377</v>
      </c>
      <c r="C769" s="8" t="s">
        <v>40</v>
      </c>
      <c r="D769" s="8" t="s">
        <v>1181</v>
      </c>
      <c r="E769" s="8" t="s">
        <v>40</v>
      </c>
      <c r="F769" s="8" t="s">
        <v>39</v>
      </c>
      <c r="G769" s="8" t="s">
        <v>60</v>
      </c>
      <c r="H769" s="8" t="s">
        <v>37</v>
      </c>
      <c r="I769" s="8" t="s">
        <v>53</v>
      </c>
      <c r="J769" s="8" t="s">
        <v>59</v>
      </c>
      <c r="K769" s="8" t="s">
        <v>2376</v>
      </c>
      <c r="L769" s="7">
        <v>7507</v>
      </c>
      <c r="M769" s="10" t="str">
        <f t="shared" si="66"/>
        <v>CMI02051600</v>
      </c>
      <c r="N769" s="10" t="str">
        <f t="shared" si="67"/>
        <v>SUM231200</v>
      </c>
      <c r="O769" s="10" t="str">
        <f t="shared" si="68"/>
        <v>E</v>
      </c>
      <c r="P769" s="10" t="str">
        <f t="shared" si="69"/>
        <v>50</v>
      </c>
      <c r="Q769" s="10" t="str">
        <f t="shared" si="70"/>
        <v>ZSUM</v>
      </c>
      <c r="R769" s="10" t="str">
        <f t="shared" si="71"/>
        <v>31201605</v>
      </c>
    </row>
    <row r="770" spans="1:18" ht="25.5" hidden="1" x14ac:dyDescent="0.2">
      <c r="A770" s="21" t="s">
        <v>2375</v>
      </c>
      <c r="B770" s="8" t="s">
        <v>2374</v>
      </c>
      <c r="C770" s="8" t="s">
        <v>40</v>
      </c>
      <c r="D770" s="8" t="s">
        <v>363</v>
      </c>
      <c r="E770" s="8" t="s">
        <v>40</v>
      </c>
      <c r="F770" s="8" t="s">
        <v>39</v>
      </c>
      <c r="G770" s="8" t="s">
        <v>60</v>
      </c>
      <c r="H770" s="8" t="s">
        <v>37</v>
      </c>
      <c r="I770" s="8" t="s">
        <v>53</v>
      </c>
      <c r="J770" s="8" t="s">
        <v>59</v>
      </c>
      <c r="K770" s="8" t="s">
        <v>2373</v>
      </c>
      <c r="L770" s="7">
        <v>7508</v>
      </c>
      <c r="M770" s="10" t="str">
        <f t="shared" si="66"/>
        <v>CMI02051300</v>
      </c>
      <c r="N770" s="10" t="str">
        <f t="shared" si="67"/>
        <v>SUM231200</v>
      </c>
      <c r="O770" s="10" t="str">
        <f t="shared" si="68"/>
        <v>E</v>
      </c>
      <c r="P770" s="10" t="str">
        <f t="shared" si="69"/>
        <v>50</v>
      </c>
      <c r="Q770" s="10" t="str">
        <f t="shared" si="70"/>
        <v>ZSUM</v>
      </c>
      <c r="R770" s="10" t="str">
        <f t="shared" si="71"/>
        <v>30266501</v>
      </c>
    </row>
    <row r="771" spans="1:18" ht="25.5" hidden="1" x14ac:dyDescent="0.2">
      <c r="A771" s="21" t="s">
        <v>2372</v>
      </c>
      <c r="B771" s="8" t="s">
        <v>2371</v>
      </c>
      <c r="C771" s="8" t="s">
        <v>40</v>
      </c>
      <c r="D771" s="8" t="s">
        <v>1177</v>
      </c>
      <c r="E771" s="8" t="s">
        <v>40</v>
      </c>
      <c r="F771" s="8" t="s">
        <v>39</v>
      </c>
      <c r="G771" s="8" t="s">
        <v>60</v>
      </c>
      <c r="H771" s="8" t="s">
        <v>37</v>
      </c>
      <c r="I771" s="8" t="s">
        <v>53</v>
      </c>
      <c r="J771" s="8" t="s">
        <v>59</v>
      </c>
      <c r="K771" s="8" t="s">
        <v>2370</v>
      </c>
      <c r="L771" s="7">
        <v>7509</v>
      </c>
      <c r="M771" s="10" t="str">
        <f t="shared" ref="M771:M834" si="72">+LEFT(D771,11)</f>
        <v>CMI02051400</v>
      </c>
      <c r="N771" s="10" t="str">
        <f t="shared" ref="N771:N834" si="73">+LEFT(G771,9)</f>
        <v>SUM231200</v>
      </c>
      <c r="O771" s="10" t="str">
        <f t="shared" ref="O771:O834" si="74">+LEFT(H771,1)</f>
        <v>E</v>
      </c>
      <c r="P771" s="10" t="str">
        <f t="shared" ref="P771:P834" si="75">+LEFT(I771,2)</f>
        <v>50</v>
      </c>
      <c r="Q771" s="10" t="str">
        <f t="shared" ref="Q771:Q834" si="76">+LEFT(J771,4)</f>
        <v>ZSUM</v>
      </c>
      <c r="R771" s="10" t="str">
        <f t="shared" ref="R771:R834" si="77">+LEFT(K771,8)</f>
        <v>30102403</v>
      </c>
    </row>
    <row r="772" spans="1:18" ht="25.5" hidden="1" x14ac:dyDescent="0.2">
      <c r="A772" s="21" t="s">
        <v>2369</v>
      </c>
      <c r="B772" s="8" t="s">
        <v>2368</v>
      </c>
      <c r="C772" s="8" t="s">
        <v>40</v>
      </c>
      <c r="D772" s="8" t="s">
        <v>947</v>
      </c>
      <c r="E772" s="8" t="s">
        <v>40</v>
      </c>
      <c r="F772" s="8" t="s">
        <v>39</v>
      </c>
      <c r="G772" s="8" t="s">
        <v>208</v>
      </c>
      <c r="H772" s="8" t="s">
        <v>37</v>
      </c>
      <c r="I772" s="8" t="s">
        <v>53</v>
      </c>
      <c r="J772" s="8" t="s">
        <v>59</v>
      </c>
      <c r="K772" s="8" t="s">
        <v>2367</v>
      </c>
      <c r="L772" s="7">
        <v>7510</v>
      </c>
      <c r="M772" s="10" t="str">
        <f t="shared" si="72"/>
        <v>CMI02160200</v>
      </c>
      <c r="N772" s="10" t="str">
        <f t="shared" si="73"/>
        <v>SUM301000</v>
      </c>
      <c r="O772" s="10" t="str">
        <f t="shared" si="74"/>
        <v>E</v>
      </c>
      <c r="P772" s="10" t="str">
        <f t="shared" si="75"/>
        <v>50</v>
      </c>
      <c r="Q772" s="10" t="str">
        <f t="shared" si="76"/>
        <v>ZSUM</v>
      </c>
      <c r="R772" s="10" t="str">
        <f t="shared" si="77"/>
        <v>43222612</v>
      </c>
    </row>
    <row r="773" spans="1:18" ht="38.25" hidden="1" x14ac:dyDescent="0.2">
      <c r="A773" s="21" t="s">
        <v>2366</v>
      </c>
      <c r="B773" s="8" t="s">
        <v>2365</v>
      </c>
      <c r="C773" s="8" t="s">
        <v>40</v>
      </c>
      <c r="D773" s="8" t="s">
        <v>943</v>
      </c>
      <c r="E773" s="8" t="s">
        <v>40</v>
      </c>
      <c r="F773" s="8" t="s">
        <v>39</v>
      </c>
      <c r="G773" s="8" t="s">
        <v>60</v>
      </c>
      <c r="H773" s="8" t="s">
        <v>37</v>
      </c>
      <c r="I773" s="8" t="s">
        <v>53</v>
      </c>
      <c r="J773" s="8" t="s">
        <v>59</v>
      </c>
      <c r="K773" s="8" t="s">
        <v>2364</v>
      </c>
      <c r="L773" s="7">
        <v>7511</v>
      </c>
      <c r="M773" s="10" t="str">
        <f t="shared" si="72"/>
        <v>CMI02052000</v>
      </c>
      <c r="N773" s="10" t="str">
        <f t="shared" si="73"/>
        <v>SUM231200</v>
      </c>
      <c r="O773" s="10" t="str">
        <f t="shared" si="74"/>
        <v>E</v>
      </c>
      <c r="P773" s="10" t="str">
        <f t="shared" si="75"/>
        <v>50</v>
      </c>
      <c r="Q773" s="10" t="str">
        <f t="shared" si="76"/>
        <v>ZSUM</v>
      </c>
      <c r="R773" s="10" t="str">
        <f t="shared" si="77"/>
        <v>30102200</v>
      </c>
    </row>
    <row r="774" spans="1:18" ht="25.5" hidden="1" x14ac:dyDescent="0.2">
      <c r="A774" s="21" t="s">
        <v>2363</v>
      </c>
      <c r="B774" s="8" t="s">
        <v>2362</v>
      </c>
      <c r="C774" s="8" t="s">
        <v>40</v>
      </c>
      <c r="D774" s="8" t="s">
        <v>969</v>
      </c>
      <c r="E774" s="8" t="s">
        <v>40</v>
      </c>
      <c r="F774" s="8" t="s">
        <v>39</v>
      </c>
      <c r="G774" s="8" t="s">
        <v>885</v>
      </c>
      <c r="H774" s="8" t="s">
        <v>37</v>
      </c>
      <c r="I774" s="8" t="s">
        <v>53</v>
      </c>
      <c r="J774" s="8" t="s">
        <v>59</v>
      </c>
      <c r="K774" s="8" t="s">
        <v>1176</v>
      </c>
      <c r="L774" s="7">
        <v>7512</v>
      </c>
      <c r="M774" s="10" t="str">
        <f t="shared" si="72"/>
        <v>CMI02051200</v>
      </c>
      <c r="N774" s="10" t="str">
        <f t="shared" si="73"/>
        <v>SUM231000</v>
      </c>
      <c r="O774" s="10" t="str">
        <f t="shared" si="74"/>
        <v>E</v>
      </c>
      <c r="P774" s="10" t="str">
        <f t="shared" si="75"/>
        <v>50</v>
      </c>
      <c r="Q774" s="10" t="str">
        <f t="shared" si="76"/>
        <v>ZSUM</v>
      </c>
      <c r="R774" s="10" t="str">
        <f t="shared" si="77"/>
        <v>30101800</v>
      </c>
    </row>
    <row r="775" spans="1:18" ht="38.25" hidden="1" x14ac:dyDescent="0.2">
      <c r="A775" s="21" t="s">
        <v>2361</v>
      </c>
      <c r="B775" s="8" t="s">
        <v>2360</v>
      </c>
      <c r="C775" s="8" t="s">
        <v>40</v>
      </c>
      <c r="D775" s="8" t="s">
        <v>363</v>
      </c>
      <c r="E775" s="8" t="s">
        <v>40</v>
      </c>
      <c r="F775" s="8" t="s">
        <v>39</v>
      </c>
      <c r="G775" s="8" t="s">
        <v>60</v>
      </c>
      <c r="H775" s="8" t="s">
        <v>37</v>
      </c>
      <c r="I775" s="8" t="s">
        <v>53</v>
      </c>
      <c r="J775" s="8" t="s">
        <v>59</v>
      </c>
      <c r="K775" s="8" t="s">
        <v>2130</v>
      </c>
      <c r="L775" s="7">
        <v>7513</v>
      </c>
      <c r="M775" s="10" t="str">
        <f t="shared" si="72"/>
        <v>CMI02051300</v>
      </c>
      <c r="N775" s="10" t="str">
        <f t="shared" si="73"/>
        <v>SUM231200</v>
      </c>
      <c r="O775" s="10" t="str">
        <f t="shared" si="74"/>
        <v>E</v>
      </c>
      <c r="P775" s="10" t="str">
        <f t="shared" si="75"/>
        <v>50</v>
      </c>
      <c r="Q775" s="10" t="str">
        <f t="shared" si="76"/>
        <v>ZSUM</v>
      </c>
      <c r="R775" s="10" t="str">
        <f t="shared" si="77"/>
        <v>40142500</v>
      </c>
    </row>
    <row r="776" spans="1:18" ht="25.5" hidden="1" x14ac:dyDescent="0.2">
      <c r="A776" s="21" t="s">
        <v>2359</v>
      </c>
      <c r="B776" s="8" t="s">
        <v>2358</v>
      </c>
      <c r="C776" s="8" t="s">
        <v>40</v>
      </c>
      <c r="D776" s="8" t="s">
        <v>249</v>
      </c>
      <c r="E776" s="8" t="s">
        <v>40</v>
      </c>
      <c r="F776" s="8" t="s">
        <v>39</v>
      </c>
      <c r="G776" s="8" t="s">
        <v>60</v>
      </c>
      <c r="H776" s="8" t="s">
        <v>37</v>
      </c>
      <c r="I776" s="8" t="s">
        <v>53</v>
      </c>
      <c r="J776" s="8" t="s">
        <v>59</v>
      </c>
      <c r="K776" s="8" t="s">
        <v>2357</v>
      </c>
      <c r="L776" s="7">
        <v>7514</v>
      </c>
      <c r="M776" s="10" t="str">
        <f t="shared" si="72"/>
        <v>CMI02090700</v>
      </c>
      <c r="N776" s="10" t="str">
        <f t="shared" si="73"/>
        <v>SUM231200</v>
      </c>
      <c r="O776" s="10" t="str">
        <f t="shared" si="74"/>
        <v>E</v>
      </c>
      <c r="P776" s="10" t="str">
        <f t="shared" si="75"/>
        <v>50</v>
      </c>
      <c r="Q776" s="10" t="str">
        <f t="shared" si="76"/>
        <v>ZSUM</v>
      </c>
      <c r="R776" s="10" t="str">
        <f t="shared" si="77"/>
        <v>46171500</v>
      </c>
    </row>
    <row r="777" spans="1:18" ht="38.25" hidden="1" x14ac:dyDescent="0.2">
      <c r="A777" s="21" t="s">
        <v>2356</v>
      </c>
      <c r="B777" s="8" t="s">
        <v>2355</v>
      </c>
      <c r="C777" s="8" t="s">
        <v>40</v>
      </c>
      <c r="D777" s="8" t="s">
        <v>310</v>
      </c>
      <c r="E777" s="7">
        <v>6</v>
      </c>
      <c r="F777" s="8" t="s">
        <v>39</v>
      </c>
      <c r="G777" s="8" t="s">
        <v>975</v>
      </c>
      <c r="H777" s="8" t="s">
        <v>37</v>
      </c>
      <c r="I777" s="8" t="s">
        <v>36</v>
      </c>
      <c r="J777" s="8" t="s">
        <v>59</v>
      </c>
      <c r="K777" s="8" t="s">
        <v>2354</v>
      </c>
      <c r="L777" s="7">
        <v>7515</v>
      </c>
      <c r="M777" s="10" t="str">
        <f t="shared" si="72"/>
        <v>CMI02200100</v>
      </c>
      <c r="N777" s="10" t="str">
        <f t="shared" si="73"/>
        <v>SUM231100</v>
      </c>
      <c r="O777" s="10" t="str">
        <f t="shared" si="74"/>
        <v>E</v>
      </c>
      <c r="P777" s="10" t="str">
        <f t="shared" si="75"/>
        <v>10</v>
      </c>
      <c r="Q777" s="10" t="str">
        <f t="shared" si="76"/>
        <v>ZSUM</v>
      </c>
      <c r="R777" s="10" t="str">
        <f t="shared" si="77"/>
        <v>40174700</v>
      </c>
    </row>
    <row r="778" spans="1:18" ht="25.5" hidden="1" x14ac:dyDescent="0.2">
      <c r="A778" s="21" t="s">
        <v>2353</v>
      </c>
      <c r="B778" s="8" t="s">
        <v>2352</v>
      </c>
      <c r="C778" s="8" t="s">
        <v>40</v>
      </c>
      <c r="D778" s="8" t="s">
        <v>1082</v>
      </c>
      <c r="E778" s="7">
        <v>6</v>
      </c>
      <c r="F778" s="8" t="s">
        <v>39</v>
      </c>
      <c r="G778" s="8" t="s">
        <v>60</v>
      </c>
      <c r="H778" s="8" t="s">
        <v>37</v>
      </c>
      <c r="I778" s="8" t="s">
        <v>53</v>
      </c>
      <c r="J778" s="8" t="s">
        <v>59</v>
      </c>
      <c r="K778" s="8" t="s">
        <v>2351</v>
      </c>
      <c r="L778" s="7">
        <v>7516</v>
      </c>
      <c r="M778" s="10" t="str">
        <f t="shared" si="72"/>
        <v>CMI02050500</v>
      </c>
      <c r="N778" s="10" t="str">
        <f t="shared" si="73"/>
        <v>SUM231200</v>
      </c>
      <c r="O778" s="10" t="str">
        <f t="shared" si="74"/>
        <v>E</v>
      </c>
      <c r="P778" s="10" t="str">
        <f t="shared" si="75"/>
        <v>50</v>
      </c>
      <c r="Q778" s="10" t="str">
        <f t="shared" si="76"/>
        <v>ZSUM</v>
      </c>
      <c r="R778" s="10" t="str">
        <f t="shared" si="77"/>
        <v>31162100</v>
      </c>
    </row>
    <row r="779" spans="1:18" ht="25.5" hidden="1" x14ac:dyDescent="0.2">
      <c r="A779" s="21" t="s">
        <v>2350</v>
      </c>
      <c r="B779" s="8" t="s">
        <v>1257</v>
      </c>
      <c r="C779" s="8" t="s">
        <v>40</v>
      </c>
      <c r="D779" s="8" t="s">
        <v>363</v>
      </c>
      <c r="E779" s="8" t="s">
        <v>40</v>
      </c>
      <c r="F779" s="8" t="s">
        <v>39</v>
      </c>
      <c r="G779" s="8" t="s">
        <v>2349</v>
      </c>
      <c r="H779" s="8" t="s">
        <v>37</v>
      </c>
      <c r="I779" s="8" t="s">
        <v>36</v>
      </c>
      <c r="J779" s="8" t="s">
        <v>59</v>
      </c>
      <c r="K779" s="8" t="s">
        <v>1234</v>
      </c>
      <c r="L779" s="7">
        <v>7517</v>
      </c>
      <c r="M779" s="10" t="str">
        <f t="shared" si="72"/>
        <v>CMI02051300</v>
      </c>
      <c r="N779" s="10" t="str">
        <f t="shared" si="73"/>
        <v>MER391100</v>
      </c>
      <c r="O779" s="10" t="str">
        <f t="shared" si="74"/>
        <v>E</v>
      </c>
      <c r="P779" s="10" t="str">
        <f t="shared" si="75"/>
        <v>10</v>
      </c>
      <c r="Q779" s="10" t="str">
        <f t="shared" si="76"/>
        <v>ZSUM</v>
      </c>
      <c r="R779" s="10" t="str">
        <f t="shared" si="77"/>
        <v>31162500</v>
      </c>
    </row>
    <row r="780" spans="1:18" ht="38.25" hidden="1" x14ac:dyDescent="0.2">
      <c r="A780" s="21" t="s">
        <v>2348</v>
      </c>
      <c r="B780" s="8" t="s">
        <v>2347</v>
      </c>
      <c r="C780" s="8" t="s">
        <v>40</v>
      </c>
      <c r="D780" s="8" t="s">
        <v>990</v>
      </c>
      <c r="E780" s="8" t="s">
        <v>40</v>
      </c>
      <c r="F780" s="8" t="s">
        <v>39</v>
      </c>
      <c r="G780" s="8" t="s">
        <v>60</v>
      </c>
      <c r="H780" s="8" t="s">
        <v>37</v>
      </c>
      <c r="I780" s="8" t="s">
        <v>53</v>
      </c>
      <c r="J780" s="8" t="s">
        <v>59</v>
      </c>
      <c r="K780" s="8" t="s">
        <v>2346</v>
      </c>
      <c r="L780" s="7">
        <v>7518</v>
      </c>
      <c r="M780" s="10" t="str">
        <f t="shared" si="72"/>
        <v>CMI02090500</v>
      </c>
      <c r="N780" s="10" t="str">
        <f t="shared" si="73"/>
        <v>SUM231200</v>
      </c>
      <c r="O780" s="10" t="str">
        <f t="shared" si="74"/>
        <v>E</v>
      </c>
      <c r="P780" s="10" t="str">
        <f t="shared" si="75"/>
        <v>50</v>
      </c>
      <c r="Q780" s="10" t="str">
        <f t="shared" si="76"/>
        <v>ZSUM</v>
      </c>
      <c r="R780" s="10" t="str">
        <f t="shared" si="77"/>
        <v>31151505</v>
      </c>
    </row>
    <row r="781" spans="1:18" ht="25.5" hidden="1" x14ac:dyDescent="0.2">
      <c r="A781" s="21" t="s">
        <v>29</v>
      </c>
      <c r="B781" s="8" t="s">
        <v>2345</v>
      </c>
      <c r="C781" s="8" t="s">
        <v>40</v>
      </c>
      <c r="D781" s="8" t="s">
        <v>969</v>
      </c>
      <c r="E781" s="7">
        <v>6</v>
      </c>
      <c r="F781" s="8" t="s">
        <v>39</v>
      </c>
      <c r="G781" s="8" t="s">
        <v>885</v>
      </c>
      <c r="H781" s="8" t="s">
        <v>37</v>
      </c>
      <c r="I781" s="8" t="s">
        <v>36</v>
      </c>
      <c r="J781" s="8" t="s">
        <v>59</v>
      </c>
      <c r="K781" s="8" t="s">
        <v>2344</v>
      </c>
      <c r="L781" s="7">
        <v>7519</v>
      </c>
      <c r="M781" s="10" t="str">
        <f t="shared" si="72"/>
        <v>CMI02051200</v>
      </c>
      <c r="N781" s="10" t="str">
        <f t="shared" si="73"/>
        <v>SUM231000</v>
      </c>
      <c r="O781" s="10" t="str">
        <f t="shared" si="74"/>
        <v>E</v>
      </c>
      <c r="P781" s="10" t="str">
        <f t="shared" si="75"/>
        <v>10</v>
      </c>
      <c r="Q781" s="10" t="str">
        <f t="shared" si="76"/>
        <v>ZSUM</v>
      </c>
      <c r="R781" s="10" t="str">
        <f t="shared" si="77"/>
        <v>26121600</v>
      </c>
    </row>
    <row r="782" spans="1:18" ht="25.5" hidden="1" x14ac:dyDescent="0.2">
      <c r="A782" s="21" t="s">
        <v>2343</v>
      </c>
      <c r="B782" s="8" t="s">
        <v>2342</v>
      </c>
      <c r="C782" s="8" t="s">
        <v>40</v>
      </c>
      <c r="D782" s="8" t="s">
        <v>249</v>
      </c>
      <c r="E782" s="8" t="s">
        <v>40</v>
      </c>
      <c r="F782" s="8" t="s">
        <v>39</v>
      </c>
      <c r="G782" s="8" t="s">
        <v>885</v>
      </c>
      <c r="H782" s="8" t="s">
        <v>37</v>
      </c>
      <c r="I782" s="8" t="s">
        <v>53</v>
      </c>
      <c r="J782" s="8" t="s">
        <v>59</v>
      </c>
      <c r="K782" s="8" t="s">
        <v>2341</v>
      </c>
      <c r="L782" s="7">
        <v>7520</v>
      </c>
      <c r="M782" s="10" t="str">
        <f t="shared" si="72"/>
        <v>CMI02090700</v>
      </c>
      <c r="N782" s="10" t="str">
        <f t="shared" si="73"/>
        <v>SUM231000</v>
      </c>
      <c r="O782" s="10" t="str">
        <f t="shared" si="74"/>
        <v>E</v>
      </c>
      <c r="P782" s="10" t="str">
        <f t="shared" si="75"/>
        <v>50</v>
      </c>
      <c r="Q782" s="10" t="str">
        <f t="shared" si="76"/>
        <v>ZSUM</v>
      </c>
      <c r="R782" s="10" t="str">
        <f t="shared" si="77"/>
        <v>31163100</v>
      </c>
    </row>
    <row r="783" spans="1:18" ht="25.5" hidden="1" x14ac:dyDescent="0.2">
      <c r="A783" s="21" t="s">
        <v>2340</v>
      </c>
      <c r="B783" s="8" t="s">
        <v>2339</v>
      </c>
      <c r="C783" s="8" t="s">
        <v>40</v>
      </c>
      <c r="D783" s="8" t="s">
        <v>249</v>
      </c>
      <c r="E783" s="8" t="s">
        <v>40</v>
      </c>
      <c r="F783" s="8" t="s">
        <v>39</v>
      </c>
      <c r="G783" s="8" t="s">
        <v>975</v>
      </c>
      <c r="H783" s="8" t="s">
        <v>37</v>
      </c>
      <c r="I783" s="8" t="s">
        <v>53</v>
      </c>
      <c r="J783" s="8" t="s">
        <v>59</v>
      </c>
      <c r="K783" s="8" t="s">
        <v>2338</v>
      </c>
      <c r="L783" s="7">
        <v>7521</v>
      </c>
      <c r="M783" s="10" t="str">
        <f t="shared" si="72"/>
        <v>CMI02090700</v>
      </c>
      <c r="N783" s="10" t="str">
        <f t="shared" si="73"/>
        <v>SUM231100</v>
      </c>
      <c r="O783" s="10" t="str">
        <f t="shared" si="74"/>
        <v>E</v>
      </c>
      <c r="P783" s="10" t="str">
        <f t="shared" si="75"/>
        <v>50</v>
      </c>
      <c r="Q783" s="10" t="str">
        <f t="shared" si="76"/>
        <v>ZSUM</v>
      </c>
      <c r="R783" s="10" t="str">
        <f t="shared" si="77"/>
        <v>31163000</v>
      </c>
    </row>
    <row r="784" spans="1:18" ht="38.25" hidden="1" x14ac:dyDescent="0.2">
      <c r="A784" s="21" t="s">
        <v>2337</v>
      </c>
      <c r="B784" s="8" t="s">
        <v>2336</v>
      </c>
      <c r="C784" s="8" t="s">
        <v>40</v>
      </c>
      <c r="D784" s="8" t="s">
        <v>1059</v>
      </c>
      <c r="E784" s="8" t="s">
        <v>40</v>
      </c>
      <c r="F784" s="8" t="s">
        <v>39</v>
      </c>
      <c r="G784" s="8" t="s">
        <v>975</v>
      </c>
      <c r="H784" s="8" t="s">
        <v>37</v>
      </c>
      <c r="I784" s="8" t="s">
        <v>36</v>
      </c>
      <c r="J784" s="8" t="s">
        <v>59</v>
      </c>
      <c r="K784" s="8" t="s">
        <v>2335</v>
      </c>
      <c r="L784" s="7">
        <v>7522</v>
      </c>
      <c r="M784" s="10" t="str">
        <f t="shared" si="72"/>
        <v>CMI02090600</v>
      </c>
      <c r="N784" s="10" t="str">
        <f t="shared" si="73"/>
        <v>SUM231100</v>
      </c>
      <c r="O784" s="10" t="str">
        <f t="shared" si="74"/>
        <v>E</v>
      </c>
      <c r="P784" s="10" t="str">
        <f t="shared" si="75"/>
        <v>10</v>
      </c>
      <c r="Q784" s="10" t="str">
        <f t="shared" si="76"/>
        <v>ZSUM</v>
      </c>
      <c r="R784" s="10" t="str">
        <f t="shared" si="77"/>
        <v>40142002</v>
      </c>
    </row>
    <row r="785" spans="1:18" ht="38.25" hidden="1" x14ac:dyDescent="0.2">
      <c r="A785" s="21" t="s">
        <v>2334</v>
      </c>
      <c r="B785" s="8" t="s">
        <v>2333</v>
      </c>
      <c r="C785" s="8" t="s">
        <v>40</v>
      </c>
      <c r="D785" s="8" t="s">
        <v>990</v>
      </c>
      <c r="E785" s="8" t="s">
        <v>40</v>
      </c>
      <c r="F785" s="8" t="s">
        <v>39</v>
      </c>
      <c r="G785" s="8" t="s">
        <v>85</v>
      </c>
      <c r="H785" s="8" t="s">
        <v>37</v>
      </c>
      <c r="I785" s="8" t="s">
        <v>53</v>
      </c>
      <c r="J785" s="8" t="s">
        <v>59</v>
      </c>
      <c r="K785" s="8" t="s">
        <v>1909</v>
      </c>
      <c r="L785" s="7">
        <v>7523</v>
      </c>
      <c r="M785" s="10" t="str">
        <f t="shared" si="72"/>
        <v>CMI02090500</v>
      </c>
      <c r="N785" s="10" t="str">
        <f t="shared" si="73"/>
        <v>SUM231500</v>
      </c>
      <c r="O785" s="10" t="str">
        <f t="shared" si="74"/>
        <v>E</v>
      </c>
      <c r="P785" s="10" t="str">
        <f t="shared" si="75"/>
        <v>50</v>
      </c>
      <c r="Q785" s="10" t="str">
        <f t="shared" si="76"/>
        <v>ZSUM</v>
      </c>
      <c r="R785" s="10" t="str">
        <f t="shared" si="77"/>
        <v>27111727</v>
      </c>
    </row>
    <row r="786" spans="1:18" ht="25.5" hidden="1" x14ac:dyDescent="0.2">
      <c r="A786" s="21" t="s">
        <v>2332</v>
      </c>
      <c r="B786" s="8" t="s">
        <v>2331</v>
      </c>
      <c r="C786" s="8" t="s">
        <v>40</v>
      </c>
      <c r="D786" s="8" t="s">
        <v>1023</v>
      </c>
      <c r="E786" s="7">
        <v>6</v>
      </c>
      <c r="F786" s="8" t="s">
        <v>39</v>
      </c>
      <c r="G786" s="8" t="s">
        <v>885</v>
      </c>
      <c r="H786" s="8" t="s">
        <v>37</v>
      </c>
      <c r="I786" s="8" t="s">
        <v>36</v>
      </c>
      <c r="J786" s="8" t="s">
        <v>59</v>
      </c>
      <c r="K786" s="8" t="s">
        <v>2330</v>
      </c>
      <c r="L786" s="7">
        <v>7524</v>
      </c>
      <c r="M786" s="10" t="str">
        <f t="shared" si="72"/>
        <v>CMI02050800</v>
      </c>
      <c r="N786" s="10" t="str">
        <f t="shared" si="73"/>
        <v>SUM231000</v>
      </c>
      <c r="O786" s="10" t="str">
        <f t="shared" si="74"/>
        <v>E</v>
      </c>
      <c r="P786" s="10" t="str">
        <f t="shared" si="75"/>
        <v>10</v>
      </c>
      <c r="Q786" s="10" t="str">
        <f t="shared" si="76"/>
        <v>ZSUM</v>
      </c>
      <c r="R786" s="10" t="str">
        <f t="shared" si="77"/>
        <v>39101600</v>
      </c>
    </row>
    <row r="787" spans="1:18" ht="25.5" hidden="1" x14ac:dyDescent="0.2">
      <c r="A787" s="21" t="s">
        <v>2329</v>
      </c>
      <c r="B787" s="8" t="s">
        <v>2328</v>
      </c>
      <c r="C787" s="8" t="s">
        <v>40</v>
      </c>
      <c r="D787" s="8" t="s">
        <v>256</v>
      </c>
      <c r="E787" s="7">
        <v>6</v>
      </c>
      <c r="F787" s="8" t="s">
        <v>39</v>
      </c>
      <c r="G787" s="8" t="s">
        <v>60</v>
      </c>
      <c r="H787" s="8" t="s">
        <v>37</v>
      </c>
      <c r="I787" s="8" t="s">
        <v>53</v>
      </c>
      <c r="J787" s="8" t="s">
        <v>59</v>
      </c>
      <c r="K787" s="8" t="s">
        <v>2327</v>
      </c>
      <c r="L787" s="7">
        <v>7525</v>
      </c>
      <c r="M787" s="10" t="str">
        <f t="shared" si="72"/>
        <v>CMI02090900</v>
      </c>
      <c r="N787" s="10" t="str">
        <f t="shared" si="73"/>
        <v>SUM231200</v>
      </c>
      <c r="O787" s="10" t="str">
        <f t="shared" si="74"/>
        <v>E</v>
      </c>
      <c r="P787" s="10" t="str">
        <f t="shared" si="75"/>
        <v>50</v>
      </c>
      <c r="Q787" s="10" t="str">
        <f t="shared" si="76"/>
        <v>ZSUM</v>
      </c>
      <c r="R787" s="10" t="str">
        <f t="shared" si="77"/>
        <v>39121719</v>
      </c>
    </row>
    <row r="788" spans="1:18" ht="38.25" hidden="1" x14ac:dyDescent="0.2">
      <c r="A788" s="21" t="s">
        <v>2326</v>
      </c>
      <c r="B788" s="8" t="s">
        <v>2325</v>
      </c>
      <c r="C788" s="8" t="s">
        <v>40</v>
      </c>
      <c r="D788" s="8" t="s">
        <v>55</v>
      </c>
      <c r="E788" s="8" t="s">
        <v>40</v>
      </c>
      <c r="F788" s="8" t="s">
        <v>39</v>
      </c>
      <c r="G788" s="8" t="s">
        <v>85</v>
      </c>
      <c r="H788" s="8" t="s">
        <v>37</v>
      </c>
      <c r="I788" s="8" t="s">
        <v>53</v>
      </c>
      <c r="J788" s="8" t="s">
        <v>59</v>
      </c>
      <c r="K788" s="8" t="s">
        <v>2324</v>
      </c>
      <c r="L788" s="7">
        <v>7526</v>
      </c>
      <c r="M788" s="10" t="str">
        <f t="shared" si="72"/>
        <v>CMI02140300</v>
      </c>
      <c r="N788" s="10" t="str">
        <f t="shared" si="73"/>
        <v>SUM231500</v>
      </c>
      <c r="O788" s="10" t="str">
        <f t="shared" si="74"/>
        <v>E</v>
      </c>
      <c r="P788" s="10" t="str">
        <f t="shared" si="75"/>
        <v>50</v>
      </c>
      <c r="Q788" s="10" t="str">
        <f t="shared" si="76"/>
        <v>ZSUM</v>
      </c>
      <c r="R788" s="10" t="str">
        <f t="shared" si="77"/>
        <v>41111604</v>
      </c>
    </row>
    <row r="789" spans="1:18" ht="38.25" hidden="1" x14ac:dyDescent="0.2">
      <c r="A789" s="21" t="s">
        <v>2323</v>
      </c>
      <c r="B789" s="8" t="s">
        <v>2322</v>
      </c>
      <c r="C789" s="8" t="s">
        <v>40</v>
      </c>
      <c r="D789" s="8" t="s">
        <v>990</v>
      </c>
      <c r="E789" s="8" t="s">
        <v>40</v>
      </c>
      <c r="F789" s="8" t="s">
        <v>39</v>
      </c>
      <c r="G789" s="8" t="s">
        <v>85</v>
      </c>
      <c r="H789" s="8" t="s">
        <v>37</v>
      </c>
      <c r="I789" s="8" t="s">
        <v>53</v>
      </c>
      <c r="J789" s="8" t="s">
        <v>59</v>
      </c>
      <c r="K789" s="8" t="s">
        <v>2321</v>
      </c>
      <c r="L789" s="7">
        <v>7527</v>
      </c>
      <c r="M789" s="10" t="str">
        <f t="shared" si="72"/>
        <v>CMI02090500</v>
      </c>
      <c r="N789" s="10" t="str">
        <f t="shared" si="73"/>
        <v>SUM231500</v>
      </c>
      <c r="O789" s="10" t="str">
        <f t="shared" si="74"/>
        <v>E</v>
      </c>
      <c r="P789" s="10" t="str">
        <f t="shared" si="75"/>
        <v>50</v>
      </c>
      <c r="Q789" s="10" t="str">
        <f t="shared" si="76"/>
        <v>ZSUM</v>
      </c>
      <c r="R789" s="10" t="str">
        <f t="shared" si="77"/>
        <v>27111535</v>
      </c>
    </row>
    <row r="790" spans="1:18" ht="25.5" hidden="1" x14ac:dyDescent="0.2">
      <c r="A790" s="21" t="s">
        <v>2320</v>
      </c>
      <c r="B790" s="8" t="s">
        <v>2319</v>
      </c>
      <c r="C790" s="8" t="s">
        <v>40</v>
      </c>
      <c r="D790" s="8" t="s">
        <v>1082</v>
      </c>
      <c r="E790" s="8" t="s">
        <v>40</v>
      </c>
      <c r="F790" s="8" t="s">
        <v>39</v>
      </c>
      <c r="G790" s="8" t="s">
        <v>60</v>
      </c>
      <c r="H790" s="8" t="s">
        <v>37</v>
      </c>
      <c r="I790" s="8" t="s">
        <v>53</v>
      </c>
      <c r="J790" s="8" t="s">
        <v>59</v>
      </c>
      <c r="K790" s="8" t="s">
        <v>2318</v>
      </c>
      <c r="L790" s="7">
        <v>7528</v>
      </c>
      <c r="M790" s="10" t="str">
        <f t="shared" si="72"/>
        <v>CMI02050500</v>
      </c>
      <c r="N790" s="10" t="str">
        <f t="shared" si="73"/>
        <v>SUM231200</v>
      </c>
      <c r="O790" s="10" t="str">
        <f t="shared" si="74"/>
        <v>E</v>
      </c>
      <c r="P790" s="10" t="str">
        <f t="shared" si="75"/>
        <v>50</v>
      </c>
      <c r="Q790" s="10" t="str">
        <f t="shared" si="76"/>
        <v>ZSUM</v>
      </c>
      <c r="R790" s="10" t="str">
        <f t="shared" si="77"/>
        <v>39121703</v>
      </c>
    </row>
    <row r="791" spans="1:18" ht="25.5" hidden="1" x14ac:dyDescent="0.2">
      <c r="A791" s="21" t="s">
        <v>2317</v>
      </c>
      <c r="B791" s="8" t="s">
        <v>2316</v>
      </c>
      <c r="C791" s="8" t="s">
        <v>40</v>
      </c>
      <c r="D791" s="8" t="s">
        <v>305</v>
      </c>
      <c r="E791" s="8" t="s">
        <v>40</v>
      </c>
      <c r="F791" s="8" t="s">
        <v>39</v>
      </c>
      <c r="G791" s="8" t="s">
        <v>885</v>
      </c>
      <c r="H791" s="8" t="s">
        <v>37</v>
      </c>
      <c r="I791" s="8" t="s">
        <v>53</v>
      </c>
      <c r="J791" s="8" t="s">
        <v>59</v>
      </c>
      <c r="K791" s="8" t="s">
        <v>2315</v>
      </c>
      <c r="L791" s="7">
        <v>7529</v>
      </c>
      <c r="M791" s="10" t="str">
        <f t="shared" si="72"/>
        <v>CMI02200300</v>
      </c>
      <c r="N791" s="10" t="str">
        <f t="shared" si="73"/>
        <v>SUM231000</v>
      </c>
      <c r="O791" s="10" t="str">
        <f t="shared" si="74"/>
        <v>E</v>
      </c>
      <c r="P791" s="10" t="str">
        <f t="shared" si="75"/>
        <v>50</v>
      </c>
      <c r="Q791" s="10" t="str">
        <f t="shared" si="76"/>
        <v>ZSUM</v>
      </c>
      <c r="R791" s="10" t="str">
        <f t="shared" si="77"/>
        <v>39131719</v>
      </c>
    </row>
    <row r="792" spans="1:18" ht="25.5" hidden="1" x14ac:dyDescent="0.2">
      <c r="A792" s="23" t="s">
        <v>2314</v>
      </c>
      <c r="B792" s="8" t="s">
        <v>2313</v>
      </c>
      <c r="C792" s="8" t="s">
        <v>40</v>
      </c>
      <c r="D792" s="8" t="s">
        <v>249</v>
      </c>
      <c r="E792" s="8" t="s">
        <v>40</v>
      </c>
      <c r="F792" s="8" t="s">
        <v>39</v>
      </c>
      <c r="G792" s="8" t="s">
        <v>975</v>
      </c>
      <c r="H792" s="8" t="s">
        <v>37</v>
      </c>
      <c r="I792" s="8" t="s">
        <v>53</v>
      </c>
      <c r="J792" s="8" t="s">
        <v>59</v>
      </c>
      <c r="K792" s="8" t="s">
        <v>2305</v>
      </c>
      <c r="L792" s="7">
        <v>7530</v>
      </c>
      <c r="M792" s="10" t="str">
        <f t="shared" si="72"/>
        <v>CMI02090700</v>
      </c>
      <c r="N792" s="10" t="str">
        <f t="shared" si="73"/>
        <v>SUM231100</v>
      </c>
      <c r="O792" s="10" t="str">
        <f t="shared" si="74"/>
        <v>E</v>
      </c>
      <c r="P792" s="10" t="str">
        <f t="shared" si="75"/>
        <v>50</v>
      </c>
      <c r="Q792" s="10" t="str">
        <f t="shared" si="76"/>
        <v>ZSUM</v>
      </c>
      <c r="R792" s="10" t="str">
        <f t="shared" si="77"/>
        <v>40141700</v>
      </c>
    </row>
    <row r="793" spans="1:18" ht="38.25" hidden="1" x14ac:dyDescent="0.2">
      <c r="A793" s="22" t="s">
        <v>2312</v>
      </c>
      <c r="B793" s="8" t="s">
        <v>2311</v>
      </c>
      <c r="C793" s="8" t="s">
        <v>40</v>
      </c>
      <c r="D793" s="8" t="s">
        <v>1059</v>
      </c>
      <c r="E793" s="8" t="s">
        <v>40</v>
      </c>
      <c r="F793" s="8" t="s">
        <v>39</v>
      </c>
      <c r="G793" s="8" t="s">
        <v>60</v>
      </c>
      <c r="H793" s="8" t="s">
        <v>37</v>
      </c>
      <c r="I793" s="8" t="s">
        <v>53</v>
      </c>
      <c r="J793" s="8" t="s">
        <v>59</v>
      </c>
      <c r="K793" s="8" t="s">
        <v>2310</v>
      </c>
      <c r="L793" s="7">
        <v>7531</v>
      </c>
      <c r="M793" s="10" t="str">
        <f t="shared" si="72"/>
        <v>CMI02090600</v>
      </c>
      <c r="N793" s="10" t="str">
        <f t="shared" si="73"/>
        <v>SUM231200</v>
      </c>
      <c r="O793" s="10" t="str">
        <f t="shared" si="74"/>
        <v>E</v>
      </c>
      <c r="P793" s="10" t="str">
        <f t="shared" si="75"/>
        <v>50</v>
      </c>
      <c r="Q793" s="10" t="str">
        <f t="shared" si="76"/>
        <v>ZSUM</v>
      </c>
      <c r="R793" s="10" t="str">
        <f t="shared" si="77"/>
        <v>31162411</v>
      </c>
    </row>
    <row r="794" spans="1:18" ht="25.5" hidden="1" x14ac:dyDescent="0.2">
      <c r="A794" s="22" t="s">
        <v>2309</v>
      </c>
      <c r="B794" s="8" t="s">
        <v>2308</v>
      </c>
      <c r="C794" s="8" t="s">
        <v>40</v>
      </c>
      <c r="D794" s="8" t="s">
        <v>730</v>
      </c>
      <c r="E794" s="8" t="s">
        <v>40</v>
      </c>
      <c r="F794" s="8" t="s">
        <v>39</v>
      </c>
      <c r="G794" s="8" t="s">
        <v>885</v>
      </c>
      <c r="H794" s="8" t="s">
        <v>37</v>
      </c>
      <c r="I794" s="8" t="s">
        <v>53</v>
      </c>
      <c r="J794" s="8" t="s">
        <v>59</v>
      </c>
      <c r="K794" s="8" t="s">
        <v>1581</v>
      </c>
      <c r="L794" s="7">
        <v>7532</v>
      </c>
      <c r="M794" s="10" t="str">
        <f t="shared" si="72"/>
        <v>CMI02130200</v>
      </c>
      <c r="N794" s="10" t="str">
        <f t="shared" si="73"/>
        <v>SUM231000</v>
      </c>
      <c r="O794" s="10" t="str">
        <f t="shared" si="74"/>
        <v>E</v>
      </c>
      <c r="P794" s="10" t="str">
        <f t="shared" si="75"/>
        <v>50</v>
      </c>
      <c r="Q794" s="10" t="str">
        <f t="shared" si="76"/>
        <v>ZSUM</v>
      </c>
      <c r="R794" s="10" t="str">
        <f t="shared" si="77"/>
        <v>47131800</v>
      </c>
    </row>
    <row r="795" spans="1:18" ht="25.5" hidden="1" x14ac:dyDescent="0.2">
      <c r="A795" s="22" t="s">
        <v>2307</v>
      </c>
      <c r="B795" s="8" t="s">
        <v>2306</v>
      </c>
      <c r="C795" s="8" t="s">
        <v>40</v>
      </c>
      <c r="D795" s="8" t="s">
        <v>249</v>
      </c>
      <c r="E795" s="8" t="s">
        <v>40</v>
      </c>
      <c r="F795" s="8" t="s">
        <v>39</v>
      </c>
      <c r="G795" s="8" t="s">
        <v>885</v>
      </c>
      <c r="H795" s="8" t="s">
        <v>37</v>
      </c>
      <c r="I795" s="8" t="s">
        <v>53</v>
      </c>
      <c r="J795" s="8" t="s">
        <v>59</v>
      </c>
      <c r="K795" s="8" t="s">
        <v>2305</v>
      </c>
      <c r="L795" s="7">
        <v>7533</v>
      </c>
      <c r="M795" s="10" t="str">
        <f t="shared" si="72"/>
        <v>CMI02090700</v>
      </c>
      <c r="N795" s="10" t="str">
        <f t="shared" si="73"/>
        <v>SUM231000</v>
      </c>
      <c r="O795" s="10" t="str">
        <f t="shared" si="74"/>
        <v>E</v>
      </c>
      <c r="P795" s="10" t="str">
        <f t="shared" si="75"/>
        <v>50</v>
      </c>
      <c r="Q795" s="10" t="str">
        <f t="shared" si="76"/>
        <v>ZSUM</v>
      </c>
      <c r="R795" s="10" t="str">
        <f t="shared" si="77"/>
        <v>40141700</v>
      </c>
    </row>
    <row r="796" spans="1:18" ht="25.5" hidden="1" x14ac:dyDescent="0.2">
      <c r="A796" s="22" t="s">
        <v>2304</v>
      </c>
      <c r="B796" s="8" t="s">
        <v>2303</v>
      </c>
      <c r="C796" s="8" t="s">
        <v>40</v>
      </c>
      <c r="D796" s="8" t="s">
        <v>1456</v>
      </c>
      <c r="E796" s="8" t="s">
        <v>40</v>
      </c>
      <c r="F796" s="8" t="s">
        <v>39</v>
      </c>
      <c r="G796" s="8" t="s">
        <v>885</v>
      </c>
      <c r="H796" s="8" t="s">
        <v>37</v>
      </c>
      <c r="I796" s="8" t="s">
        <v>53</v>
      </c>
      <c r="J796" s="8" t="s">
        <v>59</v>
      </c>
      <c r="K796" s="8" t="s">
        <v>1074</v>
      </c>
      <c r="L796" s="7">
        <v>7534</v>
      </c>
      <c r="M796" s="10" t="str">
        <f t="shared" si="72"/>
        <v>CMI03010100</v>
      </c>
      <c r="N796" s="10" t="str">
        <f t="shared" si="73"/>
        <v>SUM231000</v>
      </c>
      <c r="O796" s="10" t="str">
        <f t="shared" si="74"/>
        <v>E</v>
      </c>
      <c r="P796" s="10" t="str">
        <f t="shared" si="75"/>
        <v>50</v>
      </c>
      <c r="Q796" s="10" t="str">
        <f t="shared" si="76"/>
        <v>ZSUM</v>
      </c>
      <c r="R796" s="10" t="str">
        <f t="shared" si="77"/>
        <v>31201500</v>
      </c>
    </row>
    <row r="797" spans="1:18" ht="25.5" hidden="1" x14ac:dyDescent="0.2">
      <c r="A797" s="21" t="s">
        <v>2302</v>
      </c>
      <c r="B797" s="8" t="s">
        <v>2301</v>
      </c>
      <c r="C797" s="8" t="s">
        <v>40</v>
      </c>
      <c r="D797" s="8" t="s">
        <v>947</v>
      </c>
      <c r="E797" s="8" t="s">
        <v>40</v>
      </c>
      <c r="F797" s="8" t="s">
        <v>39</v>
      </c>
      <c r="G797" s="8" t="s">
        <v>208</v>
      </c>
      <c r="H797" s="8" t="s">
        <v>37</v>
      </c>
      <c r="I797" s="8" t="s">
        <v>53</v>
      </c>
      <c r="J797" s="8" t="s">
        <v>59</v>
      </c>
      <c r="K797" s="8" t="s">
        <v>2300</v>
      </c>
      <c r="L797" s="7">
        <v>7535</v>
      </c>
      <c r="M797" s="10" t="str">
        <f t="shared" si="72"/>
        <v>CMI02160200</v>
      </c>
      <c r="N797" s="10" t="str">
        <f t="shared" si="73"/>
        <v>SUM301000</v>
      </c>
      <c r="O797" s="10" t="str">
        <f t="shared" si="74"/>
        <v>E</v>
      </c>
      <c r="P797" s="10" t="str">
        <f t="shared" si="75"/>
        <v>50</v>
      </c>
      <c r="Q797" s="10" t="str">
        <f t="shared" si="76"/>
        <v>ZSUM</v>
      </c>
      <c r="R797" s="10" t="str">
        <f t="shared" si="77"/>
        <v>32101626</v>
      </c>
    </row>
    <row r="798" spans="1:18" ht="25.5" hidden="1" x14ac:dyDescent="0.2">
      <c r="A798" s="21" t="s">
        <v>2299</v>
      </c>
      <c r="B798" s="8" t="s">
        <v>2298</v>
      </c>
      <c r="C798" s="8" t="s">
        <v>40</v>
      </c>
      <c r="D798" s="8" t="s">
        <v>2274</v>
      </c>
      <c r="E798" s="8" t="s">
        <v>40</v>
      </c>
      <c r="F798" s="8" t="s">
        <v>39</v>
      </c>
      <c r="G798" s="8" t="s">
        <v>60</v>
      </c>
      <c r="H798" s="8" t="s">
        <v>37</v>
      </c>
      <c r="I798" s="8" t="s">
        <v>53</v>
      </c>
      <c r="J798" s="8" t="s">
        <v>59</v>
      </c>
      <c r="K798" s="8" t="s">
        <v>2297</v>
      </c>
      <c r="L798" s="7">
        <v>7536</v>
      </c>
      <c r="M798" s="10" t="str">
        <f t="shared" si="72"/>
        <v>CMI02040400</v>
      </c>
      <c r="N798" s="10" t="str">
        <f t="shared" si="73"/>
        <v>SUM231200</v>
      </c>
      <c r="O798" s="10" t="str">
        <f t="shared" si="74"/>
        <v>E</v>
      </c>
      <c r="P798" s="10" t="str">
        <f t="shared" si="75"/>
        <v>50</v>
      </c>
      <c r="Q798" s="10" t="str">
        <f t="shared" si="76"/>
        <v>ZSUM</v>
      </c>
      <c r="R798" s="10" t="str">
        <f t="shared" si="77"/>
        <v>53121601</v>
      </c>
    </row>
    <row r="799" spans="1:18" ht="38.25" hidden="1" x14ac:dyDescent="0.2">
      <c r="A799" s="21" t="s">
        <v>2296</v>
      </c>
      <c r="B799" s="8" t="s">
        <v>2295</v>
      </c>
      <c r="C799" s="8" t="s">
        <v>40</v>
      </c>
      <c r="D799" s="8" t="s">
        <v>275</v>
      </c>
      <c r="E799" s="8" t="s">
        <v>40</v>
      </c>
      <c r="F799" s="8" t="s">
        <v>39</v>
      </c>
      <c r="G799" s="8" t="s">
        <v>60</v>
      </c>
      <c r="H799" s="8" t="s">
        <v>37</v>
      </c>
      <c r="I799" s="8" t="s">
        <v>53</v>
      </c>
      <c r="J799" s="8" t="s">
        <v>59</v>
      </c>
      <c r="K799" s="8" t="s">
        <v>2294</v>
      </c>
      <c r="L799" s="7">
        <v>7537</v>
      </c>
      <c r="M799" s="10" t="str">
        <f t="shared" si="72"/>
        <v>CMI01030300</v>
      </c>
      <c r="N799" s="10" t="str">
        <f t="shared" si="73"/>
        <v>SUM231200</v>
      </c>
      <c r="O799" s="10" t="str">
        <f t="shared" si="74"/>
        <v>E</v>
      </c>
      <c r="P799" s="10" t="str">
        <f t="shared" si="75"/>
        <v>50</v>
      </c>
      <c r="Q799" s="10" t="str">
        <f t="shared" si="76"/>
        <v>ZSUM</v>
      </c>
      <c r="R799" s="10" t="str">
        <f t="shared" si="77"/>
        <v>56101519</v>
      </c>
    </row>
    <row r="800" spans="1:18" ht="38.25" hidden="1" x14ac:dyDescent="0.2">
      <c r="A800" s="21" t="s">
        <v>2293</v>
      </c>
      <c r="B800" s="8" t="s">
        <v>2292</v>
      </c>
      <c r="C800" s="8" t="s">
        <v>40</v>
      </c>
      <c r="D800" s="8" t="s">
        <v>86</v>
      </c>
      <c r="E800" s="8" t="s">
        <v>40</v>
      </c>
      <c r="F800" s="8" t="s">
        <v>39</v>
      </c>
      <c r="G800" s="8" t="s">
        <v>60</v>
      </c>
      <c r="H800" s="8" t="s">
        <v>37</v>
      </c>
      <c r="I800" s="8" t="s">
        <v>53</v>
      </c>
      <c r="J800" s="8" t="s">
        <v>59</v>
      </c>
      <c r="K800" s="8" t="s">
        <v>529</v>
      </c>
      <c r="L800" s="7">
        <v>7538</v>
      </c>
      <c r="M800" s="10" t="str">
        <f t="shared" si="72"/>
        <v>CMI02160300</v>
      </c>
      <c r="N800" s="10" t="str">
        <f t="shared" si="73"/>
        <v>SUM231200</v>
      </c>
      <c r="O800" s="10" t="str">
        <f t="shared" si="74"/>
        <v>E</v>
      </c>
      <c r="P800" s="10" t="str">
        <f t="shared" si="75"/>
        <v>50</v>
      </c>
      <c r="Q800" s="10" t="str">
        <f t="shared" si="76"/>
        <v>ZSUM</v>
      </c>
      <c r="R800" s="10" t="str">
        <f t="shared" si="77"/>
        <v>52131501</v>
      </c>
    </row>
    <row r="801" spans="1:18" ht="25.5" hidden="1" x14ac:dyDescent="0.2">
      <c r="A801" s="21" t="s">
        <v>2291</v>
      </c>
      <c r="B801" s="8" t="s">
        <v>2290</v>
      </c>
      <c r="C801" s="8" t="s">
        <v>40</v>
      </c>
      <c r="D801" s="8" t="s">
        <v>74</v>
      </c>
      <c r="E801" s="8" t="s">
        <v>40</v>
      </c>
      <c r="F801" s="8" t="s">
        <v>39</v>
      </c>
      <c r="G801" s="8" t="s">
        <v>60</v>
      </c>
      <c r="H801" s="8" t="s">
        <v>37</v>
      </c>
      <c r="I801" s="8" t="s">
        <v>53</v>
      </c>
      <c r="J801" s="8" t="s">
        <v>59</v>
      </c>
      <c r="K801" s="8" t="s">
        <v>2289</v>
      </c>
      <c r="L801" s="7">
        <v>7539</v>
      </c>
      <c r="M801" s="10" t="str">
        <f t="shared" si="72"/>
        <v>CMI02170300</v>
      </c>
      <c r="N801" s="10" t="str">
        <f t="shared" si="73"/>
        <v>SUM231200</v>
      </c>
      <c r="O801" s="10" t="str">
        <f t="shared" si="74"/>
        <v>E</v>
      </c>
      <c r="P801" s="10" t="str">
        <f t="shared" si="75"/>
        <v>50</v>
      </c>
      <c r="Q801" s="10" t="str">
        <f t="shared" si="76"/>
        <v>ZSUM</v>
      </c>
      <c r="R801" s="10" t="str">
        <f t="shared" si="77"/>
        <v>53121701</v>
      </c>
    </row>
    <row r="802" spans="1:18" ht="38.25" hidden="1" x14ac:dyDescent="0.2">
      <c r="A802" s="21" t="s">
        <v>2288</v>
      </c>
      <c r="B802" s="8" t="s">
        <v>2287</v>
      </c>
      <c r="C802" s="8" t="s">
        <v>40</v>
      </c>
      <c r="D802" s="8" t="s">
        <v>86</v>
      </c>
      <c r="E802" s="8" t="s">
        <v>40</v>
      </c>
      <c r="F802" s="8" t="s">
        <v>39</v>
      </c>
      <c r="G802" s="8" t="s">
        <v>60</v>
      </c>
      <c r="H802" s="8" t="s">
        <v>37</v>
      </c>
      <c r="I802" s="8" t="s">
        <v>53</v>
      </c>
      <c r="J802" s="8" t="s">
        <v>59</v>
      </c>
      <c r="K802" s="8" t="s">
        <v>714</v>
      </c>
      <c r="L802" s="7">
        <v>7540</v>
      </c>
      <c r="M802" s="10" t="str">
        <f t="shared" si="72"/>
        <v>CMI02160300</v>
      </c>
      <c r="N802" s="10" t="str">
        <f t="shared" si="73"/>
        <v>SUM231200</v>
      </c>
      <c r="O802" s="10" t="str">
        <f t="shared" si="74"/>
        <v>E</v>
      </c>
      <c r="P802" s="10" t="str">
        <f t="shared" si="75"/>
        <v>50</v>
      </c>
      <c r="Q802" s="10" t="str">
        <f t="shared" si="76"/>
        <v>ZSUM</v>
      </c>
      <c r="R802" s="10" t="str">
        <f t="shared" si="77"/>
        <v>44120000</v>
      </c>
    </row>
    <row r="803" spans="1:18" ht="38.25" hidden="1" x14ac:dyDescent="0.2">
      <c r="A803" s="21" t="s">
        <v>2286</v>
      </c>
      <c r="B803" s="8" t="s">
        <v>2285</v>
      </c>
      <c r="C803" s="8" t="s">
        <v>40</v>
      </c>
      <c r="D803" s="8" t="s">
        <v>216</v>
      </c>
      <c r="E803" s="8" t="s">
        <v>40</v>
      </c>
      <c r="F803" s="8" t="s">
        <v>39</v>
      </c>
      <c r="G803" s="8" t="s">
        <v>85</v>
      </c>
      <c r="H803" s="8" t="s">
        <v>37</v>
      </c>
      <c r="I803" s="8" t="s">
        <v>53</v>
      </c>
      <c r="J803" s="8" t="s">
        <v>59</v>
      </c>
      <c r="K803" s="8" t="s">
        <v>1208</v>
      </c>
      <c r="L803" s="7">
        <v>7541</v>
      </c>
      <c r="M803" s="10" t="str">
        <f t="shared" si="72"/>
        <v>CMI02140500</v>
      </c>
      <c r="N803" s="10" t="str">
        <f t="shared" si="73"/>
        <v>SUM231500</v>
      </c>
      <c r="O803" s="10" t="str">
        <f t="shared" si="74"/>
        <v>E</v>
      </c>
      <c r="P803" s="10" t="str">
        <f t="shared" si="75"/>
        <v>50</v>
      </c>
      <c r="Q803" s="10" t="str">
        <f t="shared" si="76"/>
        <v>ZSUM</v>
      </c>
      <c r="R803" s="10" t="str">
        <f t="shared" si="77"/>
        <v>39121400</v>
      </c>
    </row>
    <row r="804" spans="1:18" ht="25.5" hidden="1" x14ac:dyDescent="0.2">
      <c r="A804" s="21" t="s">
        <v>2284</v>
      </c>
      <c r="B804" s="8" t="s">
        <v>2283</v>
      </c>
      <c r="C804" s="8" t="s">
        <v>40</v>
      </c>
      <c r="D804" s="8" t="s">
        <v>74</v>
      </c>
      <c r="E804" s="8" t="s">
        <v>40</v>
      </c>
      <c r="F804" s="8" t="s">
        <v>39</v>
      </c>
      <c r="G804" s="8" t="s">
        <v>60</v>
      </c>
      <c r="H804" s="8" t="s">
        <v>37</v>
      </c>
      <c r="I804" s="8" t="s">
        <v>53</v>
      </c>
      <c r="J804" s="8" t="s">
        <v>59</v>
      </c>
      <c r="K804" s="8" t="s">
        <v>1477</v>
      </c>
      <c r="L804" s="7">
        <v>7542</v>
      </c>
      <c r="M804" s="10" t="str">
        <f t="shared" si="72"/>
        <v>CMI02170300</v>
      </c>
      <c r="N804" s="10" t="str">
        <f t="shared" si="73"/>
        <v>SUM231200</v>
      </c>
      <c r="O804" s="10" t="str">
        <f t="shared" si="74"/>
        <v>E</v>
      </c>
      <c r="P804" s="10" t="str">
        <f t="shared" si="75"/>
        <v>50</v>
      </c>
      <c r="Q804" s="10" t="str">
        <f t="shared" si="76"/>
        <v>ZSUM</v>
      </c>
      <c r="R804" s="10" t="str">
        <f t="shared" si="77"/>
        <v>47131502</v>
      </c>
    </row>
    <row r="805" spans="1:18" ht="38.25" hidden="1" x14ac:dyDescent="0.2">
      <c r="A805" s="21" t="s">
        <v>2282</v>
      </c>
      <c r="B805" s="8" t="s">
        <v>2281</v>
      </c>
      <c r="C805" s="8" t="s">
        <v>40</v>
      </c>
      <c r="D805" s="8" t="s">
        <v>166</v>
      </c>
      <c r="E805" s="8" t="s">
        <v>40</v>
      </c>
      <c r="F805" s="8" t="s">
        <v>39</v>
      </c>
      <c r="G805" s="8" t="s">
        <v>60</v>
      </c>
      <c r="H805" s="8" t="s">
        <v>37</v>
      </c>
      <c r="I805" s="8" t="s">
        <v>53</v>
      </c>
      <c r="J805" s="8" t="s">
        <v>59</v>
      </c>
      <c r="K805" s="8" t="s">
        <v>2280</v>
      </c>
      <c r="L805" s="7">
        <v>7543</v>
      </c>
      <c r="M805" s="10" t="str">
        <f t="shared" si="72"/>
        <v>CMI02170200</v>
      </c>
      <c r="N805" s="10" t="str">
        <f t="shared" si="73"/>
        <v>SUM231200</v>
      </c>
      <c r="O805" s="10" t="str">
        <f t="shared" si="74"/>
        <v>E</v>
      </c>
      <c r="P805" s="10" t="str">
        <f t="shared" si="75"/>
        <v>50</v>
      </c>
      <c r="Q805" s="10" t="str">
        <f t="shared" si="76"/>
        <v>ZSUM</v>
      </c>
      <c r="R805" s="10" t="str">
        <f t="shared" si="77"/>
        <v>50201706</v>
      </c>
    </row>
    <row r="806" spans="1:18" ht="38.25" hidden="1" x14ac:dyDescent="0.2">
      <c r="A806" s="21" t="s">
        <v>2279</v>
      </c>
      <c r="B806" s="8" t="s">
        <v>2278</v>
      </c>
      <c r="C806" s="8" t="s">
        <v>40</v>
      </c>
      <c r="D806" s="8" t="s">
        <v>166</v>
      </c>
      <c r="E806" s="8" t="s">
        <v>40</v>
      </c>
      <c r="F806" s="8" t="s">
        <v>39</v>
      </c>
      <c r="G806" s="8" t="s">
        <v>60</v>
      </c>
      <c r="H806" s="8" t="s">
        <v>37</v>
      </c>
      <c r="I806" s="8" t="s">
        <v>53</v>
      </c>
      <c r="J806" s="8" t="s">
        <v>59</v>
      </c>
      <c r="K806" s="8" t="s">
        <v>2277</v>
      </c>
      <c r="L806" s="7">
        <v>7544</v>
      </c>
      <c r="M806" s="10" t="str">
        <f t="shared" si="72"/>
        <v>CMI02170200</v>
      </c>
      <c r="N806" s="10" t="str">
        <f t="shared" si="73"/>
        <v>SUM231200</v>
      </c>
      <c r="O806" s="10" t="str">
        <f t="shared" si="74"/>
        <v>E</v>
      </c>
      <c r="P806" s="10" t="str">
        <f t="shared" si="75"/>
        <v>50</v>
      </c>
      <c r="Q806" s="10" t="str">
        <f t="shared" si="76"/>
        <v>ZSUM</v>
      </c>
      <c r="R806" s="10" t="str">
        <f t="shared" si="77"/>
        <v>50161509</v>
      </c>
    </row>
    <row r="807" spans="1:18" ht="25.5" hidden="1" x14ac:dyDescent="0.2">
      <c r="A807" s="21" t="s">
        <v>2276</v>
      </c>
      <c r="B807" s="8" t="s">
        <v>2275</v>
      </c>
      <c r="C807" s="8" t="s">
        <v>40</v>
      </c>
      <c r="D807" s="8" t="s">
        <v>2274</v>
      </c>
      <c r="E807" s="8" t="s">
        <v>40</v>
      </c>
      <c r="F807" s="8" t="s">
        <v>39</v>
      </c>
      <c r="G807" s="8" t="s">
        <v>60</v>
      </c>
      <c r="H807" s="8" t="s">
        <v>37</v>
      </c>
      <c r="I807" s="8" t="s">
        <v>53</v>
      </c>
      <c r="J807" s="8" t="s">
        <v>59</v>
      </c>
      <c r="K807" s="8" t="s">
        <v>2273</v>
      </c>
      <c r="L807" s="7">
        <v>7545</v>
      </c>
      <c r="M807" s="10" t="str">
        <f t="shared" si="72"/>
        <v>CMI02040400</v>
      </c>
      <c r="N807" s="10" t="str">
        <f t="shared" si="73"/>
        <v>SUM231200</v>
      </c>
      <c r="O807" s="10" t="str">
        <f t="shared" si="74"/>
        <v>E</v>
      </c>
      <c r="P807" s="10" t="str">
        <f t="shared" si="75"/>
        <v>50</v>
      </c>
      <c r="Q807" s="10" t="str">
        <f t="shared" si="76"/>
        <v>ZSUM</v>
      </c>
      <c r="R807" s="10" t="str">
        <f t="shared" si="77"/>
        <v>49101702</v>
      </c>
    </row>
    <row r="808" spans="1:18" ht="25.5" hidden="1" x14ac:dyDescent="0.2">
      <c r="A808" s="21" t="s">
        <v>2272</v>
      </c>
      <c r="B808" s="8" t="s">
        <v>2271</v>
      </c>
      <c r="C808" s="8" t="s">
        <v>40</v>
      </c>
      <c r="D808" s="8" t="s">
        <v>74</v>
      </c>
      <c r="E808" s="8" t="s">
        <v>40</v>
      </c>
      <c r="F808" s="8" t="s">
        <v>39</v>
      </c>
      <c r="G808" s="8" t="s">
        <v>60</v>
      </c>
      <c r="H808" s="8" t="s">
        <v>37</v>
      </c>
      <c r="I808" s="8" t="s">
        <v>53</v>
      </c>
      <c r="J808" s="8" t="s">
        <v>59</v>
      </c>
      <c r="K808" s="8" t="s">
        <v>2270</v>
      </c>
      <c r="L808" s="7">
        <v>7546</v>
      </c>
      <c r="M808" s="10" t="str">
        <f t="shared" si="72"/>
        <v>CMI02170300</v>
      </c>
      <c r="N808" s="10" t="str">
        <f t="shared" si="73"/>
        <v>SUM231200</v>
      </c>
      <c r="O808" s="10" t="str">
        <f t="shared" si="74"/>
        <v>E</v>
      </c>
      <c r="P808" s="10" t="str">
        <f t="shared" si="75"/>
        <v>50</v>
      </c>
      <c r="Q808" s="10" t="str">
        <f t="shared" si="76"/>
        <v>ZSUM</v>
      </c>
      <c r="R808" s="10" t="str">
        <f t="shared" si="77"/>
        <v>53121603</v>
      </c>
    </row>
    <row r="809" spans="1:18" ht="38.25" hidden="1" x14ac:dyDescent="0.2">
      <c r="A809" s="21" t="s">
        <v>2269</v>
      </c>
      <c r="B809" s="8" t="s">
        <v>2268</v>
      </c>
      <c r="C809" s="8" t="s">
        <v>40</v>
      </c>
      <c r="D809" s="8" t="s">
        <v>166</v>
      </c>
      <c r="E809" s="8" t="s">
        <v>40</v>
      </c>
      <c r="F809" s="8" t="s">
        <v>39</v>
      </c>
      <c r="G809" s="8" t="s">
        <v>60</v>
      </c>
      <c r="H809" s="8" t="s">
        <v>37</v>
      </c>
      <c r="I809" s="8" t="s">
        <v>53</v>
      </c>
      <c r="J809" s="8" t="s">
        <v>59</v>
      </c>
      <c r="K809" s="8" t="s">
        <v>2267</v>
      </c>
      <c r="L809" s="7">
        <v>7547</v>
      </c>
      <c r="M809" s="10" t="str">
        <f t="shared" si="72"/>
        <v>CMI02170200</v>
      </c>
      <c r="N809" s="10" t="str">
        <f t="shared" si="73"/>
        <v>SUM231200</v>
      </c>
      <c r="O809" s="10" t="str">
        <f t="shared" si="74"/>
        <v>E</v>
      </c>
      <c r="P809" s="10" t="str">
        <f t="shared" si="75"/>
        <v>50</v>
      </c>
      <c r="Q809" s="10" t="str">
        <f t="shared" si="76"/>
        <v>ZSUM</v>
      </c>
      <c r="R809" s="10" t="str">
        <f t="shared" si="77"/>
        <v>52152101</v>
      </c>
    </row>
    <row r="810" spans="1:18" ht="38.25" hidden="1" x14ac:dyDescent="0.2">
      <c r="A810" s="21" t="s">
        <v>2266</v>
      </c>
      <c r="B810" s="8" t="s">
        <v>2265</v>
      </c>
      <c r="C810" s="8" t="s">
        <v>40</v>
      </c>
      <c r="D810" s="8" t="s">
        <v>166</v>
      </c>
      <c r="E810" s="8" t="s">
        <v>40</v>
      </c>
      <c r="F810" s="8" t="s">
        <v>39</v>
      </c>
      <c r="G810" s="8" t="s">
        <v>60</v>
      </c>
      <c r="H810" s="8" t="s">
        <v>37</v>
      </c>
      <c r="I810" s="8" t="s">
        <v>53</v>
      </c>
      <c r="J810" s="8" t="s">
        <v>59</v>
      </c>
      <c r="K810" s="8" t="s">
        <v>2264</v>
      </c>
      <c r="L810" s="7">
        <v>7548</v>
      </c>
      <c r="M810" s="10" t="str">
        <f t="shared" si="72"/>
        <v>CMI02170200</v>
      </c>
      <c r="N810" s="10" t="str">
        <f t="shared" si="73"/>
        <v>SUM231200</v>
      </c>
      <c r="O810" s="10" t="str">
        <f t="shared" si="74"/>
        <v>E</v>
      </c>
      <c r="P810" s="10" t="str">
        <f t="shared" si="75"/>
        <v>50</v>
      </c>
      <c r="Q810" s="10" t="str">
        <f t="shared" si="76"/>
        <v>ZSUM</v>
      </c>
      <c r="R810" s="10" t="str">
        <f t="shared" si="77"/>
        <v>52151802</v>
      </c>
    </row>
    <row r="811" spans="1:18" ht="38.25" hidden="1" x14ac:dyDescent="0.2">
      <c r="A811" s="21" t="s">
        <v>2263</v>
      </c>
      <c r="B811" s="8" t="s">
        <v>2262</v>
      </c>
      <c r="C811" s="8" t="s">
        <v>40</v>
      </c>
      <c r="D811" s="8" t="s">
        <v>166</v>
      </c>
      <c r="E811" s="8" t="s">
        <v>40</v>
      </c>
      <c r="F811" s="8" t="s">
        <v>39</v>
      </c>
      <c r="G811" s="8" t="s">
        <v>60</v>
      </c>
      <c r="H811" s="8" t="s">
        <v>37</v>
      </c>
      <c r="I811" s="8" t="s">
        <v>53</v>
      </c>
      <c r="J811" s="8" t="s">
        <v>59</v>
      </c>
      <c r="K811" s="8" t="s">
        <v>2261</v>
      </c>
      <c r="L811" s="7">
        <v>7549</v>
      </c>
      <c r="M811" s="10" t="str">
        <f t="shared" si="72"/>
        <v>CMI02170200</v>
      </c>
      <c r="N811" s="10" t="str">
        <f t="shared" si="73"/>
        <v>SUM231200</v>
      </c>
      <c r="O811" s="10" t="str">
        <f t="shared" si="74"/>
        <v>E</v>
      </c>
      <c r="P811" s="10" t="str">
        <f t="shared" si="75"/>
        <v>50</v>
      </c>
      <c r="Q811" s="10" t="str">
        <f t="shared" si="76"/>
        <v>ZSUM</v>
      </c>
      <c r="R811" s="10" t="str">
        <f t="shared" si="77"/>
        <v>48101529</v>
      </c>
    </row>
    <row r="812" spans="1:18" ht="38.25" hidden="1" x14ac:dyDescent="0.2">
      <c r="A812" s="21" t="s">
        <v>2260</v>
      </c>
      <c r="B812" s="8" t="s">
        <v>2259</v>
      </c>
      <c r="C812" s="8" t="s">
        <v>40</v>
      </c>
      <c r="D812" s="8" t="s">
        <v>86</v>
      </c>
      <c r="E812" s="8" t="s">
        <v>40</v>
      </c>
      <c r="F812" s="8" t="s">
        <v>39</v>
      </c>
      <c r="G812" s="8" t="s">
        <v>140</v>
      </c>
      <c r="H812" s="8" t="s">
        <v>37</v>
      </c>
      <c r="I812" s="8" t="s">
        <v>53</v>
      </c>
      <c r="J812" s="8" t="s">
        <v>59</v>
      </c>
      <c r="K812" s="8" t="s">
        <v>2258</v>
      </c>
      <c r="L812" s="7">
        <v>7550</v>
      </c>
      <c r="M812" s="10" t="str">
        <f t="shared" si="72"/>
        <v>CMI02160300</v>
      </c>
      <c r="N812" s="10" t="str">
        <f t="shared" si="73"/>
        <v>SUM301100</v>
      </c>
      <c r="O812" s="10" t="str">
        <f t="shared" si="74"/>
        <v>E</v>
      </c>
      <c r="P812" s="10" t="str">
        <f t="shared" si="75"/>
        <v>50</v>
      </c>
      <c r="Q812" s="10" t="str">
        <f t="shared" si="76"/>
        <v>ZSUM</v>
      </c>
      <c r="R812" s="10" t="str">
        <f t="shared" si="77"/>
        <v>52151504</v>
      </c>
    </row>
    <row r="813" spans="1:18" ht="25.5" hidden="1" x14ac:dyDescent="0.2">
      <c r="A813" s="21" t="s">
        <v>2257</v>
      </c>
      <c r="B813" s="8" t="s">
        <v>2256</v>
      </c>
      <c r="C813" s="8" t="s">
        <v>40</v>
      </c>
      <c r="D813" s="8" t="s">
        <v>2255</v>
      </c>
      <c r="E813" s="8" t="s">
        <v>40</v>
      </c>
      <c r="F813" s="8" t="s">
        <v>39</v>
      </c>
      <c r="G813" s="8" t="s">
        <v>60</v>
      </c>
      <c r="H813" s="8" t="s">
        <v>37</v>
      </c>
      <c r="I813" s="8" t="s">
        <v>36</v>
      </c>
      <c r="J813" s="8" t="s">
        <v>59</v>
      </c>
      <c r="K813" s="8" t="s">
        <v>2254</v>
      </c>
      <c r="L813" s="7">
        <v>7551</v>
      </c>
      <c r="M813" s="10" t="str">
        <f t="shared" si="72"/>
        <v>CMI05030300</v>
      </c>
      <c r="N813" s="10" t="str">
        <f t="shared" si="73"/>
        <v>SUM231200</v>
      </c>
      <c r="O813" s="10" t="str">
        <f t="shared" si="74"/>
        <v>E</v>
      </c>
      <c r="P813" s="10" t="str">
        <f t="shared" si="75"/>
        <v>10</v>
      </c>
      <c r="Q813" s="10" t="str">
        <f t="shared" si="76"/>
        <v>ZSUM</v>
      </c>
      <c r="R813" s="10" t="str">
        <f t="shared" si="77"/>
        <v>50161814</v>
      </c>
    </row>
    <row r="814" spans="1:18" ht="25.5" hidden="1" x14ac:dyDescent="0.2">
      <c r="A814" s="21" t="s">
        <v>2253</v>
      </c>
      <c r="B814" s="8" t="s">
        <v>2252</v>
      </c>
      <c r="C814" s="8" t="s">
        <v>40</v>
      </c>
      <c r="D814" s="8" t="s">
        <v>74</v>
      </c>
      <c r="E814" s="8" t="s">
        <v>40</v>
      </c>
      <c r="F814" s="8" t="s">
        <v>39</v>
      </c>
      <c r="G814" s="8" t="s">
        <v>60</v>
      </c>
      <c r="H814" s="8" t="s">
        <v>37</v>
      </c>
      <c r="I814" s="8" t="s">
        <v>53</v>
      </c>
      <c r="J814" s="8" t="s">
        <v>59</v>
      </c>
      <c r="K814" s="8" t="s">
        <v>2251</v>
      </c>
      <c r="L814" s="7">
        <v>7552</v>
      </c>
      <c r="M814" s="10" t="str">
        <f t="shared" si="72"/>
        <v>CMI02170300</v>
      </c>
      <c r="N814" s="10" t="str">
        <f t="shared" si="73"/>
        <v>SUM231200</v>
      </c>
      <c r="O814" s="10" t="str">
        <f t="shared" si="74"/>
        <v>E</v>
      </c>
      <c r="P814" s="10" t="str">
        <f t="shared" si="75"/>
        <v>50</v>
      </c>
      <c r="Q814" s="10" t="str">
        <f t="shared" si="76"/>
        <v>ZSUM</v>
      </c>
      <c r="R814" s="10" t="str">
        <f t="shared" si="77"/>
        <v>48101901</v>
      </c>
    </row>
    <row r="815" spans="1:18" ht="25.5" hidden="1" x14ac:dyDescent="0.2">
      <c r="A815" s="21" t="s">
        <v>2250</v>
      </c>
      <c r="B815" s="8" t="s">
        <v>2249</v>
      </c>
      <c r="C815" s="8" t="s">
        <v>40</v>
      </c>
      <c r="D815" s="8" t="s">
        <v>363</v>
      </c>
      <c r="E815" s="8" t="s">
        <v>40</v>
      </c>
      <c r="F815" s="8" t="s">
        <v>39</v>
      </c>
      <c r="G815" s="8" t="s">
        <v>885</v>
      </c>
      <c r="H815" s="8" t="s">
        <v>37</v>
      </c>
      <c r="I815" s="8" t="s">
        <v>53</v>
      </c>
      <c r="J815" s="8" t="s">
        <v>59</v>
      </c>
      <c r="K815" s="8" t="s">
        <v>2248</v>
      </c>
      <c r="L815" s="7">
        <v>7553</v>
      </c>
      <c r="M815" s="10" t="str">
        <f t="shared" si="72"/>
        <v>CMI02051300</v>
      </c>
      <c r="N815" s="10" t="str">
        <f t="shared" si="73"/>
        <v>SUM231000</v>
      </c>
      <c r="O815" s="10" t="str">
        <f t="shared" si="74"/>
        <v>E</v>
      </c>
      <c r="P815" s="10" t="str">
        <f t="shared" si="75"/>
        <v>50</v>
      </c>
      <c r="Q815" s="10" t="str">
        <f t="shared" si="76"/>
        <v>ZSUM</v>
      </c>
      <c r="R815" s="10" t="str">
        <f t="shared" si="77"/>
        <v>39111603</v>
      </c>
    </row>
    <row r="816" spans="1:18" ht="25.5" hidden="1" x14ac:dyDescent="0.2">
      <c r="A816" s="21" t="s">
        <v>2247</v>
      </c>
      <c r="B816" s="8" t="s">
        <v>2246</v>
      </c>
      <c r="C816" s="8" t="s">
        <v>40</v>
      </c>
      <c r="D816" s="8" t="s">
        <v>363</v>
      </c>
      <c r="E816" s="8" t="s">
        <v>40</v>
      </c>
      <c r="F816" s="8" t="s">
        <v>39</v>
      </c>
      <c r="G816" s="8" t="s">
        <v>60</v>
      </c>
      <c r="H816" s="8" t="s">
        <v>37</v>
      </c>
      <c r="I816" s="8" t="s">
        <v>53</v>
      </c>
      <c r="J816" s="8" t="s">
        <v>59</v>
      </c>
      <c r="K816" s="8" t="s">
        <v>58</v>
      </c>
      <c r="L816" s="7">
        <v>7554</v>
      </c>
      <c r="M816" s="10" t="str">
        <f t="shared" si="72"/>
        <v>CMI02051300</v>
      </c>
      <c r="N816" s="10" t="str">
        <f t="shared" si="73"/>
        <v>SUM231200</v>
      </c>
      <c r="O816" s="10" t="str">
        <f t="shared" si="74"/>
        <v>E</v>
      </c>
      <c r="P816" s="10" t="str">
        <f t="shared" si="75"/>
        <v>50</v>
      </c>
      <c r="Q816" s="10" t="str">
        <f t="shared" si="76"/>
        <v>ZSUM</v>
      </c>
      <c r="R816" s="10" t="str">
        <f t="shared" si="77"/>
        <v>12131502</v>
      </c>
    </row>
    <row r="817" spans="1:18" ht="38.25" hidden="1" x14ac:dyDescent="0.2">
      <c r="A817" s="21" t="s">
        <v>2245</v>
      </c>
      <c r="B817" s="8" t="s">
        <v>2244</v>
      </c>
      <c r="C817" s="8" t="s">
        <v>40</v>
      </c>
      <c r="D817" s="8" t="s">
        <v>986</v>
      </c>
      <c r="E817" s="8" t="s">
        <v>40</v>
      </c>
      <c r="F817" s="8" t="s">
        <v>39</v>
      </c>
      <c r="G817" s="8" t="s">
        <v>60</v>
      </c>
      <c r="H817" s="8" t="s">
        <v>37</v>
      </c>
      <c r="I817" s="8" t="s">
        <v>53</v>
      </c>
      <c r="J817" s="8" t="s">
        <v>59</v>
      </c>
      <c r="K817" s="8" t="s">
        <v>2243</v>
      </c>
      <c r="L817" s="7">
        <v>7555</v>
      </c>
      <c r="M817" s="10" t="str">
        <f t="shared" si="72"/>
        <v>CMI02070300</v>
      </c>
      <c r="N817" s="10" t="str">
        <f t="shared" si="73"/>
        <v>SUM231200</v>
      </c>
      <c r="O817" s="10" t="str">
        <f t="shared" si="74"/>
        <v>E</v>
      </c>
      <c r="P817" s="10" t="str">
        <f t="shared" si="75"/>
        <v>50</v>
      </c>
      <c r="Q817" s="10" t="str">
        <f t="shared" si="76"/>
        <v>ZSUM</v>
      </c>
      <c r="R817" s="10" t="str">
        <f t="shared" si="77"/>
        <v>25174601</v>
      </c>
    </row>
    <row r="818" spans="1:18" ht="25.5" hidden="1" x14ac:dyDescent="0.2">
      <c r="A818" s="21" t="s">
        <v>2242</v>
      </c>
      <c r="B818" s="8" t="s">
        <v>2241</v>
      </c>
      <c r="C818" s="8" t="s">
        <v>40</v>
      </c>
      <c r="D818" s="8" t="s">
        <v>2240</v>
      </c>
      <c r="E818" s="8" t="s">
        <v>40</v>
      </c>
      <c r="F818" s="8" t="s">
        <v>39</v>
      </c>
      <c r="G818" s="8" t="s">
        <v>60</v>
      </c>
      <c r="H818" s="8" t="s">
        <v>37</v>
      </c>
      <c r="I818" s="8" t="s">
        <v>53</v>
      </c>
      <c r="J818" s="8" t="s">
        <v>59</v>
      </c>
      <c r="K818" s="8" t="s">
        <v>2239</v>
      </c>
      <c r="L818" s="7">
        <v>7556</v>
      </c>
      <c r="M818" s="10" t="str">
        <f t="shared" si="72"/>
        <v>CMI02070200</v>
      </c>
      <c r="N818" s="10" t="str">
        <f t="shared" si="73"/>
        <v>SUM231200</v>
      </c>
      <c r="O818" s="10" t="str">
        <f t="shared" si="74"/>
        <v>E</v>
      </c>
      <c r="P818" s="10" t="str">
        <f t="shared" si="75"/>
        <v>50</v>
      </c>
      <c r="Q818" s="10" t="str">
        <f t="shared" si="76"/>
        <v>ZSUM</v>
      </c>
      <c r="R818" s="10" t="str">
        <f t="shared" si="77"/>
        <v>25171905</v>
      </c>
    </row>
    <row r="819" spans="1:18" ht="38.25" x14ac:dyDescent="0.2">
      <c r="A819" s="21" t="s">
        <v>2238</v>
      </c>
      <c r="B819" s="8" t="s">
        <v>2237</v>
      </c>
      <c r="C819" s="8" t="s">
        <v>40</v>
      </c>
      <c r="D819" s="8" t="s">
        <v>990</v>
      </c>
      <c r="E819" s="8" t="s">
        <v>40</v>
      </c>
      <c r="F819" s="8" t="s">
        <v>39</v>
      </c>
      <c r="G819" s="8" t="s">
        <v>60</v>
      </c>
      <c r="H819" s="8" t="s">
        <v>37</v>
      </c>
      <c r="I819" s="8" t="s">
        <v>53</v>
      </c>
      <c r="J819" s="8" t="s">
        <v>59</v>
      </c>
      <c r="K819" s="8" t="s">
        <v>2236</v>
      </c>
      <c r="L819" s="7">
        <v>7557</v>
      </c>
      <c r="M819" s="10" t="str">
        <f t="shared" si="72"/>
        <v>CMI02090500</v>
      </c>
      <c r="N819" s="10" t="str">
        <f t="shared" si="73"/>
        <v>SUM231200</v>
      </c>
      <c r="O819" s="10" t="str">
        <f t="shared" si="74"/>
        <v>E</v>
      </c>
      <c r="P819" s="10" t="str">
        <f t="shared" si="75"/>
        <v>50</v>
      </c>
      <c r="Q819" s="10" t="str">
        <f t="shared" si="76"/>
        <v>ZSUM</v>
      </c>
      <c r="R819" s="10" t="str">
        <f t="shared" si="77"/>
        <v>27112742</v>
      </c>
    </row>
    <row r="820" spans="1:18" ht="38.25" hidden="1" x14ac:dyDescent="0.2">
      <c r="A820" s="21" t="s">
        <v>2235</v>
      </c>
      <c r="B820" s="8" t="s">
        <v>2234</v>
      </c>
      <c r="C820" s="8" t="s">
        <v>40</v>
      </c>
      <c r="D820" s="8" t="s">
        <v>990</v>
      </c>
      <c r="E820" s="7">
        <v>6</v>
      </c>
      <c r="F820" s="8" t="s">
        <v>39</v>
      </c>
      <c r="G820" s="8" t="s">
        <v>60</v>
      </c>
      <c r="H820" s="8" t="s">
        <v>37</v>
      </c>
      <c r="I820" s="8" t="s">
        <v>53</v>
      </c>
      <c r="J820" s="8" t="s">
        <v>59</v>
      </c>
      <c r="K820" s="8" t="s">
        <v>2059</v>
      </c>
      <c r="L820" s="7">
        <v>7558</v>
      </c>
      <c r="M820" s="10" t="str">
        <f t="shared" si="72"/>
        <v>CMI02090500</v>
      </c>
      <c r="N820" s="10" t="str">
        <f t="shared" si="73"/>
        <v>SUM231200</v>
      </c>
      <c r="O820" s="10" t="str">
        <f t="shared" si="74"/>
        <v>E</v>
      </c>
      <c r="P820" s="10" t="str">
        <f t="shared" si="75"/>
        <v>50</v>
      </c>
      <c r="Q820" s="10" t="str">
        <f t="shared" si="76"/>
        <v>ZSUM</v>
      </c>
      <c r="R820" s="10" t="str">
        <f t="shared" si="77"/>
        <v>27111500</v>
      </c>
    </row>
    <row r="821" spans="1:18" ht="38.25" hidden="1" x14ac:dyDescent="0.2">
      <c r="A821" s="21" t="s">
        <v>2233</v>
      </c>
      <c r="B821" s="8" t="s">
        <v>2232</v>
      </c>
      <c r="C821" s="8" t="s">
        <v>40</v>
      </c>
      <c r="D821" s="8" t="s">
        <v>990</v>
      </c>
      <c r="E821" s="8" t="s">
        <v>40</v>
      </c>
      <c r="F821" s="8" t="s">
        <v>39</v>
      </c>
      <c r="G821" s="8" t="s">
        <v>60</v>
      </c>
      <c r="H821" s="8" t="s">
        <v>37</v>
      </c>
      <c r="I821" s="8" t="s">
        <v>53</v>
      </c>
      <c r="J821" s="8" t="s">
        <v>59</v>
      </c>
      <c r="K821" s="8" t="s">
        <v>2231</v>
      </c>
      <c r="L821" s="7">
        <v>7559</v>
      </c>
      <c r="M821" s="10" t="str">
        <f t="shared" si="72"/>
        <v>CMI02090500</v>
      </c>
      <c r="N821" s="10" t="str">
        <f t="shared" si="73"/>
        <v>SUM231200</v>
      </c>
      <c r="O821" s="10" t="str">
        <f t="shared" si="74"/>
        <v>E</v>
      </c>
      <c r="P821" s="10" t="str">
        <f t="shared" si="75"/>
        <v>50</v>
      </c>
      <c r="Q821" s="10" t="str">
        <f t="shared" si="76"/>
        <v>ZSUM</v>
      </c>
      <c r="R821" s="10" t="str">
        <f t="shared" si="77"/>
        <v>23271811</v>
      </c>
    </row>
    <row r="822" spans="1:18" ht="38.25" hidden="1" x14ac:dyDescent="0.2">
      <c r="A822" s="21" t="s">
        <v>2230</v>
      </c>
      <c r="B822" s="8" t="s">
        <v>2229</v>
      </c>
      <c r="C822" s="8" t="s">
        <v>40</v>
      </c>
      <c r="D822" s="8" t="s">
        <v>245</v>
      </c>
      <c r="E822" s="8" t="s">
        <v>40</v>
      </c>
      <c r="F822" s="8" t="s">
        <v>39</v>
      </c>
      <c r="G822" s="8" t="s">
        <v>985</v>
      </c>
      <c r="H822" s="8" t="s">
        <v>37</v>
      </c>
      <c r="I822" s="8" t="s">
        <v>53</v>
      </c>
      <c r="J822" s="8" t="s">
        <v>59</v>
      </c>
      <c r="K822" s="8" t="s">
        <v>2228</v>
      </c>
      <c r="L822" s="7">
        <v>7560</v>
      </c>
      <c r="M822" s="10" t="str">
        <f t="shared" si="72"/>
        <v>CMI01020300</v>
      </c>
      <c r="N822" s="10" t="str">
        <f t="shared" si="73"/>
        <v>SUM231600</v>
      </c>
      <c r="O822" s="10" t="str">
        <f t="shared" si="74"/>
        <v>E</v>
      </c>
      <c r="P822" s="10" t="str">
        <f t="shared" si="75"/>
        <v>50</v>
      </c>
      <c r="Q822" s="10" t="str">
        <f t="shared" si="76"/>
        <v>ZSUM</v>
      </c>
      <c r="R822" s="10" t="str">
        <f t="shared" si="77"/>
        <v>40101831</v>
      </c>
    </row>
    <row r="823" spans="1:18" ht="25.5" hidden="1" x14ac:dyDescent="0.2">
      <c r="A823" s="21" t="s">
        <v>2227</v>
      </c>
      <c r="B823" s="8" t="s">
        <v>2226</v>
      </c>
      <c r="C823" s="8" t="s">
        <v>40</v>
      </c>
      <c r="D823" s="8" t="s">
        <v>245</v>
      </c>
      <c r="E823" s="8" t="s">
        <v>40</v>
      </c>
      <c r="F823" s="8" t="s">
        <v>39</v>
      </c>
      <c r="G823" s="8" t="s">
        <v>60</v>
      </c>
      <c r="H823" s="8" t="s">
        <v>37</v>
      </c>
      <c r="I823" s="8" t="s">
        <v>53</v>
      </c>
      <c r="J823" s="8" t="s">
        <v>59</v>
      </c>
      <c r="K823" s="8" t="s">
        <v>2225</v>
      </c>
      <c r="L823" s="7">
        <v>7561</v>
      </c>
      <c r="M823" s="10" t="str">
        <f t="shared" si="72"/>
        <v>CMI01020300</v>
      </c>
      <c r="N823" s="10" t="str">
        <f t="shared" si="73"/>
        <v>SUM231200</v>
      </c>
      <c r="O823" s="10" t="str">
        <f t="shared" si="74"/>
        <v>E</v>
      </c>
      <c r="P823" s="10" t="str">
        <f t="shared" si="75"/>
        <v>50</v>
      </c>
      <c r="Q823" s="10" t="str">
        <f t="shared" si="76"/>
        <v>ZSUM</v>
      </c>
      <c r="R823" s="10" t="str">
        <f t="shared" si="77"/>
        <v>23153000</v>
      </c>
    </row>
    <row r="824" spans="1:18" ht="38.25" hidden="1" x14ac:dyDescent="0.2">
      <c r="A824" s="21" t="s">
        <v>2224</v>
      </c>
      <c r="B824" s="8" t="s">
        <v>2223</v>
      </c>
      <c r="C824" s="8" t="s">
        <v>40</v>
      </c>
      <c r="D824" s="8" t="s">
        <v>245</v>
      </c>
      <c r="E824" s="8" t="s">
        <v>40</v>
      </c>
      <c r="F824" s="8" t="s">
        <v>39</v>
      </c>
      <c r="G824" s="8" t="s">
        <v>624</v>
      </c>
      <c r="H824" s="8" t="s">
        <v>37</v>
      </c>
      <c r="I824" s="8" t="s">
        <v>53</v>
      </c>
      <c r="J824" s="8" t="s">
        <v>59</v>
      </c>
      <c r="K824" s="8" t="s">
        <v>2222</v>
      </c>
      <c r="L824" s="7">
        <v>7562</v>
      </c>
      <c r="M824" s="10" t="str">
        <f t="shared" si="72"/>
        <v>CMI01020300</v>
      </c>
      <c r="N824" s="10" t="str">
        <f t="shared" si="73"/>
        <v>SUM231400</v>
      </c>
      <c r="O824" s="10" t="str">
        <f t="shared" si="74"/>
        <v>E</v>
      </c>
      <c r="P824" s="10" t="str">
        <f t="shared" si="75"/>
        <v>50</v>
      </c>
      <c r="Q824" s="10" t="str">
        <f t="shared" si="76"/>
        <v>ZSUM</v>
      </c>
      <c r="R824" s="10" t="str">
        <f t="shared" si="77"/>
        <v>23271820</v>
      </c>
    </row>
    <row r="825" spans="1:18" ht="38.25" hidden="1" x14ac:dyDescent="0.2">
      <c r="A825" s="21" t="s">
        <v>2221</v>
      </c>
      <c r="B825" s="8" t="s">
        <v>2220</v>
      </c>
      <c r="C825" s="8" t="s">
        <v>40</v>
      </c>
      <c r="D825" s="8" t="s">
        <v>990</v>
      </c>
      <c r="E825" s="8" t="s">
        <v>40</v>
      </c>
      <c r="F825" s="8" t="s">
        <v>39</v>
      </c>
      <c r="G825" s="8" t="s">
        <v>60</v>
      </c>
      <c r="H825" s="8" t="s">
        <v>37</v>
      </c>
      <c r="I825" s="8" t="s">
        <v>53</v>
      </c>
      <c r="J825" s="8" t="s">
        <v>59</v>
      </c>
      <c r="K825" s="8" t="s">
        <v>2219</v>
      </c>
      <c r="L825" s="7">
        <v>7563</v>
      </c>
      <c r="M825" s="10" t="str">
        <f t="shared" si="72"/>
        <v>CMI02090500</v>
      </c>
      <c r="N825" s="10" t="str">
        <f t="shared" si="73"/>
        <v>SUM231200</v>
      </c>
      <c r="O825" s="10" t="str">
        <f t="shared" si="74"/>
        <v>E</v>
      </c>
      <c r="P825" s="10" t="str">
        <f t="shared" si="75"/>
        <v>50</v>
      </c>
      <c r="Q825" s="10" t="str">
        <f t="shared" si="76"/>
        <v>ZSUM</v>
      </c>
      <c r="R825" s="10" t="str">
        <f t="shared" si="77"/>
        <v>23271804</v>
      </c>
    </row>
    <row r="826" spans="1:18" ht="38.25" hidden="1" x14ac:dyDescent="0.2">
      <c r="A826" s="21" t="s">
        <v>2218</v>
      </c>
      <c r="B826" s="8" t="s">
        <v>2217</v>
      </c>
      <c r="C826" s="8" t="s">
        <v>40</v>
      </c>
      <c r="D826" s="8" t="s">
        <v>990</v>
      </c>
      <c r="E826" s="8" t="s">
        <v>40</v>
      </c>
      <c r="F826" s="8" t="s">
        <v>39</v>
      </c>
      <c r="G826" s="8" t="s">
        <v>60</v>
      </c>
      <c r="H826" s="8" t="s">
        <v>37</v>
      </c>
      <c r="I826" s="8" t="s">
        <v>53</v>
      </c>
      <c r="J826" s="8" t="s">
        <v>59</v>
      </c>
      <c r="K826" s="8" t="s">
        <v>2216</v>
      </c>
      <c r="L826" s="7">
        <v>7564</v>
      </c>
      <c r="M826" s="10" t="str">
        <f t="shared" si="72"/>
        <v>CMI02090500</v>
      </c>
      <c r="N826" s="10" t="str">
        <f t="shared" si="73"/>
        <v>SUM231200</v>
      </c>
      <c r="O826" s="10" t="str">
        <f t="shared" si="74"/>
        <v>E</v>
      </c>
      <c r="P826" s="10" t="str">
        <f t="shared" si="75"/>
        <v>50</v>
      </c>
      <c r="Q826" s="10" t="str">
        <f t="shared" si="76"/>
        <v>ZSUM</v>
      </c>
      <c r="R826" s="10" t="str">
        <f t="shared" si="77"/>
        <v>23271816</v>
      </c>
    </row>
    <row r="827" spans="1:18" ht="38.25" hidden="1" x14ac:dyDescent="0.2">
      <c r="A827" s="21" t="s">
        <v>2215</v>
      </c>
      <c r="B827" s="8" t="s">
        <v>2214</v>
      </c>
      <c r="C827" s="8" t="s">
        <v>40</v>
      </c>
      <c r="D827" s="8" t="s">
        <v>990</v>
      </c>
      <c r="E827" s="8" t="s">
        <v>40</v>
      </c>
      <c r="F827" s="8" t="s">
        <v>39</v>
      </c>
      <c r="G827" s="8" t="s">
        <v>975</v>
      </c>
      <c r="H827" s="8" t="s">
        <v>37</v>
      </c>
      <c r="I827" s="8" t="s">
        <v>53</v>
      </c>
      <c r="J827" s="8" t="s">
        <v>59</v>
      </c>
      <c r="K827" s="8" t="s">
        <v>2213</v>
      </c>
      <c r="L827" s="7">
        <v>7565</v>
      </c>
      <c r="M827" s="10" t="str">
        <f t="shared" si="72"/>
        <v>CMI02090500</v>
      </c>
      <c r="N827" s="10" t="str">
        <f t="shared" si="73"/>
        <v>SUM231100</v>
      </c>
      <c r="O827" s="10" t="str">
        <f t="shared" si="74"/>
        <v>E</v>
      </c>
      <c r="P827" s="10" t="str">
        <f t="shared" si="75"/>
        <v>50</v>
      </c>
      <c r="Q827" s="10" t="str">
        <f t="shared" si="76"/>
        <v>ZSUM</v>
      </c>
      <c r="R827" s="10" t="str">
        <f t="shared" si="77"/>
        <v>23271711</v>
      </c>
    </row>
    <row r="828" spans="1:18" ht="38.25" hidden="1" x14ac:dyDescent="0.2">
      <c r="A828" s="21" t="s">
        <v>2212</v>
      </c>
      <c r="B828" s="8" t="s">
        <v>2211</v>
      </c>
      <c r="C828" s="8" t="s">
        <v>40</v>
      </c>
      <c r="D828" s="8" t="s">
        <v>990</v>
      </c>
      <c r="E828" s="8" t="s">
        <v>40</v>
      </c>
      <c r="F828" s="8" t="s">
        <v>39</v>
      </c>
      <c r="G828" s="8" t="s">
        <v>85</v>
      </c>
      <c r="H828" s="8" t="s">
        <v>37</v>
      </c>
      <c r="I828" s="8" t="s">
        <v>53</v>
      </c>
      <c r="J828" s="8" t="s">
        <v>59</v>
      </c>
      <c r="K828" s="8" t="s">
        <v>2210</v>
      </c>
      <c r="L828" s="7">
        <v>7566</v>
      </c>
      <c r="M828" s="10" t="str">
        <f t="shared" si="72"/>
        <v>CMI02090500</v>
      </c>
      <c r="N828" s="10" t="str">
        <f t="shared" si="73"/>
        <v>SUM231500</v>
      </c>
      <c r="O828" s="10" t="str">
        <f t="shared" si="74"/>
        <v>E</v>
      </c>
      <c r="P828" s="10" t="str">
        <f t="shared" si="75"/>
        <v>50</v>
      </c>
      <c r="Q828" s="10" t="str">
        <f t="shared" si="76"/>
        <v>ZSUM</v>
      </c>
      <c r="R828" s="10" t="str">
        <f t="shared" si="77"/>
        <v>23271702</v>
      </c>
    </row>
    <row r="829" spans="1:18" ht="38.25" hidden="1" x14ac:dyDescent="0.2">
      <c r="A829" s="21" t="s">
        <v>2209</v>
      </c>
      <c r="B829" s="8" t="s">
        <v>2208</v>
      </c>
      <c r="C829" s="8" t="s">
        <v>40</v>
      </c>
      <c r="D829" s="8" t="s">
        <v>363</v>
      </c>
      <c r="E829" s="8" t="s">
        <v>40</v>
      </c>
      <c r="F829" s="8" t="s">
        <v>39</v>
      </c>
      <c r="G829" s="8" t="s">
        <v>60</v>
      </c>
      <c r="H829" s="8" t="s">
        <v>37</v>
      </c>
      <c r="I829" s="8" t="s">
        <v>53</v>
      </c>
      <c r="J829" s="8" t="s">
        <v>59</v>
      </c>
      <c r="K829" s="8" t="s">
        <v>1019</v>
      </c>
      <c r="L829" s="7">
        <v>7567</v>
      </c>
      <c r="M829" s="10" t="str">
        <f t="shared" si="72"/>
        <v>CMI02051300</v>
      </c>
      <c r="N829" s="10" t="str">
        <f t="shared" si="73"/>
        <v>SUM231200</v>
      </c>
      <c r="O829" s="10" t="str">
        <f t="shared" si="74"/>
        <v>E</v>
      </c>
      <c r="P829" s="10" t="str">
        <f t="shared" si="75"/>
        <v>50</v>
      </c>
      <c r="Q829" s="10" t="str">
        <f t="shared" si="76"/>
        <v>ZSUM</v>
      </c>
      <c r="R829" s="10" t="str">
        <f t="shared" si="77"/>
        <v>23271700</v>
      </c>
    </row>
    <row r="830" spans="1:18" ht="38.25" hidden="1" x14ac:dyDescent="0.2">
      <c r="A830" s="21" t="s">
        <v>2207</v>
      </c>
      <c r="B830" s="8" t="s">
        <v>2206</v>
      </c>
      <c r="C830" s="8" t="s">
        <v>40</v>
      </c>
      <c r="D830" s="8" t="s">
        <v>245</v>
      </c>
      <c r="E830" s="8" t="s">
        <v>40</v>
      </c>
      <c r="F830" s="8" t="s">
        <v>39</v>
      </c>
      <c r="G830" s="8" t="s">
        <v>85</v>
      </c>
      <c r="H830" s="8" t="s">
        <v>37</v>
      </c>
      <c r="I830" s="8" t="s">
        <v>53</v>
      </c>
      <c r="J830" s="8" t="s">
        <v>59</v>
      </c>
      <c r="K830" s="8" t="s">
        <v>2205</v>
      </c>
      <c r="L830" s="7">
        <v>7568</v>
      </c>
      <c r="M830" s="10" t="str">
        <f t="shared" si="72"/>
        <v>CMI01020300</v>
      </c>
      <c r="N830" s="10" t="str">
        <f t="shared" si="73"/>
        <v>SUM231500</v>
      </c>
      <c r="O830" s="10" t="str">
        <f t="shared" si="74"/>
        <v>E</v>
      </c>
      <c r="P830" s="10" t="str">
        <f t="shared" si="75"/>
        <v>50</v>
      </c>
      <c r="Q830" s="10" t="str">
        <f t="shared" si="76"/>
        <v>ZSUM</v>
      </c>
      <c r="R830" s="10" t="str">
        <f t="shared" si="77"/>
        <v>24102200</v>
      </c>
    </row>
    <row r="831" spans="1:18" ht="25.5" hidden="1" x14ac:dyDescent="0.2">
      <c r="A831" s="21" t="s">
        <v>2204</v>
      </c>
      <c r="B831" s="8" t="s">
        <v>2203</v>
      </c>
      <c r="C831" s="8" t="s">
        <v>40</v>
      </c>
      <c r="D831" s="8" t="s">
        <v>249</v>
      </c>
      <c r="E831" s="8" t="s">
        <v>40</v>
      </c>
      <c r="F831" s="8" t="s">
        <v>39</v>
      </c>
      <c r="G831" s="8" t="s">
        <v>60</v>
      </c>
      <c r="H831" s="8" t="s">
        <v>37</v>
      </c>
      <c r="I831" s="8" t="s">
        <v>53</v>
      </c>
      <c r="J831" s="8" t="s">
        <v>59</v>
      </c>
      <c r="K831" s="8" t="s">
        <v>215</v>
      </c>
      <c r="L831" s="7">
        <v>7569</v>
      </c>
      <c r="M831" s="10" t="str">
        <f t="shared" si="72"/>
        <v>CMI02090700</v>
      </c>
      <c r="N831" s="10" t="str">
        <f t="shared" si="73"/>
        <v>SUM231200</v>
      </c>
      <c r="O831" s="10" t="str">
        <f t="shared" si="74"/>
        <v>E</v>
      </c>
      <c r="P831" s="10" t="str">
        <f t="shared" si="75"/>
        <v>50</v>
      </c>
      <c r="Q831" s="10" t="str">
        <f t="shared" si="76"/>
        <v>ZSUM</v>
      </c>
      <c r="R831" s="10" t="str">
        <f t="shared" si="77"/>
        <v>27112011</v>
      </c>
    </row>
    <row r="832" spans="1:18" ht="25.5" hidden="1" x14ac:dyDescent="0.2">
      <c r="A832" s="21" t="s">
        <v>2202</v>
      </c>
      <c r="B832" s="8" t="s">
        <v>2201</v>
      </c>
      <c r="C832" s="8" t="s">
        <v>40</v>
      </c>
      <c r="D832" s="8" t="s">
        <v>669</v>
      </c>
      <c r="E832" s="8" t="s">
        <v>40</v>
      </c>
      <c r="F832" s="8" t="s">
        <v>39</v>
      </c>
      <c r="G832" s="8" t="s">
        <v>60</v>
      </c>
      <c r="H832" s="8" t="s">
        <v>37</v>
      </c>
      <c r="I832" s="8" t="s">
        <v>53</v>
      </c>
      <c r="J832" s="8" t="s">
        <v>59</v>
      </c>
      <c r="K832" s="8" t="s">
        <v>878</v>
      </c>
      <c r="L832" s="7">
        <v>7570</v>
      </c>
      <c r="M832" s="10" t="str">
        <f t="shared" si="72"/>
        <v>CMI02140700</v>
      </c>
      <c r="N832" s="10" t="str">
        <f t="shared" si="73"/>
        <v>SUM231200</v>
      </c>
      <c r="O832" s="10" t="str">
        <f t="shared" si="74"/>
        <v>E</v>
      </c>
      <c r="P832" s="10" t="str">
        <f t="shared" si="75"/>
        <v>50</v>
      </c>
      <c r="Q832" s="10" t="str">
        <f t="shared" si="76"/>
        <v>ZSUM</v>
      </c>
      <c r="R832" s="10" t="str">
        <f t="shared" si="77"/>
        <v>10191701</v>
      </c>
    </row>
    <row r="833" spans="1:18" ht="25.5" hidden="1" x14ac:dyDescent="0.2">
      <c r="A833" s="21" t="s">
        <v>2200</v>
      </c>
      <c r="B833" s="8" t="s">
        <v>2199</v>
      </c>
      <c r="C833" s="8" t="s">
        <v>40</v>
      </c>
      <c r="D833" s="8" t="s">
        <v>249</v>
      </c>
      <c r="E833" s="8" t="s">
        <v>40</v>
      </c>
      <c r="F833" s="8" t="s">
        <v>39</v>
      </c>
      <c r="G833" s="8" t="s">
        <v>60</v>
      </c>
      <c r="H833" s="8" t="s">
        <v>37</v>
      </c>
      <c r="I833" s="8" t="s">
        <v>53</v>
      </c>
      <c r="J833" s="8" t="s">
        <v>59</v>
      </c>
      <c r="K833" s="8" t="s">
        <v>2198</v>
      </c>
      <c r="L833" s="7">
        <v>7571</v>
      </c>
      <c r="M833" s="10" t="str">
        <f t="shared" si="72"/>
        <v>CMI02090700</v>
      </c>
      <c r="N833" s="10" t="str">
        <f t="shared" si="73"/>
        <v>SUM231200</v>
      </c>
      <c r="O833" s="10" t="str">
        <f t="shared" si="74"/>
        <v>E</v>
      </c>
      <c r="P833" s="10" t="str">
        <f t="shared" si="75"/>
        <v>50</v>
      </c>
      <c r="Q833" s="10" t="str">
        <f t="shared" si="76"/>
        <v>ZSUM</v>
      </c>
      <c r="R833" s="10" t="str">
        <f t="shared" si="77"/>
        <v>31171804</v>
      </c>
    </row>
    <row r="834" spans="1:18" ht="25.5" hidden="1" x14ac:dyDescent="0.2">
      <c r="A834" s="21" t="s">
        <v>2197</v>
      </c>
      <c r="B834" s="8" t="s">
        <v>2196</v>
      </c>
      <c r="C834" s="8" t="s">
        <v>40</v>
      </c>
      <c r="D834" s="8" t="s">
        <v>2195</v>
      </c>
      <c r="E834" s="8" t="s">
        <v>40</v>
      </c>
      <c r="F834" s="8" t="s">
        <v>39</v>
      </c>
      <c r="G834" s="8" t="s">
        <v>975</v>
      </c>
      <c r="H834" s="8" t="s">
        <v>37</v>
      </c>
      <c r="I834" s="8" t="s">
        <v>53</v>
      </c>
      <c r="J834" s="8" t="s">
        <v>59</v>
      </c>
      <c r="K834" s="8" t="s">
        <v>2194</v>
      </c>
      <c r="L834" s="7">
        <v>7572</v>
      </c>
      <c r="M834" s="10" t="str">
        <f t="shared" si="72"/>
        <v>CMI01060800</v>
      </c>
      <c r="N834" s="10" t="str">
        <f t="shared" si="73"/>
        <v>SUM231100</v>
      </c>
      <c r="O834" s="10" t="str">
        <f t="shared" si="74"/>
        <v>E</v>
      </c>
      <c r="P834" s="10" t="str">
        <f t="shared" si="75"/>
        <v>50</v>
      </c>
      <c r="Q834" s="10" t="str">
        <f t="shared" si="76"/>
        <v>ZSUM</v>
      </c>
      <c r="R834" s="10" t="str">
        <f t="shared" si="77"/>
        <v>25101919</v>
      </c>
    </row>
    <row r="835" spans="1:18" ht="25.5" hidden="1" x14ac:dyDescent="0.2">
      <c r="A835" s="21" t="s">
        <v>2193</v>
      </c>
      <c r="B835" s="8" t="s">
        <v>2192</v>
      </c>
      <c r="C835" s="8" t="s">
        <v>40</v>
      </c>
      <c r="D835" s="8" t="s">
        <v>256</v>
      </c>
      <c r="E835" s="8" t="s">
        <v>40</v>
      </c>
      <c r="F835" s="8" t="s">
        <v>39</v>
      </c>
      <c r="G835" s="8" t="s">
        <v>985</v>
      </c>
      <c r="H835" s="8" t="s">
        <v>37</v>
      </c>
      <c r="I835" s="8" t="s">
        <v>53</v>
      </c>
      <c r="J835" s="8" t="s">
        <v>59</v>
      </c>
      <c r="K835" s="8" t="s">
        <v>2191</v>
      </c>
      <c r="L835" s="7">
        <v>7573</v>
      </c>
      <c r="M835" s="10" t="str">
        <f t="shared" ref="M835:M898" si="78">+LEFT(D835,11)</f>
        <v>CMI02090900</v>
      </c>
      <c r="N835" s="10" t="str">
        <f t="shared" ref="N835:N898" si="79">+LEFT(G835,9)</f>
        <v>SUM231600</v>
      </c>
      <c r="O835" s="10" t="str">
        <f t="shared" ref="O835:O898" si="80">+LEFT(H835,1)</f>
        <v>E</v>
      </c>
      <c r="P835" s="10" t="str">
        <f t="shared" ref="P835:P898" si="81">+LEFT(I835,2)</f>
        <v>50</v>
      </c>
      <c r="Q835" s="10" t="str">
        <f t="shared" ref="Q835:Q898" si="82">+LEFT(J835,4)</f>
        <v>ZSUM</v>
      </c>
      <c r="R835" s="10" t="str">
        <f t="shared" ref="R835:R898" si="83">+LEFT(K835,8)</f>
        <v>24101600</v>
      </c>
    </row>
    <row r="836" spans="1:18" ht="38.25" hidden="1" x14ac:dyDescent="0.2">
      <c r="A836" s="21" t="s">
        <v>2190</v>
      </c>
      <c r="B836" s="8" t="s">
        <v>2189</v>
      </c>
      <c r="C836" s="8" t="s">
        <v>40</v>
      </c>
      <c r="D836" s="8" t="s">
        <v>986</v>
      </c>
      <c r="E836" s="8" t="s">
        <v>40</v>
      </c>
      <c r="F836" s="8" t="s">
        <v>39</v>
      </c>
      <c r="G836" s="8" t="s">
        <v>985</v>
      </c>
      <c r="H836" s="8" t="s">
        <v>37</v>
      </c>
      <c r="I836" s="8" t="s">
        <v>53</v>
      </c>
      <c r="J836" s="8" t="s">
        <v>59</v>
      </c>
      <c r="K836" s="8" t="s">
        <v>2188</v>
      </c>
      <c r="L836" s="7">
        <v>7574</v>
      </c>
      <c r="M836" s="10" t="str">
        <f t="shared" si="78"/>
        <v>CMI02070300</v>
      </c>
      <c r="N836" s="10" t="str">
        <f t="shared" si="79"/>
        <v>SUM231600</v>
      </c>
      <c r="O836" s="10" t="str">
        <f t="shared" si="80"/>
        <v>E</v>
      </c>
      <c r="P836" s="10" t="str">
        <f t="shared" si="81"/>
        <v>50</v>
      </c>
      <c r="Q836" s="10" t="str">
        <f t="shared" si="82"/>
        <v>ZSUM</v>
      </c>
      <c r="R836" s="10" t="str">
        <f t="shared" si="83"/>
        <v>24112400</v>
      </c>
    </row>
    <row r="837" spans="1:18" ht="38.25" hidden="1" x14ac:dyDescent="0.2">
      <c r="A837" s="21" t="s">
        <v>2187</v>
      </c>
      <c r="B837" s="8" t="s">
        <v>2186</v>
      </c>
      <c r="C837" s="8" t="s">
        <v>40</v>
      </c>
      <c r="D837" s="8" t="s">
        <v>990</v>
      </c>
      <c r="E837" s="8" t="s">
        <v>40</v>
      </c>
      <c r="F837" s="8" t="s">
        <v>39</v>
      </c>
      <c r="G837" s="8" t="s">
        <v>985</v>
      </c>
      <c r="H837" s="8" t="s">
        <v>37</v>
      </c>
      <c r="I837" s="8" t="s">
        <v>53</v>
      </c>
      <c r="J837" s="8" t="s">
        <v>59</v>
      </c>
      <c r="K837" s="8" t="s">
        <v>1156</v>
      </c>
      <c r="L837" s="7">
        <v>7575</v>
      </c>
      <c r="M837" s="10" t="str">
        <f t="shared" si="78"/>
        <v>CMI02090500</v>
      </c>
      <c r="N837" s="10" t="str">
        <f t="shared" si="79"/>
        <v>SUM231600</v>
      </c>
      <c r="O837" s="10" t="str">
        <f t="shared" si="80"/>
        <v>E</v>
      </c>
      <c r="P837" s="10" t="str">
        <f t="shared" si="81"/>
        <v>50</v>
      </c>
      <c r="Q837" s="10" t="str">
        <f t="shared" si="82"/>
        <v>ZSUM</v>
      </c>
      <c r="R837" s="10" t="str">
        <f t="shared" si="83"/>
        <v>24101602</v>
      </c>
    </row>
    <row r="838" spans="1:18" ht="25.5" hidden="1" x14ac:dyDescent="0.2">
      <c r="A838" s="21" t="s">
        <v>2185</v>
      </c>
      <c r="B838" s="8" t="s">
        <v>2184</v>
      </c>
      <c r="C838" s="8" t="s">
        <v>40</v>
      </c>
      <c r="D838" s="8" t="s">
        <v>321</v>
      </c>
      <c r="E838" s="8" t="s">
        <v>40</v>
      </c>
      <c r="F838" s="8" t="s">
        <v>39</v>
      </c>
      <c r="G838" s="8" t="s">
        <v>85</v>
      </c>
      <c r="H838" s="8" t="s">
        <v>37</v>
      </c>
      <c r="I838" s="8" t="s">
        <v>53</v>
      </c>
      <c r="J838" s="8" t="s">
        <v>59</v>
      </c>
      <c r="K838" s="8" t="s">
        <v>2183</v>
      </c>
      <c r="L838" s="7">
        <v>7576</v>
      </c>
      <c r="M838" s="10" t="str">
        <f t="shared" si="78"/>
        <v>CMI02050100</v>
      </c>
      <c r="N838" s="10" t="str">
        <f t="shared" si="79"/>
        <v>SUM231500</v>
      </c>
      <c r="O838" s="10" t="str">
        <f t="shared" si="80"/>
        <v>E</v>
      </c>
      <c r="P838" s="10" t="str">
        <f t="shared" si="81"/>
        <v>50</v>
      </c>
      <c r="Q838" s="10" t="str">
        <f t="shared" si="82"/>
        <v>ZSUM</v>
      </c>
      <c r="R838" s="10" t="str">
        <f t="shared" si="83"/>
        <v>24101506</v>
      </c>
    </row>
    <row r="839" spans="1:18" ht="38.25" hidden="1" x14ac:dyDescent="0.2">
      <c r="A839" s="21" t="s">
        <v>2182</v>
      </c>
      <c r="B839" s="8" t="s">
        <v>2181</v>
      </c>
      <c r="C839" s="8" t="s">
        <v>40</v>
      </c>
      <c r="D839" s="8" t="s">
        <v>986</v>
      </c>
      <c r="E839" s="8" t="s">
        <v>40</v>
      </c>
      <c r="F839" s="8" t="s">
        <v>39</v>
      </c>
      <c r="G839" s="8" t="s">
        <v>60</v>
      </c>
      <c r="H839" s="8" t="s">
        <v>37</v>
      </c>
      <c r="I839" s="8" t="s">
        <v>53</v>
      </c>
      <c r="J839" s="8" t="s">
        <v>59</v>
      </c>
      <c r="K839" s="8" t="s">
        <v>2180</v>
      </c>
      <c r="L839" s="7">
        <v>7577</v>
      </c>
      <c r="M839" s="10" t="str">
        <f t="shared" si="78"/>
        <v>CMI02070300</v>
      </c>
      <c r="N839" s="10" t="str">
        <f t="shared" si="79"/>
        <v>SUM231200</v>
      </c>
      <c r="O839" s="10" t="str">
        <f t="shared" si="80"/>
        <v>E</v>
      </c>
      <c r="P839" s="10" t="str">
        <f t="shared" si="81"/>
        <v>50</v>
      </c>
      <c r="Q839" s="10" t="str">
        <f t="shared" si="82"/>
        <v>ZSUM</v>
      </c>
      <c r="R839" s="10" t="str">
        <f t="shared" si="83"/>
        <v>24101509</v>
      </c>
    </row>
    <row r="840" spans="1:18" ht="38.25" hidden="1" x14ac:dyDescent="0.2">
      <c r="A840" s="21" t="s">
        <v>2179</v>
      </c>
      <c r="B840" s="8" t="s">
        <v>2178</v>
      </c>
      <c r="C840" s="8" t="s">
        <v>40</v>
      </c>
      <c r="D840" s="8" t="s">
        <v>990</v>
      </c>
      <c r="E840" s="8" t="s">
        <v>40</v>
      </c>
      <c r="F840" s="8" t="s">
        <v>39</v>
      </c>
      <c r="G840" s="8" t="s">
        <v>85</v>
      </c>
      <c r="H840" s="8" t="s">
        <v>37</v>
      </c>
      <c r="I840" s="8" t="s">
        <v>53</v>
      </c>
      <c r="J840" s="8" t="s">
        <v>59</v>
      </c>
      <c r="K840" s="8" t="s">
        <v>2177</v>
      </c>
      <c r="L840" s="7">
        <v>7578</v>
      </c>
      <c r="M840" s="10" t="str">
        <f t="shared" si="78"/>
        <v>CMI02090500</v>
      </c>
      <c r="N840" s="10" t="str">
        <f t="shared" si="79"/>
        <v>SUM231500</v>
      </c>
      <c r="O840" s="10" t="str">
        <f t="shared" si="80"/>
        <v>E</v>
      </c>
      <c r="P840" s="10" t="str">
        <f t="shared" si="81"/>
        <v>50</v>
      </c>
      <c r="Q840" s="10" t="str">
        <f t="shared" si="82"/>
        <v>ZSUM</v>
      </c>
      <c r="R840" s="10" t="str">
        <f t="shared" si="83"/>
        <v>31151703</v>
      </c>
    </row>
    <row r="841" spans="1:18" ht="38.25" hidden="1" x14ac:dyDescent="0.2">
      <c r="A841" s="21" t="s">
        <v>2176</v>
      </c>
      <c r="B841" s="8" t="s">
        <v>2175</v>
      </c>
      <c r="C841" s="8" t="s">
        <v>40</v>
      </c>
      <c r="D841" s="8" t="s">
        <v>990</v>
      </c>
      <c r="E841" s="8" t="s">
        <v>40</v>
      </c>
      <c r="F841" s="8" t="s">
        <v>39</v>
      </c>
      <c r="G841" s="8" t="s">
        <v>60</v>
      </c>
      <c r="H841" s="8" t="s">
        <v>37</v>
      </c>
      <c r="I841" s="8" t="s">
        <v>53</v>
      </c>
      <c r="J841" s="8" t="s">
        <v>59</v>
      </c>
      <c r="K841" s="8" t="s">
        <v>2174</v>
      </c>
      <c r="L841" s="7">
        <v>7579</v>
      </c>
      <c r="M841" s="10" t="str">
        <f t="shared" si="78"/>
        <v>CMI02090500</v>
      </c>
      <c r="N841" s="10" t="str">
        <f t="shared" si="79"/>
        <v>SUM231200</v>
      </c>
      <c r="O841" s="10" t="str">
        <f t="shared" si="80"/>
        <v>E</v>
      </c>
      <c r="P841" s="10" t="str">
        <f t="shared" si="81"/>
        <v>50</v>
      </c>
      <c r="Q841" s="10" t="str">
        <f t="shared" si="82"/>
        <v>ZSUM</v>
      </c>
      <c r="R841" s="10" t="str">
        <f t="shared" si="83"/>
        <v>31151705</v>
      </c>
    </row>
    <row r="842" spans="1:18" ht="38.25" hidden="1" x14ac:dyDescent="0.2">
      <c r="A842" s="21" t="s">
        <v>2173</v>
      </c>
      <c r="B842" s="8" t="s">
        <v>2172</v>
      </c>
      <c r="C842" s="8" t="s">
        <v>40</v>
      </c>
      <c r="D842" s="8" t="s">
        <v>990</v>
      </c>
      <c r="E842" s="8" t="s">
        <v>40</v>
      </c>
      <c r="F842" s="8" t="s">
        <v>39</v>
      </c>
      <c r="G842" s="8" t="s">
        <v>60</v>
      </c>
      <c r="H842" s="8" t="s">
        <v>37</v>
      </c>
      <c r="I842" s="8" t="s">
        <v>53</v>
      </c>
      <c r="J842" s="8" t="s">
        <v>59</v>
      </c>
      <c r="K842" s="8" t="s">
        <v>2171</v>
      </c>
      <c r="L842" s="7">
        <v>7580</v>
      </c>
      <c r="M842" s="10" t="str">
        <f t="shared" si="78"/>
        <v>CMI02090500</v>
      </c>
      <c r="N842" s="10" t="str">
        <f t="shared" si="79"/>
        <v>SUM231200</v>
      </c>
      <c r="O842" s="10" t="str">
        <f t="shared" si="80"/>
        <v>E</v>
      </c>
      <c r="P842" s="10" t="str">
        <f t="shared" si="81"/>
        <v>50</v>
      </c>
      <c r="Q842" s="10" t="str">
        <f t="shared" si="82"/>
        <v>ZSUM</v>
      </c>
      <c r="R842" s="10" t="str">
        <f t="shared" si="83"/>
        <v>31151601</v>
      </c>
    </row>
    <row r="843" spans="1:18" ht="25.5" hidden="1" x14ac:dyDescent="0.2">
      <c r="A843" s="21" t="s">
        <v>2170</v>
      </c>
      <c r="B843" s="8" t="s">
        <v>2169</v>
      </c>
      <c r="C843" s="8" t="s">
        <v>40</v>
      </c>
      <c r="D843" s="8" t="s">
        <v>969</v>
      </c>
      <c r="E843" s="8" t="s">
        <v>40</v>
      </c>
      <c r="F843" s="8" t="s">
        <v>39</v>
      </c>
      <c r="G843" s="8" t="s">
        <v>885</v>
      </c>
      <c r="H843" s="8" t="s">
        <v>37</v>
      </c>
      <c r="I843" s="8" t="s">
        <v>53</v>
      </c>
      <c r="J843" s="8" t="s">
        <v>59</v>
      </c>
      <c r="K843" s="8" t="s">
        <v>2168</v>
      </c>
      <c r="L843" s="7">
        <v>7581</v>
      </c>
      <c r="M843" s="10" t="str">
        <f t="shared" si="78"/>
        <v>CMI02051200</v>
      </c>
      <c r="N843" s="10" t="str">
        <f t="shared" si="79"/>
        <v>SUM231000</v>
      </c>
      <c r="O843" s="10" t="str">
        <f t="shared" si="80"/>
        <v>E</v>
      </c>
      <c r="P843" s="10" t="str">
        <f t="shared" si="81"/>
        <v>50</v>
      </c>
      <c r="Q843" s="10" t="str">
        <f t="shared" si="82"/>
        <v>ZSUM</v>
      </c>
      <c r="R843" s="10" t="str">
        <f t="shared" si="83"/>
        <v>26121539</v>
      </c>
    </row>
    <row r="844" spans="1:18" ht="38.25" hidden="1" x14ac:dyDescent="0.2">
      <c r="A844" s="21" t="s">
        <v>2167</v>
      </c>
      <c r="B844" s="8" t="s">
        <v>2166</v>
      </c>
      <c r="C844" s="8" t="s">
        <v>40</v>
      </c>
      <c r="D844" s="8" t="s">
        <v>990</v>
      </c>
      <c r="E844" s="8" t="s">
        <v>40</v>
      </c>
      <c r="F844" s="8" t="s">
        <v>39</v>
      </c>
      <c r="G844" s="8" t="s">
        <v>985</v>
      </c>
      <c r="H844" s="8" t="s">
        <v>37</v>
      </c>
      <c r="I844" s="8" t="s">
        <v>53</v>
      </c>
      <c r="J844" s="8" t="s">
        <v>59</v>
      </c>
      <c r="K844" s="8" t="s">
        <v>2165</v>
      </c>
      <c r="L844" s="7">
        <v>7582</v>
      </c>
      <c r="M844" s="10" t="str">
        <f t="shared" si="78"/>
        <v>CMI02090500</v>
      </c>
      <c r="N844" s="10" t="str">
        <f t="shared" si="79"/>
        <v>SUM231600</v>
      </c>
      <c r="O844" s="10" t="str">
        <f t="shared" si="80"/>
        <v>E</v>
      </c>
      <c r="P844" s="10" t="str">
        <f t="shared" si="81"/>
        <v>50</v>
      </c>
      <c r="Q844" s="10" t="str">
        <f t="shared" si="82"/>
        <v>ZSUM</v>
      </c>
      <c r="R844" s="10" t="str">
        <f t="shared" si="83"/>
        <v>31162803</v>
      </c>
    </row>
    <row r="845" spans="1:18" ht="25.5" hidden="1" x14ac:dyDescent="0.2">
      <c r="A845" s="21" t="s">
        <v>2164</v>
      </c>
      <c r="B845" s="8" t="s">
        <v>2163</v>
      </c>
      <c r="C845" s="8" t="s">
        <v>40</v>
      </c>
      <c r="D845" s="8" t="s">
        <v>1082</v>
      </c>
      <c r="E845" s="8" t="s">
        <v>40</v>
      </c>
      <c r="F845" s="8" t="s">
        <v>39</v>
      </c>
      <c r="G845" s="8" t="s">
        <v>60</v>
      </c>
      <c r="H845" s="8" t="s">
        <v>37</v>
      </c>
      <c r="I845" s="8" t="s">
        <v>53</v>
      </c>
      <c r="J845" s="8" t="s">
        <v>59</v>
      </c>
      <c r="K845" s="8" t="s">
        <v>1421</v>
      </c>
      <c r="L845" s="7">
        <v>7583</v>
      </c>
      <c r="M845" s="10" t="str">
        <f t="shared" si="78"/>
        <v>CMI02050500</v>
      </c>
      <c r="N845" s="10" t="str">
        <f t="shared" si="79"/>
        <v>SUM231200</v>
      </c>
      <c r="O845" s="10" t="str">
        <f t="shared" si="80"/>
        <v>E</v>
      </c>
      <c r="P845" s="10" t="str">
        <f t="shared" si="81"/>
        <v>50</v>
      </c>
      <c r="Q845" s="10" t="str">
        <f t="shared" si="82"/>
        <v>ZSUM</v>
      </c>
      <c r="R845" s="10" t="str">
        <f t="shared" si="83"/>
        <v>31151507</v>
      </c>
    </row>
    <row r="846" spans="1:18" ht="25.5" hidden="1" x14ac:dyDescent="0.2">
      <c r="A846" s="21" t="s">
        <v>2162</v>
      </c>
      <c r="B846" s="8" t="s">
        <v>2161</v>
      </c>
      <c r="C846" s="8" t="s">
        <v>40</v>
      </c>
      <c r="D846" s="8" t="s">
        <v>249</v>
      </c>
      <c r="E846" s="8" t="s">
        <v>40</v>
      </c>
      <c r="F846" s="8" t="s">
        <v>39</v>
      </c>
      <c r="G846" s="8" t="s">
        <v>85</v>
      </c>
      <c r="H846" s="8" t="s">
        <v>37</v>
      </c>
      <c r="I846" s="8" t="s">
        <v>53</v>
      </c>
      <c r="J846" s="8" t="s">
        <v>59</v>
      </c>
      <c r="K846" s="8" t="s">
        <v>2160</v>
      </c>
      <c r="L846" s="7">
        <v>7584</v>
      </c>
      <c r="M846" s="10" t="str">
        <f t="shared" si="78"/>
        <v>CMI02090700</v>
      </c>
      <c r="N846" s="10" t="str">
        <f t="shared" si="79"/>
        <v>SUM231500</v>
      </c>
      <c r="O846" s="10" t="str">
        <f t="shared" si="80"/>
        <v>E</v>
      </c>
      <c r="P846" s="10" t="str">
        <f t="shared" si="81"/>
        <v>50</v>
      </c>
      <c r="Q846" s="10" t="str">
        <f t="shared" si="82"/>
        <v>ZSUM</v>
      </c>
      <c r="R846" s="10" t="str">
        <f t="shared" si="83"/>
        <v>40101720</v>
      </c>
    </row>
    <row r="847" spans="1:18" ht="25.5" hidden="1" x14ac:dyDescent="0.2">
      <c r="A847" s="21" t="s">
        <v>2159</v>
      </c>
      <c r="B847" s="8" t="s">
        <v>2158</v>
      </c>
      <c r="C847" s="8" t="s">
        <v>40</v>
      </c>
      <c r="D847" s="8" t="s">
        <v>2157</v>
      </c>
      <c r="E847" s="8" t="s">
        <v>40</v>
      </c>
      <c r="F847" s="8" t="s">
        <v>39</v>
      </c>
      <c r="G847" s="8" t="s">
        <v>975</v>
      </c>
      <c r="H847" s="8" t="s">
        <v>37</v>
      </c>
      <c r="I847" s="8" t="s">
        <v>53</v>
      </c>
      <c r="J847" s="8" t="s">
        <v>59</v>
      </c>
      <c r="K847" s="8" t="s">
        <v>2156</v>
      </c>
      <c r="L847" s="7">
        <v>7585</v>
      </c>
      <c r="M847" s="10" t="str">
        <f t="shared" si="78"/>
        <v>CMI02090800</v>
      </c>
      <c r="N847" s="10" t="str">
        <f t="shared" si="79"/>
        <v>SUM231100</v>
      </c>
      <c r="O847" s="10" t="str">
        <f t="shared" si="80"/>
        <v>E</v>
      </c>
      <c r="P847" s="10" t="str">
        <f t="shared" si="81"/>
        <v>50</v>
      </c>
      <c r="Q847" s="10" t="str">
        <f t="shared" si="82"/>
        <v>ZSUM</v>
      </c>
      <c r="R847" s="10" t="str">
        <f t="shared" si="83"/>
        <v>40161800</v>
      </c>
    </row>
    <row r="848" spans="1:18" ht="25.5" hidden="1" x14ac:dyDescent="0.2">
      <c r="A848" s="21" t="s">
        <v>2155</v>
      </c>
      <c r="B848" s="8" t="s">
        <v>2154</v>
      </c>
      <c r="C848" s="8" t="s">
        <v>40</v>
      </c>
      <c r="D848" s="8" t="s">
        <v>245</v>
      </c>
      <c r="E848" s="8" t="s">
        <v>40</v>
      </c>
      <c r="F848" s="8" t="s">
        <v>39</v>
      </c>
      <c r="G848" s="8" t="s">
        <v>60</v>
      </c>
      <c r="H848" s="8" t="s">
        <v>37</v>
      </c>
      <c r="I848" s="8" t="s">
        <v>53</v>
      </c>
      <c r="J848" s="8" t="s">
        <v>59</v>
      </c>
      <c r="K848" s="8" t="s">
        <v>2153</v>
      </c>
      <c r="L848" s="7">
        <v>7586</v>
      </c>
      <c r="M848" s="10" t="str">
        <f t="shared" si="78"/>
        <v>CMI01020300</v>
      </c>
      <c r="N848" s="10" t="str">
        <f t="shared" si="79"/>
        <v>SUM231200</v>
      </c>
      <c r="O848" s="10" t="str">
        <f t="shared" si="80"/>
        <v>E</v>
      </c>
      <c r="P848" s="10" t="str">
        <f t="shared" si="81"/>
        <v>50</v>
      </c>
      <c r="Q848" s="10" t="str">
        <f t="shared" si="82"/>
        <v>ZSUM</v>
      </c>
      <c r="R848" s="10" t="str">
        <f t="shared" si="83"/>
        <v>23201202</v>
      </c>
    </row>
    <row r="849" spans="1:18" ht="25.5" hidden="1" x14ac:dyDescent="0.2">
      <c r="A849" s="21" t="s">
        <v>2152</v>
      </c>
      <c r="B849" s="8" t="s">
        <v>2151</v>
      </c>
      <c r="C849" s="8" t="s">
        <v>40</v>
      </c>
      <c r="D849" s="8" t="s">
        <v>2147</v>
      </c>
      <c r="E849" s="8" t="s">
        <v>40</v>
      </c>
      <c r="F849" s="8" t="s">
        <v>39</v>
      </c>
      <c r="G849" s="8" t="s">
        <v>60</v>
      </c>
      <c r="H849" s="8" t="s">
        <v>37</v>
      </c>
      <c r="I849" s="8" t="s">
        <v>53</v>
      </c>
      <c r="J849" s="8" t="s">
        <v>59</v>
      </c>
      <c r="K849" s="8" t="s">
        <v>2150</v>
      </c>
      <c r="L849" s="7">
        <v>7587</v>
      </c>
      <c r="M849" s="10" t="str">
        <f t="shared" si="78"/>
        <v>CMI02050200</v>
      </c>
      <c r="N849" s="10" t="str">
        <f t="shared" si="79"/>
        <v>SUM231200</v>
      </c>
      <c r="O849" s="10" t="str">
        <f t="shared" si="80"/>
        <v>E</v>
      </c>
      <c r="P849" s="10" t="str">
        <f t="shared" si="81"/>
        <v>50</v>
      </c>
      <c r="Q849" s="10" t="str">
        <f t="shared" si="82"/>
        <v>ZSUM</v>
      </c>
      <c r="R849" s="10" t="str">
        <f t="shared" si="83"/>
        <v>30181605</v>
      </c>
    </row>
    <row r="850" spans="1:18" ht="25.5" hidden="1" x14ac:dyDescent="0.2">
      <c r="A850" s="21" t="s">
        <v>2149</v>
      </c>
      <c r="B850" s="8" t="s">
        <v>2148</v>
      </c>
      <c r="C850" s="8" t="s">
        <v>40</v>
      </c>
      <c r="D850" s="8" t="s">
        <v>2147</v>
      </c>
      <c r="E850" s="8" t="s">
        <v>40</v>
      </c>
      <c r="F850" s="8" t="s">
        <v>39</v>
      </c>
      <c r="G850" s="8" t="s">
        <v>60</v>
      </c>
      <c r="H850" s="8" t="s">
        <v>37</v>
      </c>
      <c r="I850" s="8" t="s">
        <v>53</v>
      </c>
      <c r="J850" s="8" t="s">
        <v>59</v>
      </c>
      <c r="K850" s="8" t="s">
        <v>2146</v>
      </c>
      <c r="L850" s="7">
        <v>7588</v>
      </c>
      <c r="M850" s="10" t="str">
        <f t="shared" si="78"/>
        <v>CMI02050200</v>
      </c>
      <c r="N850" s="10" t="str">
        <f t="shared" si="79"/>
        <v>SUM231200</v>
      </c>
      <c r="O850" s="10" t="str">
        <f t="shared" si="80"/>
        <v>E</v>
      </c>
      <c r="P850" s="10" t="str">
        <f t="shared" si="81"/>
        <v>50</v>
      </c>
      <c r="Q850" s="10" t="str">
        <f t="shared" si="82"/>
        <v>ZSUM</v>
      </c>
      <c r="R850" s="10" t="str">
        <f t="shared" si="83"/>
        <v>40141640</v>
      </c>
    </row>
    <row r="851" spans="1:18" ht="38.25" hidden="1" x14ac:dyDescent="0.2">
      <c r="A851" s="21" t="s">
        <v>2145</v>
      </c>
      <c r="B851" s="8" t="s">
        <v>2144</v>
      </c>
      <c r="C851" s="8" t="s">
        <v>40</v>
      </c>
      <c r="D851" s="8" t="s">
        <v>310</v>
      </c>
      <c r="E851" s="8" t="s">
        <v>40</v>
      </c>
      <c r="F851" s="8" t="s">
        <v>39</v>
      </c>
      <c r="G851" s="8" t="s">
        <v>60</v>
      </c>
      <c r="H851" s="8" t="s">
        <v>37</v>
      </c>
      <c r="I851" s="8" t="s">
        <v>53</v>
      </c>
      <c r="J851" s="8" t="s">
        <v>59</v>
      </c>
      <c r="K851" s="8" t="s">
        <v>1202</v>
      </c>
      <c r="L851" s="7">
        <v>7589</v>
      </c>
      <c r="M851" s="10" t="str">
        <f t="shared" si="78"/>
        <v>CMI02200100</v>
      </c>
      <c r="N851" s="10" t="str">
        <f t="shared" si="79"/>
        <v>SUM231200</v>
      </c>
      <c r="O851" s="10" t="str">
        <f t="shared" si="80"/>
        <v>E</v>
      </c>
      <c r="P851" s="10" t="str">
        <f t="shared" si="81"/>
        <v>50</v>
      </c>
      <c r="Q851" s="10" t="str">
        <f t="shared" si="82"/>
        <v>ZSUM</v>
      </c>
      <c r="R851" s="10" t="str">
        <f t="shared" si="83"/>
        <v>40141734</v>
      </c>
    </row>
    <row r="852" spans="1:18" ht="38.25" hidden="1" x14ac:dyDescent="0.2">
      <c r="A852" s="21" t="s">
        <v>2143</v>
      </c>
      <c r="B852" s="8" t="s">
        <v>2142</v>
      </c>
      <c r="C852" s="8" t="s">
        <v>40</v>
      </c>
      <c r="D852" s="8" t="s">
        <v>310</v>
      </c>
      <c r="E852" s="8" t="s">
        <v>40</v>
      </c>
      <c r="F852" s="8" t="s">
        <v>39</v>
      </c>
      <c r="G852" s="8" t="s">
        <v>975</v>
      </c>
      <c r="H852" s="8" t="s">
        <v>37</v>
      </c>
      <c r="I852" s="8" t="s">
        <v>53</v>
      </c>
      <c r="J852" s="8" t="s">
        <v>59</v>
      </c>
      <c r="K852" s="8" t="s">
        <v>346</v>
      </c>
      <c r="L852" s="7">
        <v>7590</v>
      </c>
      <c r="M852" s="10" t="str">
        <f t="shared" si="78"/>
        <v>CMI02200100</v>
      </c>
      <c r="N852" s="10" t="str">
        <f t="shared" si="79"/>
        <v>SUM231100</v>
      </c>
      <c r="O852" s="10" t="str">
        <f t="shared" si="80"/>
        <v>E</v>
      </c>
      <c r="P852" s="10" t="str">
        <f t="shared" si="81"/>
        <v>50</v>
      </c>
      <c r="Q852" s="10" t="str">
        <f t="shared" si="82"/>
        <v>ZSUM</v>
      </c>
      <c r="R852" s="10" t="str">
        <f t="shared" si="83"/>
        <v>31162906</v>
      </c>
    </row>
    <row r="853" spans="1:18" ht="38.25" hidden="1" x14ac:dyDescent="0.2">
      <c r="A853" s="21" t="s">
        <v>2141</v>
      </c>
      <c r="B853" s="8" t="s">
        <v>2140</v>
      </c>
      <c r="C853" s="8" t="s">
        <v>40</v>
      </c>
      <c r="D853" s="8" t="s">
        <v>310</v>
      </c>
      <c r="E853" s="8" t="s">
        <v>40</v>
      </c>
      <c r="F853" s="8" t="s">
        <v>39</v>
      </c>
      <c r="G853" s="8" t="s">
        <v>885</v>
      </c>
      <c r="H853" s="8" t="s">
        <v>37</v>
      </c>
      <c r="I853" s="8" t="s">
        <v>53</v>
      </c>
      <c r="J853" s="8" t="s">
        <v>59</v>
      </c>
      <c r="K853" s="8" t="s">
        <v>2139</v>
      </c>
      <c r="L853" s="7">
        <v>7591</v>
      </c>
      <c r="M853" s="10" t="str">
        <f t="shared" si="78"/>
        <v>CMI02200100</v>
      </c>
      <c r="N853" s="10" t="str">
        <f t="shared" si="79"/>
        <v>SUM231000</v>
      </c>
      <c r="O853" s="10" t="str">
        <f t="shared" si="80"/>
        <v>E</v>
      </c>
      <c r="P853" s="10" t="str">
        <f t="shared" si="81"/>
        <v>50</v>
      </c>
      <c r="Q853" s="10" t="str">
        <f t="shared" si="82"/>
        <v>ZSUM</v>
      </c>
      <c r="R853" s="10" t="str">
        <f t="shared" si="83"/>
        <v>40172513</v>
      </c>
    </row>
    <row r="854" spans="1:18" ht="38.25" hidden="1" x14ac:dyDescent="0.2">
      <c r="A854" s="21" t="s">
        <v>2138</v>
      </c>
      <c r="B854" s="8" t="s">
        <v>2137</v>
      </c>
      <c r="C854" s="8" t="s">
        <v>40</v>
      </c>
      <c r="D854" s="8" t="s">
        <v>310</v>
      </c>
      <c r="E854" s="8" t="s">
        <v>40</v>
      </c>
      <c r="F854" s="8" t="s">
        <v>39</v>
      </c>
      <c r="G854" s="8" t="s">
        <v>60</v>
      </c>
      <c r="H854" s="8" t="s">
        <v>37</v>
      </c>
      <c r="I854" s="8" t="s">
        <v>53</v>
      </c>
      <c r="J854" s="8" t="s">
        <v>59</v>
      </c>
      <c r="K854" s="8" t="s">
        <v>2136</v>
      </c>
      <c r="L854" s="7">
        <v>7592</v>
      </c>
      <c r="M854" s="10" t="str">
        <f t="shared" si="78"/>
        <v>CMI02200100</v>
      </c>
      <c r="N854" s="10" t="str">
        <f t="shared" si="79"/>
        <v>SUM231200</v>
      </c>
      <c r="O854" s="10" t="str">
        <f t="shared" si="80"/>
        <v>E</v>
      </c>
      <c r="P854" s="10" t="str">
        <f t="shared" si="81"/>
        <v>50</v>
      </c>
      <c r="Q854" s="10" t="str">
        <f t="shared" si="82"/>
        <v>ZSUM</v>
      </c>
      <c r="R854" s="10" t="str">
        <f t="shared" si="83"/>
        <v>31161722</v>
      </c>
    </row>
    <row r="855" spans="1:18" ht="38.25" hidden="1" x14ac:dyDescent="0.2">
      <c r="A855" s="21" t="s">
        <v>2135</v>
      </c>
      <c r="B855" s="8" t="s">
        <v>2134</v>
      </c>
      <c r="C855" s="8" t="s">
        <v>40</v>
      </c>
      <c r="D855" s="8" t="s">
        <v>310</v>
      </c>
      <c r="E855" s="8" t="s">
        <v>40</v>
      </c>
      <c r="F855" s="8" t="s">
        <v>39</v>
      </c>
      <c r="G855" s="8" t="s">
        <v>60</v>
      </c>
      <c r="H855" s="8" t="s">
        <v>37</v>
      </c>
      <c r="I855" s="8" t="s">
        <v>53</v>
      </c>
      <c r="J855" s="8" t="s">
        <v>59</v>
      </c>
      <c r="K855" s="8" t="s">
        <v>2133</v>
      </c>
      <c r="L855" s="7">
        <v>7593</v>
      </c>
      <c r="M855" s="10" t="str">
        <f t="shared" si="78"/>
        <v>CMI02200100</v>
      </c>
      <c r="N855" s="10" t="str">
        <f t="shared" si="79"/>
        <v>SUM231200</v>
      </c>
      <c r="O855" s="10" t="str">
        <f t="shared" si="80"/>
        <v>E</v>
      </c>
      <c r="P855" s="10" t="str">
        <f t="shared" si="81"/>
        <v>50</v>
      </c>
      <c r="Q855" s="10" t="str">
        <f t="shared" si="82"/>
        <v>ZSUM</v>
      </c>
      <c r="R855" s="10" t="str">
        <f t="shared" si="83"/>
        <v>31161713</v>
      </c>
    </row>
    <row r="856" spans="1:18" ht="38.25" hidden="1" x14ac:dyDescent="0.2">
      <c r="A856" s="21" t="s">
        <v>2132</v>
      </c>
      <c r="B856" s="8" t="s">
        <v>2131</v>
      </c>
      <c r="C856" s="8" t="s">
        <v>40</v>
      </c>
      <c r="D856" s="8" t="s">
        <v>669</v>
      </c>
      <c r="E856" s="8" t="s">
        <v>40</v>
      </c>
      <c r="F856" s="8" t="s">
        <v>39</v>
      </c>
      <c r="G856" s="8" t="s">
        <v>60</v>
      </c>
      <c r="H856" s="8" t="s">
        <v>37</v>
      </c>
      <c r="I856" s="8" t="s">
        <v>53</v>
      </c>
      <c r="J856" s="8" t="s">
        <v>59</v>
      </c>
      <c r="K856" s="8" t="s">
        <v>2130</v>
      </c>
      <c r="L856" s="7">
        <v>7594</v>
      </c>
      <c r="M856" s="10" t="str">
        <f t="shared" si="78"/>
        <v>CMI02140700</v>
      </c>
      <c r="N856" s="10" t="str">
        <f t="shared" si="79"/>
        <v>SUM231200</v>
      </c>
      <c r="O856" s="10" t="str">
        <f t="shared" si="80"/>
        <v>E</v>
      </c>
      <c r="P856" s="10" t="str">
        <f t="shared" si="81"/>
        <v>50</v>
      </c>
      <c r="Q856" s="10" t="str">
        <f t="shared" si="82"/>
        <v>ZSUM</v>
      </c>
      <c r="R856" s="10" t="str">
        <f t="shared" si="83"/>
        <v>40142500</v>
      </c>
    </row>
    <row r="857" spans="1:18" ht="25.5" hidden="1" x14ac:dyDescent="0.2">
      <c r="A857" s="21" t="s">
        <v>2129</v>
      </c>
      <c r="B857" s="8" t="s">
        <v>2128</v>
      </c>
      <c r="C857" s="8" t="s">
        <v>40</v>
      </c>
      <c r="D857" s="8" t="s">
        <v>300</v>
      </c>
      <c r="E857" s="8" t="s">
        <v>40</v>
      </c>
      <c r="F857" s="8" t="s">
        <v>39</v>
      </c>
      <c r="G857" s="8" t="s">
        <v>85</v>
      </c>
      <c r="H857" s="8" t="s">
        <v>37</v>
      </c>
      <c r="I857" s="8" t="s">
        <v>53</v>
      </c>
      <c r="J857" s="8" t="s">
        <v>59</v>
      </c>
      <c r="K857" s="8" t="s">
        <v>2127</v>
      </c>
      <c r="L857" s="7">
        <v>7595</v>
      </c>
      <c r="M857" s="10" t="str">
        <f t="shared" si="78"/>
        <v>CMI02200200</v>
      </c>
      <c r="N857" s="10" t="str">
        <f t="shared" si="79"/>
        <v>SUM231500</v>
      </c>
      <c r="O857" s="10" t="str">
        <f t="shared" si="80"/>
        <v>E</v>
      </c>
      <c r="P857" s="10" t="str">
        <f t="shared" si="81"/>
        <v>50</v>
      </c>
      <c r="Q857" s="10" t="str">
        <f t="shared" si="82"/>
        <v>ZSUM</v>
      </c>
      <c r="R857" s="10" t="str">
        <f t="shared" si="83"/>
        <v>40141616</v>
      </c>
    </row>
    <row r="858" spans="1:18" ht="38.25" hidden="1" x14ac:dyDescent="0.2">
      <c r="A858" s="21" t="s">
        <v>2126</v>
      </c>
      <c r="B858" s="8" t="s">
        <v>2125</v>
      </c>
      <c r="C858" s="8" t="s">
        <v>40</v>
      </c>
      <c r="D858" s="8" t="s">
        <v>310</v>
      </c>
      <c r="E858" s="8" t="s">
        <v>40</v>
      </c>
      <c r="F858" s="8" t="s">
        <v>39</v>
      </c>
      <c r="G858" s="8" t="s">
        <v>975</v>
      </c>
      <c r="H858" s="8" t="s">
        <v>37</v>
      </c>
      <c r="I858" s="8" t="s">
        <v>53</v>
      </c>
      <c r="J858" s="8" t="s">
        <v>59</v>
      </c>
      <c r="K858" s="8" t="s">
        <v>2124</v>
      </c>
      <c r="L858" s="7">
        <v>7596</v>
      </c>
      <c r="M858" s="10" t="str">
        <f t="shared" si="78"/>
        <v>CMI02200100</v>
      </c>
      <c r="N858" s="10" t="str">
        <f t="shared" si="79"/>
        <v>SUM231100</v>
      </c>
      <c r="O858" s="10" t="str">
        <f t="shared" si="80"/>
        <v>E</v>
      </c>
      <c r="P858" s="10" t="str">
        <f t="shared" si="81"/>
        <v>50</v>
      </c>
      <c r="Q858" s="10" t="str">
        <f t="shared" si="82"/>
        <v>ZSUM</v>
      </c>
      <c r="R858" s="10" t="str">
        <f t="shared" si="83"/>
        <v>40141600</v>
      </c>
    </row>
    <row r="859" spans="1:18" ht="38.25" hidden="1" x14ac:dyDescent="0.2">
      <c r="A859" s="21" t="s">
        <v>2123</v>
      </c>
      <c r="B859" s="8" t="s">
        <v>2122</v>
      </c>
      <c r="C859" s="8" t="s">
        <v>40</v>
      </c>
      <c r="D859" s="8" t="s">
        <v>310</v>
      </c>
      <c r="E859" s="8" t="s">
        <v>40</v>
      </c>
      <c r="F859" s="8" t="s">
        <v>39</v>
      </c>
      <c r="G859" s="8" t="s">
        <v>60</v>
      </c>
      <c r="H859" s="8" t="s">
        <v>37</v>
      </c>
      <c r="I859" s="8" t="s">
        <v>53</v>
      </c>
      <c r="J859" s="8" t="s">
        <v>59</v>
      </c>
      <c r="K859" s="8" t="s">
        <v>2121</v>
      </c>
      <c r="L859" s="7">
        <v>7597</v>
      </c>
      <c r="M859" s="10" t="str">
        <f t="shared" si="78"/>
        <v>CMI02200100</v>
      </c>
      <c r="N859" s="10" t="str">
        <f t="shared" si="79"/>
        <v>SUM231200</v>
      </c>
      <c r="O859" s="10" t="str">
        <f t="shared" si="80"/>
        <v>E</v>
      </c>
      <c r="P859" s="10" t="str">
        <f t="shared" si="81"/>
        <v>50</v>
      </c>
      <c r="Q859" s="10" t="str">
        <f t="shared" si="82"/>
        <v>ZSUM</v>
      </c>
      <c r="R859" s="10" t="str">
        <f t="shared" si="83"/>
        <v>31211913</v>
      </c>
    </row>
    <row r="860" spans="1:18" ht="25.5" hidden="1" x14ac:dyDescent="0.2">
      <c r="A860" s="21" t="s">
        <v>2120</v>
      </c>
      <c r="B860" s="8" t="s">
        <v>2119</v>
      </c>
      <c r="C860" s="8" t="s">
        <v>40</v>
      </c>
      <c r="D860" s="8" t="s">
        <v>245</v>
      </c>
      <c r="E860" s="8" t="s">
        <v>40</v>
      </c>
      <c r="F860" s="8" t="s">
        <v>39</v>
      </c>
      <c r="G860" s="8" t="s">
        <v>85</v>
      </c>
      <c r="H860" s="8" t="s">
        <v>37</v>
      </c>
      <c r="I860" s="8" t="s">
        <v>53</v>
      </c>
      <c r="J860" s="8" t="s">
        <v>59</v>
      </c>
      <c r="K860" s="8" t="s">
        <v>2118</v>
      </c>
      <c r="L860" s="7">
        <v>7598</v>
      </c>
      <c r="M860" s="10" t="str">
        <f t="shared" si="78"/>
        <v>CMI01020300</v>
      </c>
      <c r="N860" s="10" t="str">
        <f t="shared" si="79"/>
        <v>SUM231500</v>
      </c>
      <c r="O860" s="10" t="str">
        <f t="shared" si="80"/>
        <v>E</v>
      </c>
      <c r="P860" s="10" t="str">
        <f t="shared" si="81"/>
        <v>50</v>
      </c>
      <c r="Q860" s="10" t="str">
        <f t="shared" si="82"/>
        <v>ZSUM</v>
      </c>
      <c r="R860" s="10" t="str">
        <f t="shared" si="83"/>
        <v>27112901</v>
      </c>
    </row>
    <row r="861" spans="1:18" ht="25.5" hidden="1" x14ac:dyDescent="0.2">
      <c r="A861" s="21" t="s">
        <v>2117</v>
      </c>
      <c r="B861" s="8" t="s">
        <v>2116</v>
      </c>
      <c r="C861" s="8" t="s">
        <v>40</v>
      </c>
      <c r="D861" s="8" t="s">
        <v>245</v>
      </c>
      <c r="E861" s="8" t="s">
        <v>40</v>
      </c>
      <c r="F861" s="8" t="s">
        <v>39</v>
      </c>
      <c r="G861" s="8" t="s">
        <v>985</v>
      </c>
      <c r="H861" s="8" t="s">
        <v>37</v>
      </c>
      <c r="I861" s="8" t="s">
        <v>53</v>
      </c>
      <c r="J861" s="8" t="s">
        <v>59</v>
      </c>
      <c r="K861" s="8" t="s">
        <v>2115</v>
      </c>
      <c r="L861" s="7">
        <v>7599</v>
      </c>
      <c r="M861" s="10" t="str">
        <f t="shared" si="78"/>
        <v>CMI01020300</v>
      </c>
      <c r="N861" s="10" t="str">
        <f t="shared" si="79"/>
        <v>SUM231600</v>
      </c>
      <c r="O861" s="10" t="str">
        <f t="shared" si="80"/>
        <v>E</v>
      </c>
      <c r="P861" s="10" t="str">
        <f t="shared" si="81"/>
        <v>50</v>
      </c>
      <c r="Q861" s="10" t="str">
        <f t="shared" si="82"/>
        <v>ZSUM</v>
      </c>
      <c r="R861" s="10" t="str">
        <f t="shared" si="83"/>
        <v>23241701</v>
      </c>
    </row>
    <row r="862" spans="1:18" ht="25.5" hidden="1" x14ac:dyDescent="0.2">
      <c r="A862" s="21" t="s">
        <v>2114</v>
      </c>
      <c r="B862" s="8" t="s">
        <v>2113</v>
      </c>
      <c r="C862" s="8" t="s">
        <v>40</v>
      </c>
      <c r="D862" s="8" t="s">
        <v>245</v>
      </c>
      <c r="E862" s="8" t="s">
        <v>40</v>
      </c>
      <c r="F862" s="8" t="s">
        <v>39</v>
      </c>
      <c r="G862" s="8" t="s">
        <v>985</v>
      </c>
      <c r="H862" s="8" t="s">
        <v>37</v>
      </c>
      <c r="I862" s="8" t="s">
        <v>53</v>
      </c>
      <c r="J862" s="8" t="s">
        <v>59</v>
      </c>
      <c r="K862" s="8" t="s">
        <v>2112</v>
      </c>
      <c r="L862" s="7">
        <v>7600</v>
      </c>
      <c r="M862" s="10" t="str">
        <f t="shared" si="78"/>
        <v>CMI01020300</v>
      </c>
      <c r="N862" s="10" t="str">
        <f t="shared" si="79"/>
        <v>SUM231600</v>
      </c>
      <c r="O862" s="10" t="str">
        <f t="shared" si="80"/>
        <v>E</v>
      </c>
      <c r="P862" s="10" t="str">
        <f t="shared" si="81"/>
        <v>50</v>
      </c>
      <c r="Q862" s="10" t="str">
        <f t="shared" si="82"/>
        <v>ZSUM</v>
      </c>
      <c r="R862" s="10" t="str">
        <f t="shared" si="83"/>
        <v>46101504</v>
      </c>
    </row>
    <row r="863" spans="1:18" ht="38.25" hidden="1" x14ac:dyDescent="0.2">
      <c r="A863" s="21" t="s">
        <v>2111</v>
      </c>
      <c r="B863" s="8" t="s">
        <v>2110</v>
      </c>
      <c r="C863" s="8" t="s">
        <v>40</v>
      </c>
      <c r="D863" s="8" t="s">
        <v>990</v>
      </c>
      <c r="E863" s="8" t="s">
        <v>40</v>
      </c>
      <c r="F863" s="8" t="s">
        <v>39</v>
      </c>
      <c r="G863" s="8" t="s">
        <v>85</v>
      </c>
      <c r="H863" s="8" t="s">
        <v>37</v>
      </c>
      <c r="I863" s="8" t="s">
        <v>53</v>
      </c>
      <c r="J863" s="8" t="s">
        <v>59</v>
      </c>
      <c r="K863" s="8" t="s">
        <v>2109</v>
      </c>
      <c r="L863" s="7">
        <v>7601</v>
      </c>
      <c r="M863" s="10" t="str">
        <f t="shared" si="78"/>
        <v>CMI02090500</v>
      </c>
      <c r="N863" s="10" t="str">
        <f t="shared" si="79"/>
        <v>SUM231500</v>
      </c>
      <c r="O863" s="10" t="str">
        <f t="shared" si="80"/>
        <v>E</v>
      </c>
      <c r="P863" s="10" t="str">
        <f t="shared" si="81"/>
        <v>50</v>
      </c>
      <c r="Q863" s="10" t="str">
        <f t="shared" si="82"/>
        <v>ZSUM</v>
      </c>
      <c r="R863" s="10" t="str">
        <f t="shared" si="83"/>
        <v>23153026</v>
      </c>
    </row>
    <row r="864" spans="1:18" ht="25.5" hidden="1" x14ac:dyDescent="0.2">
      <c r="A864" s="21" t="s">
        <v>2108</v>
      </c>
      <c r="B864" s="8" t="s">
        <v>2107</v>
      </c>
      <c r="C864" s="8" t="s">
        <v>40</v>
      </c>
      <c r="D864" s="8" t="s">
        <v>245</v>
      </c>
      <c r="E864" s="8" t="s">
        <v>40</v>
      </c>
      <c r="F864" s="8" t="s">
        <v>39</v>
      </c>
      <c r="G864" s="8" t="s">
        <v>975</v>
      </c>
      <c r="H864" s="8" t="s">
        <v>37</v>
      </c>
      <c r="I864" s="8" t="s">
        <v>53</v>
      </c>
      <c r="J864" s="8" t="s">
        <v>59</v>
      </c>
      <c r="K864" s="8" t="s">
        <v>2106</v>
      </c>
      <c r="L864" s="7">
        <v>7602</v>
      </c>
      <c r="M864" s="10" t="str">
        <f t="shared" si="78"/>
        <v>CMI01020300</v>
      </c>
      <c r="N864" s="10" t="str">
        <f t="shared" si="79"/>
        <v>SUM231100</v>
      </c>
      <c r="O864" s="10" t="str">
        <f t="shared" si="80"/>
        <v>E</v>
      </c>
      <c r="P864" s="10" t="str">
        <f t="shared" si="81"/>
        <v>50</v>
      </c>
      <c r="Q864" s="10" t="str">
        <f t="shared" si="82"/>
        <v>ZSUM</v>
      </c>
      <c r="R864" s="10" t="str">
        <f t="shared" si="83"/>
        <v>27112913</v>
      </c>
    </row>
    <row r="865" spans="1:18" ht="25.5" hidden="1" x14ac:dyDescent="0.2">
      <c r="A865" s="21" t="s">
        <v>2105</v>
      </c>
      <c r="B865" s="8" t="s">
        <v>2104</v>
      </c>
      <c r="C865" s="8" t="s">
        <v>40</v>
      </c>
      <c r="D865" s="8" t="s">
        <v>245</v>
      </c>
      <c r="E865" s="8" t="s">
        <v>40</v>
      </c>
      <c r="F865" s="8" t="s">
        <v>39</v>
      </c>
      <c r="G865" s="8" t="s">
        <v>985</v>
      </c>
      <c r="H865" s="8" t="s">
        <v>37</v>
      </c>
      <c r="I865" s="8" t="s">
        <v>53</v>
      </c>
      <c r="J865" s="8" t="s">
        <v>59</v>
      </c>
      <c r="K865" s="8" t="s">
        <v>2103</v>
      </c>
      <c r="L865" s="7">
        <v>7603</v>
      </c>
      <c r="M865" s="10" t="str">
        <f t="shared" si="78"/>
        <v>CMI01020300</v>
      </c>
      <c r="N865" s="10" t="str">
        <f t="shared" si="79"/>
        <v>SUM231600</v>
      </c>
      <c r="O865" s="10" t="str">
        <f t="shared" si="80"/>
        <v>E</v>
      </c>
      <c r="P865" s="10" t="str">
        <f t="shared" si="81"/>
        <v>50</v>
      </c>
      <c r="Q865" s="10" t="str">
        <f t="shared" si="82"/>
        <v>ZSUM</v>
      </c>
      <c r="R865" s="10" t="str">
        <f t="shared" si="83"/>
        <v>31211908</v>
      </c>
    </row>
    <row r="866" spans="1:18" ht="38.25" hidden="1" x14ac:dyDescent="0.2">
      <c r="A866" s="21" t="s">
        <v>2102</v>
      </c>
      <c r="B866" s="8" t="s">
        <v>2101</v>
      </c>
      <c r="C866" s="8" t="s">
        <v>40</v>
      </c>
      <c r="D866" s="8" t="s">
        <v>245</v>
      </c>
      <c r="E866" s="8" t="s">
        <v>40</v>
      </c>
      <c r="F866" s="8" t="s">
        <v>39</v>
      </c>
      <c r="G866" s="8" t="s">
        <v>85</v>
      </c>
      <c r="H866" s="8" t="s">
        <v>37</v>
      </c>
      <c r="I866" s="8" t="s">
        <v>53</v>
      </c>
      <c r="J866" s="8" t="s">
        <v>59</v>
      </c>
      <c r="K866" s="8" t="s">
        <v>2100</v>
      </c>
      <c r="L866" s="7">
        <v>7604</v>
      </c>
      <c r="M866" s="10" t="str">
        <f t="shared" si="78"/>
        <v>CMI01020300</v>
      </c>
      <c r="N866" s="10" t="str">
        <f t="shared" si="79"/>
        <v>SUM231500</v>
      </c>
      <c r="O866" s="10" t="str">
        <f t="shared" si="80"/>
        <v>E</v>
      </c>
      <c r="P866" s="10" t="str">
        <f t="shared" si="81"/>
        <v>50</v>
      </c>
      <c r="Q866" s="10" t="str">
        <f t="shared" si="82"/>
        <v>ZSUM</v>
      </c>
      <c r="R866" s="10" t="str">
        <f t="shared" si="83"/>
        <v>41115500</v>
      </c>
    </row>
    <row r="867" spans="1:18" ht="38.25" hidden="1" x14ac:dyDescent="0.2">
      <c r="A867" s="21" t="s">
        <v>2099</v>
      </c>
      <c r="B867" s="8" t="s">
        <v>2098</v>
      </c>
      <c r="C867" s="8" t="s">
        <v>40</v>
      </c>
      <c r="D867" s="8" t="s">
        <v>216</v>
      </c>
      <c r="E867" s="8" t="s">
        <v>40</v>
      </c>
      <c r="F867" s="8" t="s">
        <v>39</v>
      </c>
      <c r="G867" s="8" t="s">
        <v>85</v>
      </c>
      <c r="H867" s="8" t="s">
        <v>37</v>
      </c>
      <c r="I867" s="8" t="s">
        <v>53</v>
      </c>
      <c r="J867" s="8" t="s">
        <v>59</v>
      </c>
      <c r="K867" s="8" t="s">
        <v>2097</v>
      </c>
      <c r="L867" s="7">
        <v>7605</v>
      </c>
      <c r="M867" s="10" t="str">
        <f t="shared" si="78"/>
        <v>CMI02140500</v>
      </c>
      <c r="N867" s="10" t="str">
        <f t="shared" si="79"/>
        <v>SUM231500</v>
      </c>
      <c r="O867" s="10" t="str">
        <f t="shared" si="80"/>
        <v>E</v>
      </c>
      <c r="P867" s="10" t="str">
        <f t="shared" si="81"/>
        <v>50</v>
      </c>
      <c r="Q867" s="10" t="str">
        <f t="shared" si="82"/>
        <v>ZSUM</v>
      </c>
      <c r="R867" s="10" t="str">
        <f t="shared" si="83"/>
        <v>27112836</v>
      </c>
    </row>
    <row r="868" spans="1:18" ht="25.5" hidden="1" x14ac:dyDescent="0.2">
      <c r="A868" s="21" t="s">
        <v>2096</v>
      </c>
      <c r="B868" s="8" t="s">
        <v>2095</v>
      </c>
      <c r="C868" s="8" t="s">
        <v>40</v>
      </c>
      <c r="D868" s="8" t="s">
        <v>216</v>
      </c>
      <c r="E868" s="8" t="s">
        <v>40</v>
      </c>
      <c r="F868" s="8" t="s">
        <v>39</v>
      </c>
      <c r="G868" s="8" t="s">
        <v>85</v>
      </c>
      <c r="H868" s="8" t="s">
        <v>37</v>
      </c>
      <c r="I868" s="8" t="s">
        <v>53</v>
      </c>
      <c r="J868" s="8" t="s">
        <v>59</v>
      </c>
      <c r="K868" s="8" t="s">
        <v>2094</v>
      </c>
      <c r="L868" s="7">
        <v>7606</v>
      </c>
      <c r="M868" s="10" t="str">
        <f t="shared" si="78"/>
        <v>CMI02140500</v>
      </c>
      <c r="N868" s="10" t="str">
        <f t="shared" si="79"/>
        <v>SUM231500</v>
      </c>
      <c r="O868" s="10" t="str">
        <f t="shared" si="80"/>
        <v>E</v>
      </c>
      <c r="P868" s="10" t="str">
        <f t="shared" si="81"/>
        <v>50</v>
      </c>
      <c r="Q868" s="10" t="str">
        <f t="shared" si="82"/>
        <v>ZSUM</v>
      </c>
      <c r="R868" s="10" t="str">
        <f t="shared" si="83"/>
        <v>27112814</v>
      </c>
    </row>
    <row r="869" spans="1:18" ht="38.25" hidden="1" x14ac:dyDescent="0.2">
      <c r="A869" s="21" t="s">
        <v>2093</v>
      </c>
      <c r="B869" s="8" t="s">
        <v>2092</v>
      </c>
      <c r="C869" s="8" t="s">
        <v>40</v>
      </c>
      <c r="D869" s="8" t="s">
        <v>990</v>
      </c>
      <c r="E869" s="8" t="s">
        <v>40</v>
      </c>
      <c r="F869" s="8" t="s">
        <v>39</v>
      </c>
      <c r="G869" s="8" t="s">
        <v>60</v>
      </c>
      <c r="H869" s="8" t="s">
        <v>37</v>
      </c>
      <c r="I869" s="8" t="s">
        <v>53</v>
      </c>
      <c r="J869" s="8" t="s">
        <v>59</v>
      </c>
      <c r="K869" s="8" t="s">
        <v>2091</v>
      </c>
      <c r="L869" s="7">
        <v>7607</v>
      </c>
      <c r="M869" s="10" t="str">
        <f t="shared" si="78"/>
        <v>CMI02090500</v>
      </c>
      <c r="N869" s="10" t="str">
        <f t="shared" si="79"/>
        <v>SUM231200</v>
      </c>
      <c r="O869" s="10" t="str">
        <f t="shared" si="80"/>
        <v>E</v>
      </c>
      <c r="P869" s="10" t="str">
        <f t="shared" si="81"/>
        <v>50</v>
      </c>
      <c r="Q869" s="10" t="str">
        <f t="shared" si="82"/>
        <v>ZSUM</v>
      </c>
      <c r="R869" s="10" t="str">
        <f t="shared" si="83"/>
        <v>27111501</v>
      </c>
    </row>
    <row r="870" spans="1:18" ht="38.25" hidden="1" x14ac:dyDescent="0.2">
      <c r="A870" s="21" t="s">
        <v>2090</v>
      </c>
      <c r="B870" s="8" t="s">
        <v>2089</v>
      </c>
      <c r="C870" s="8" t="s">
        <v>40</v>
      </c>
      <c r="D870" s="8" t="s">
        <v>990</v>
      </c>
      <c r="E870" s="8" t="s">
        <v>40</v>
      </c>
      <c r="F870" s="8" t="s">
        <v>39</v>
      </c>
      <c r="G870" s="8" t="s">
        <v>60</v>
      </c>
      <c r="H870" s="8" t="s">
        <v>37</v>
      </c>
      <c r="I870" s="8" t="s">
        <v>53</v>
      </c>
      <c r="J870" s="8" t="s">
        <v>59</v>
      </c>
      <c r="K870" s="8" t="s">
        <v>2088</v>
      </c>
      <c r="L870" s="7">
        <v>7608</v>
      </c>
      <c r="M870" s="10" t="str">
        <f t="shared" si="78"/>
        <v>CMI02090500</v>
      </c>
      <c r="N870" s="10" t="str">
        <f t="shared" si="79"/>
        <v>SUM231200</v>
      </c>
      <c r="O870" s="10" t="str">
        <f t="shared" si="80"/>
        <v>E</v>
      </c>
      <c r="P870" s="10" t="str">
        <f t="shared" si="81"/>
        <v>50</v>
      </c>
      <c r="Q870" s="10" t="str">
        <f t="shared" si="82"/>
        <v>ZSUM</v>
      </c>
      <c r="R870" s="10" t="str">
        <f t="shared" si="83"/>
        <v>27111914</v>
      </c>
    </row>
    <row r="871" spans="1:18" ht="38.25" hidden="1" x14ac:dyDescent="0.2">
      <c r="A871" s="21" t="s">
        <v>2087</v>
      </c>
      <c r="B871" s="8" t="s">
        <v>2086</v>
      </c>
      <c r="C871" s="8" t="s">
        <v>40</v>
      </c>
      <c r="D871" s="8" t="s">
        <v>990</v>
      </c>
      <c r="E871" s="8" t="s">
        <v>40</v>
      </c>
      <c r="F871" s="8" t="s">
        <v>39</v>
      </c>
      <c r="G871" s="8" t="s">
        <v>85</v>
      </c>
      <c r="H871" s="8" t="s">
        <v>37</v>
      </c>
      <c r="I871" s="8" t="s">
        <v>53</v>
      </c>
      <c r="J871" s="8" t="s">
        <v>59</v>
      </c>
      <c r="K871" s="8" t="s">
        <v>2085</v>
      </c>
      <c r="L871" s="7">
        <v>7609</v>
      </c>
      <c r="M871" s="10" t="str">
        <f t="shared" si="78"/>
        <v>CMI02090500</v>
      </c>
      <c r="N871" s="10" t="str">
        <f t="shared" si="79"/>
        <v>SUM231500</v>
      </c>
      <c r="O871" s="10" t="str">
        <f t="shared" si="80"/>
        <v>E</v>
      </c>
      <c r="P871" s="10" t="str">
        <f t="shared" si="81"/>
        <v>50</v>
      </c>
      <c r="Q871" s="10" t="str">
        <f t="shared" si="82"/>
        <v>ZSUM</v>
      </c>
      <c r="R871" s="10" t="str">
        <f t="shared" si="83"/>
        <v>27111901</v>
      </c>
    </row>
    <row r="872" spans="1:18" ht="38.25" hidden="1" x14ac:dyDescent="0.2">
      <c r="A872" s="21" t="s">
        <v>2084</v>
      </c>
      <c r="B872" s="8" t="s">
        <v>2083</v>
      </c>
      <c r="C872" s="8" t="s">
        <v>40</v>
      </c>
      <c r="D872" s="8" t="s">
        <v>216</v>
      </c>
      <c r="E872" s="8" t="s">
        <v>40</v>
      </c>
      <c r="F872" s="8" t="s">
        <v>39</v>
      </c>
      <c r="G872" s="8" t="s">
        <v>85</v>
      </c>
      <c r="H872" s="8" t="s">
        <v>37</v>
      </c>
      <c r="I872" s="8" t="s">
        <v>53</v>
      </c>
      <c r="J872" s="8" t="s">
        <v>59</v>
      </c>
      <c r="K872" s="8" t="s">
        <v>1127</v>
      </c>
      <c r="L872" s="7">
        <v>7610</v>
      </c>
      <c r="M872" s="10" t="str">
        <f t="shared" si="78"/>
        <v>CMI02140500</v>
      </c>
      <c r="N872" s="10" t="str">
        <f t="shared" si="79"/>
        <v>SUM231500</v>
      </c>
      <c r="O872" s="10" t="str">
        <f t="shared" si="80"/>
        <v>E</v>
      </c>
      <c r="P872" s="10" t="str">
        <f t="shared" si="81"/>
        <v>50</v>
      </c>
      <c r="Q872" s="10" t="str">
        <f t="shared" si="82"/>
        <v>ZSUM</v>
      </c>
      <c r="R872" s="10" t="str">
        <f t="shared" si="83"/>
        <v>27113100</v>
      </c>
    </row>
    <row r="873" spans="1:18" ht="38.25" hidden="1" x14ac:dyDescent="0.2">
      <c r="A873" s="21" t="s">
        <v>2082</v>
      </c>
      <c r="B873" s="8" t="s">
        <v>2081</v>
      </c>
      <c r="C873" s="8" t="s">
        <v>40</v>
      </c>
      <c r="D873" s="8" t="s">
        <v>990</v>
      </c>
      <c r="E873" s="8" t="s">
        <v>40</v>
      </c>
      <c r="F873" s="8" t="s">
        <v>39</v>
      </c>
      <c r="G873" s="8" t="s">
        <v>85</v>
      </c>
      <c r="H873" s="8" t="s">
        <v>37</v>
      </c>
      <c r="I873" s="8" t="s">
        <v>53</v>
      </c>
      <c r="J873" s="8" t="s">
        <v>59</v>
      </c>
      <c r="K873" s="8" t="s">
        <v>2080</v>
      </c>
      <c r="L873" s="7">
        <v>7611</v>
      </c>
      <c r="M873" s="10" t="str">
        <f t="shared" si="78"/>
        <v>CMI02090500</v>
      </c>
      <c r="N873" s="10" t="str">
        <f t="shared" si="79"/>
        <v>SUM231500</v>
      </c>
      <c r="O873" s="10" t="str">
        <f t="shared" si="80"/>
        <v>E</v>
      </c>
      <c r="P873" s="10" t="str">
        <f t="shared" si="81"/>
        <v>50</v>
      </c>
      <c r="Q873" s="10" t="str">
        <f t="shared" si="82"/>
        <v>ZSUM</v>
      </c>
      <c r="R873" s="10" t="str">
        <f t="shared" si="83"/>
        <v>27111518</v>
      </c>
    </row>
    <row r="874" spans="1:18" ht="38.25" hidden="1" x14ac:dyDescent="0.2">
      <c r="A874" s="21" t="s">
        <v>2079</v>
      </c>
      <c r="B874" s="8" t="s">
        <v>2078</v>
      </c>
      <c r="C874" s="8" t="s">
        <v>40</v>
      </c>
      <c r="D874" s="8" t="s">
        <v>990</v>
      </c>
      <c r="E874" s="8" t="s">
        <v>40</v>
      </c>
      <c r="F874" s="8" t="s">
        <v>39</v>
      </c>
      <c r="G874" s="8" t="s">
        <v>85</v>
      </c>
      <c r="H874" s="8" t="s">
        <v>37</v>
      </c>
      <c r="I874" s="8" t="s">
        <v>53</v>
      </c>
      <c r="J874" s="8" t="s">
        <v>59</v>
      </c>
      <c r="K874" s="8" t="s">
        <v>2077</v>
      </c>
      <c r="L874" s="7">
        <v>7612</v>
      </c>
      <c r="M874" s="10" t="str">
        <f t="shared" si="78"/>
        <v>CMI02090500</v>
      </c>
      <c r="N874" s="10" t="str">
        <f t="shared" si="79"/>
        <v>SUM231500</v>
      </c>
      <c r="O874" s="10" t="str">
        <f t="shared" si="80"/>
        <v>E</v>
      </c>
      <c r="P874" s="10" t="str">
        <f t="shared" si="81"/>
        <v>50</v>
      </c>
      <c r="Q874" s="10" t="str">
        <f t="shared" si="82"/>
        <v>ZSUM</v>
      </c>
      <c r="R874" s="10" t="str">
        <f t="shared" si="83"/>
        <v>23241610</v>
      </c>
    </row>
    <row r="875" spans="1:18" ht="38.25" hidden="1" x14ac:dyDescent="0.2">
      <c r="A875" s="21" t="s">
        <v>2076</v>
      </c>
      <c r="B875" s="8" t="s">
        <v>2075</v>
      </c>
      <c r="C875" s="8" t="s">
        <v>40</v>
      </c>
      <c r="D875" s="8" t="s">
        <v>990</v>
      </c>
      <c r="E875" s="8" t="s">
        <v>40</v>
      </c>
      <c r="F875" s="8" t="s">
        <v>39</v>
      </c>
      <c r="G875" s="8" t="s">
        <v>85</v>
      </c>
      <c r="H875" s="8" t="s">
        <v>37</v>
      </c>
      <c r="I875" s="8" t="s">
        <v>53</v>
      </c>
      <c r="J875" s="8" t="s">
        <v>59</v>
      </c>
      <c r="K875" s="8" t="s">
        <v>2074</v>
      </c>
      <c r="L875" s="7">
        <v>7613</v>
      </c>
      <c r="M875" s="10" t="str">
        <f t="shared" si="78"/>
        <v>CMI02090500</v>
      </c>
      <c r="N875" s="10" t="str">
        <f t="shared" si="79"/>
        <v>SUM231500</v>
      </c>
      <c r="O875" s="10" t="str">
        <f t="shared" si="80"/>
        <v>E</v>
      </c>
      <c r="P875" s="10" t="str">
        <f t="shared" si="81"/>
        <v>50</v>
      </c>
      <c r="Q875" s="10" t="str">
        <f t="shared" si="82"/>
        <v>ZSUM</v>
      </c>
      <c r="R875" s="10" t="str">
        <f t="shared" si="83"/>
        <v>27111512</v>
      </c>
    </row>
    <row r="876" spans="1:18" ht="38.25" hidden="1" x14ac:dyDescent="0.2">
      <c r="A876" s="21" t="s">
        <v>2073</v>
      </c>
      <c r="B876" s="8" t="s">
        <v>2072</v>
      </c>
      <c r="C876" s="8" t="s">
        <v>40</v>
      </c>
      <c r="D876" s="8" t="s">
        <v>990</v>
      </c>
      <c r="E876" s="8" t="s">
        <v>40</v>
      </c>
      <c r="F876" s="8" t="s">
        <v>39</v>
      </c>
      <c r="G876" s="8" t="s">
        <v>85</v>
      </c>
      <c r="H876" s="8" t="s">
        <v>37</v>
      </c>
      <c r="I876" s="8" t="s">
        <v>53</v>
      </c>
      <c r="J876" s="8" t="s">
        <v>59</v>
      </c>
      <c r="K876" s="8" t="s">
        <v>2071</v>
      </c>
      <c r="L876" s="7">
        <v>7614</v>
      </c>
      <c r="M876" s="10" t="str">
        <f t="shared" si="78"/>
        <v>CMI02090500</v>
      </c>
      <c r="N876" s="10" t="str">
        <f t="shared" si="79"/>
        <v>SUM231500</v>
      </c>
      <c r="O876" s="10" t="str">
        <f t="shared" si="80"/>
        <v>E</v>
      </c>
      <c r="P876" s="10" t="str">
        <f t="shared" si="81"/>
        <v>50</v>
      </c>
      <c r="Q876" s="10" t="str">
        <f t="shared" si="82"/>
        <v>ZSUM</v>
      </c>
      <c r="R876" s="10" t="str">
        <f t="shared" si="83"/>
        <v>27111722</v>
      </c>
    </row>
    <row r="877" spans="1:18" ht="25.5" hidden="1" x14ac:dyDescent="0.2">
      <c r="A877" s="21" t="s">
        <v>2070</v>
      </c>
      <c r="B877" s="8" t="s">
        <v>2069</v>
      </c>
      <c r="C877" s="8" t="s">
        <v>40</v>
      </c>
      <c r="D877" s="8" t="s">
        <v>645</v>
      </c>
      <c r="E877" s="8" t="s">
        <v>40</v>
      </c>
      <c r="F877" s="8" t="s">
        <v>39</v>
      </c>
      <c r="G877" s="8" t="s">
        <v>624</v>
      </c>
      <c r="H877" s="8" t="s">
        <v>37</v>
      </c>
      <c r="I877" s="8" t="s">
        <v>53</v>
      </c>
      <c r="J877" s="8" t="s">
        <v>59</v>
      </c>
      <c r="K877" s="8" t="s">
        <v>2068</v>
      </c>
      <c r="L877" s="7">
        <v>7615</v>
      </c>
      <c r="M877" s="10" t="str">
        <f t="shared" si="78"/>
        <v>CMI02140400</v>
      </c>
      <c r="N877" s="10" t="str">
        <f t="shared" si="79"/>
        <v>SUM231400</v>
      </c>
      <c r="O877" s="10" t="str">
        <f t="shared" si="80"/>
        <v>E</v>
      </c>
      <c r="P877" s="10" t="str">
        <f t="shared" si="81"/>
        <v>50</v>
      </c>
      <c r="Q877" s="10" t="str">
        <f t="shared" si="82"/>
        <v>ZSUM</v>
      </c>
      <c r="R877" s="10" t="str">
        <f t="shared" si="83"/>
        <v>23101502</v>
      </c>
    </row>
    <row r="878" spans="1:18" ht="38.25" hidden="1" x14ac:dyDescent="0.2">
      <c r="A878" s="21" t="s">
        <v>2067</v>
      </c>
      <c r="B878" s="8" t="s">
        <v>2066</v>
      </c>
      <c r="C878" s="8" t="s">
        <v>40</v>
      </c>
      <c r="D878" s="8" t="s">
        <v>216</v>
      </c>
      <c r="E878" s="8" t="s">
        <v>40</v>
      </c>
      <c r="F878" s="8" t="s">
        <v>39</v>
      </c>
      <c r="G878" s="8" t="s">
        <v>85</v>
      </c>
      <c r="H878" s="8" t="s">
        <v>37</v>
      </c>
      <c r="I878" s="8" t="s">
        <v>53</v>
      </c>
      <c r="J878" s="8" t="s">
        <v>59</v>
      </c>
      <c r="K878" s="8" t="s">
        <v>2065</v>
      </c>
      <c r="L878" s="7">
        <v>7616</v>
      </c>
      <c r="M878" s="10" t="str">
        <f t="shared" si="78"/>
        <v>CMI02140500</v>
      </c>
      <c r="N878" s="10" t="str">
        <f t="shared" si="79"/>
        <v>SUM231500</v>
      </c>
      <c r="O878" s="10" t="str">
        <f t="shared" si="80"/>
        <v>E</v>
      </c>
      <c r="P878" s="10" t="str">
        <f t="shared" si="81"/>
        <v>50</v>
      </c>
      <c r="Q878" s="10" t="str">
        <f t="shared" si="82"/>
        <v>ZSUM</v>
      </c>
      <c r="R878" s="10" t="str">
        <f t="shared" si="83"/>
        <v>27111709</v>
      </c>
    </row>
    <row r="879" spans="1:18" ht="25.5" hidden="1" x14ac:dyDescent="0.2">
      <c r="A879" s="21" t="s">
        <v>2064</v>
      </c>
      <c r="B879" s="8" t="s">
        <v>2063</v>
      </c>
      <c r="C879" s="8" t="s">
        <v>40</v>
      </c>
      <c r="D879" s="8" t="s">
        <v>216</v>
      </c>
      <c r="E879" s="8" t="s">
        <v>40</v>
      </c>
      <c r="F879" s="8" t="s">
        <v>39</v>
      </c>
      <c r="G879" s="8" t="s">
        <v>85</v>
      </c>
      <c r="H879" s="8" t="s">
        <v>37</v>
      </c>
      <c r="I879" s="8" t="s">
        <v>53</v>
      </c>
      <c r="J879" s="8" t="s">
        <v>59</v>
      </c>
      <c r="K879" s="8" t="s">
        <v>2062</v>
      </c>
      <c r="L879" s="7">
        <v>7617</v>
      </c>
      <c r="M879" s="10" t="str">
        <f t="shared" si="78"/>
        <v>CMI02140500</v>
      </c>
      <c r="N879" s="10" t="str">
        <f t="shared" si="79"/>
        <v>SUM231500</v>
      </c>
      <c r="O879" s="10" t="str">
        <f t="shared" si="80"/>
        <v>E</v>
      </c>
      <c r="P879" s="10" t="str">
        <f t="shared" si="81"/>
        <v>50</v>
      </c>
      <c r="Q879" s="10" t="str">
        <f t="shared" si="82"/>
        <v>ZSUM</v>
      </c>
      <c r="R879" s="10" t="str">
        <f t="shared" si="83"/>
        <v>27111929</v>
      </c>
    </row>
    <row r="880" spans="1:18" ht="25.5" hidden="1" x14ac:dyDescent="0.2">
      <c r="A880" s="21" t="s">
        <v>2061</v>
      </c>
      <c r="B880" s="8" t="s">
        <v>2060</v>
      </c>
      <c r="C880" s="8" t="s">
        <v>40</v>
      </c>
      <c r="D880" s="8" t="s">
        <v>216</v>
      </c>
      <c r="E880" s="8" t="s">
        <v>40</v>
      </c>
      <c r="F880" s="8" t="s">
        <v>39</v>
      </c>
      <c r="G880" s="8" t="s">
        <v>85</v>
      </c>
      <c r="H880" s="8" t="s">
        <v>37</v>
      </c>
      <c r="I880" s="8" t="s">
        <v>53</v>
      </c>
      <c r="J880" s="8" t="s">
        <v>59</v>
      </c>
      <c r="K880" s="8" t="s">
        <v>2059</v>
      </c>
      <c r="L880" s="7">
        <v>7618</v>
      </c>
      <c r="M880" s="10" t="str">
        <f t="shared" si="78"/>
        <v>CMI02140500</v>
      </c>
      <c r="N880" s="10" t="str">
        <f t="shared" si="79"/>
        <v>SUM231500</v>
      </c>
      <c r="O880" s="10" t="str">
        <f t="shared" si="80"/>
        <v>E</v>
      </c>
      <c r="P880" s="10" t="str">
        <f t="shared" si="81"/>
        <v>50</v>
      </c>
      <c r="Q880" s="10" t="str">
        <f t="shared" si="82"/>
        <v>ZSUM</v>
      </c>
      <c r="R880" s="10" t="str">
        <f t="shared" si="83"/>
        <v>27111500</v>
      </c>
    </row>
    <row r="881" spans="1:18" ht="25.5" hidden="1" x14ac:dyDescent="0.2">
      <c r="A881" s="21" t="s">
        <v>2058</v>
      </c>
      <c r="B881" s="8" t="s">
        <v>2057</v>
      </c>
      <c r="C881" s="8" t="s">
        <v>40</v>
      </c>
      <c r="D881" s="8" t="s">
        <v>216</v>
      </c>
      <c r="E881" s="7">
        <v>6</v>
      </c>
      <c r="F881" s="8" t="s">
        <v>39</v>
      </c>
      <c r="G881" s="8" t="s">
        <v>85</v>
      </c>
      <c r="H881" s="8" t="s">
        <v>37</v>
      </c>
      <c r="I881" s="8" t="s">
        <v>53</v>
      </c>
      <c r="J881" s="8" t="s">
        <v>59</v>
      </c>
      <c r="K881" s="8" t="s">
        <v>2056</v>
      </c>
      <c r="L881" s="7">
        <v>7619</v>
      </c>
      <c r="M881" s="10" t="str">
        <f t="shared" si="78"/>
        <v>CMI02140500</v>
      </c>
      <c r="N881" s="10" t="str">
        <f t="shared" si="79"/>
        <v>SUM231500</v>
      </c>
      <c r="O881" s="10" t="str">
        <f t="shared" si="80"/>
        <v>E</v>
      </c>
      <c r="P881" s="10" t="str">
        <f t="shared" si="81"/>
        <v>50</v>
      </c>
      <c r="Q881" s="10" t="str">
        <f t="shared" si="82"/>
        <v>ZSUM</v>
      </c>
      <c r="R881" s="10" t="str">
        <f t="shared" si="83"/>
        <v>27112402</v>
      </c>
    </row>
    <row r="882" spans="1:18" ht="25.5" hidden="1" x14ac:dyDescent="0.2">
      <c r="A882" s="21" t="s">
        <v>2055</v>
      </c>
      <c r="B882" s="8" t="s">
        <v>2054</v>
      </c>
      <c r="C882" s="8" t="s">
        <v>40</v>
      </c>
      <c r="D882" s="8" t="s">
        <v>216</v>
      </c>
      <c r="E882" s="8" t="s">
        <v>40</v>
      </c>
      <c r="F882" s="8" t="s">
        <v>39</v>
      </c>
      <c r="G882" s="8" t="s">
        <v>60</v>
      </c>
      <c r="H882" s="8" t="s">
        <v>37</v>
      </c>
      <c r="I882" s="8" t="s">
        <v>53</v>
      </c>
      <c r="J882" s="8" t="s">
        <v>59</v>
      </c>
      <c r="K882" s="8" t="s">
        <v>215</v>
      </c>
      <c r="L882" s="7">
        <v>7620</v>
      </c>
      <c r="M882" s="10" t="str">
        <f t="shared" si="78"/>
        <v>CMI02140500</v>
      </c>
      <c r="N882" s="10" t="str">
        <f t="shared" si="79"/>
        <v>SUM231200</v>
      </c>
      <c r="O882" s="10" t="str">
        <f t="shared" si="80"/>
        <v>E</v>
      </c>
      <c r="P882" s="10" t="str">
        <f t="shared" si="81"/>
        <v>50</v>
      </c>
      <c r="Q882" s="10" t="str">
        <f t="shared" si="82"/>
        <v>ZSUM</v>
      </c>
      <c r="R882" s="10" t="str">
        <f t="shared" si="83"/>
        <v>27112011</v>
      </c>
    </row>
    <row r="883" spans="1:18" ht="38.25" hidden="1" x14ac:dyDescent="0.2">
      <c r="A883" s="21" t="s">
        <v>2053</v>
      </c>
      <c r="B883" s="8" t="s">
        <v>2052</v>
      </c>
      <c r="C883" s="8" t="s">
        <v>40</v>
      </c>
      <c r="D883" s="8" t="s">
        <v>216</v>
      </c>
      <c r="E883" s="8" t="s">
        <v>40</v>
      </c>
      <c r="F883" s="8" t="s">
        <v>39</v>
      </c>
      <c r="G883" s="8" t="s">
        <v>985</v>
      </c>
      <c r="H883" s="8" t="s">
        <v>37</v>
      </c>
      <c r="I883" s="8" t="s">
        <v>53</v>
      </c>
      <c r="J883" s="8" t="s">
        <v>59</v>
      </c>
      <c r="K883" s="8" t="s">
        <v>660</v>
      </c>
      <c r="L883" s="7">
        <v>7621</v>
      </c>
      <c r="M883" s="10" t="str">
        <f t="shared" si="78"/>
        <v>CMI02140500</v>
      </c>
      <c r="N883" s="10" t="str">
        <f t="shared" si="79"/>
        <v>SUM231600</v>
      </c>
      <c r="O883" s="10" t="str">
        <f t="shared" si="80"/>
        <v>E</v>
      </c>
      <c r="P883" s="10" t="str">
        <f t="shared" si="81"/>
        <v>50</v>
      </c>
      <c r="Q883" s="10" t="str">
        <f t="shared" si="82"/>
        <v>ZSUM</v>
      </c>
      <c r="R883" s="10" t="str">
        <f t="shared" si="83"/>
        <v>27121800</v>
      </c>
    </row>
    <row r="884" spans="1:18" ht="25.5" hidden="1" x14ac:dyDescent="0.2">
      <c r="A884" s="21" t="s">
        <v>2051</v>
      </c>
      <c r="B884" s="8" t="s">
        <v>2050</v>
      </c>
      <c r="C884" s="8" t="s">
        <v>40</v>
      </c>
      <c r="D884" s="8" t="s">
        <v>216</v>
      </c>
      <c r="E884" s="8" t="s">
        <v>40</v>
      </c>
      <c r="F884" s="8" t="s">
        <v>39</v>
      </c>
      <c r="G884" s="8" t="s">
        <v>85</v>
      </c>
      <c r="H884" s="8" t="s">
        <v>37</v>
      </c>
      <c r="I884" s="8" t="s">
        <v>53</v>
      </c>
      <c r="J884" s="8" t="s">
        <v>59</v>
      </c>
      <c r="K884" s="8" t="s">
        <v>2049</v>
      </c>
      <c r="L884" s="7">
        <v>7622</v>
      </c>
      <c r="M884" s="10" t="str">
        <f t="shared" si="78"/>
        <v>CMI02140500</v>
      </c>
      <c r="N884" s="10" t="str">
        <f t="shared" si="79"/>
        <v>SUM231500</v>
      </c>
      <c r="O884" s="10" t="str">
        <f t="shared" si="80"/>
        <v>E</v>
      </c>
      <c r="P884" s="10" t="str">
        <f t="shared" si="81"/>
        <v>50</v>
      </c>
      <c r="Q884" s="10" t="str">
        <f t="shared" si="82"/>
        <v>ZSUM</v>
      </c>
      <c r="R884" s="10" t="str">
        <f t="shared" si="83"/>
        <v>27111504</v>
      </c>
    </row>
    <row r="885" spans="1:18" ht="25.5" hidden="1" x14ac:dyDescent="0.2">
      <c r="A885" s="21" t="s">
        <v>2048</v>
      </c>
      <c r="B885" s="8" t="s">
        <v>2047</v>
      </c>
      <c r="C885" s="8" t="s">
        <v>40</v>
      </c>
      <c r="D885" s="8" t="s">
        <v>216</v>
      </c>
      <c r="E885" s="8" t="s">
        <v>40</v>
      </c>
      <c r="F885" s="8" t="s">
        <v>39</v>
      </c>
      <c r="G885" s="8" t="s">
        <v>85</v>
      </c>
      <c r="H885" s="8" t="s">
        <v>37</v>
      </c>
      <c r="I885" s="8" t="s">
        <v>53</v>
      </c>
      <c r="J885" s="8" t="s">
        <v>59</v>
      </c>
      <c r="K885" s="8" t="s">
        <v>2046</v>
      </c>
      <c r="L885" s="7">
        <v>7623</v>
      </c>
      <c r="M885" s="10" t="str">
        <f t="shared" si="78"/>
        <v>CMI02140500</v>
      </c>
      <c r="N885" s="10" t="str">
        <f t="shared" si="79"/>
        <v>SUM231500</v>
      </c>
      <c r="O885" s="10" t="str">
        <f t="shared" si="80"/>
        <v>E</v>
      </c>
      <c r="P885" s="10" t="str">
        <f t="shared" si="81"/>
        <v>50</v>
      </c>
      <c r="Q885" s="10" t="str">
        <f t="shared" si="82"/>
        <v>ZSUM</v>
      </c>
      <c r="R885" s="10" t="str">
        <f t="shared" si="83"/>
        <v>27112001</v>
      </c>
    </row>
    <row r="886" spans="1:18" ht="25.5" hidden="1" x14ac:dyDescent="0.2">
      <c r="A886" s="21" t="s">
        <v>2045</v>
      </c>
      <c r="B886" s="8" t="s">
        <v>2044</v>
      </c>
      <c r="C886" s="8" t="s">
        <v>40</v>
      </c>
      <c r="D886" s="8" t="s">
        <v>216</v>
      </c>
      <c r="E886" s="8" t="s">
        <v>40</v>
      </c>
      <c r="F886" s="8" t="s">
        <v>39</v>
      </c>
      <c r="G886" s="8" t="s">
        <v>85</v>
      </c>
      <c r="H886" s="8" t="s">
        <v>37</v>
      </c>
      <c r="I886" s="8" t="s">
        <v>53</v>
      </c>
      <c r="J886" s="8" t="s">
        <v>59</v>
      </c>
      <c r="K886" s="8" t="s">
        <v>2043</v>
      </c>
      <c r="L886" s="7">
        <v>7624</v>
      </c>
      <c r="M886" s="10" t="str">
        <f t="shared" si="78"/>
        <v>CMI02140500</v>
      </c>
      <c r="N886" s="10" t="str">
        <f t="shared" si="79"/>
        <v>SUM231500</v>
      </c>
      <c r="O886" s="10" t="str">
        <f t="shared" si="80"/>
        <v>E</v>
      </c>
      <c r="P886" s="10" t="str">
        <f t="shared" si="81"/>
        <v>50</v>
      </c>
      <c r="Q886" s="10" t="str">
        <f t="shared" si="82"/>
        <v>ZSUM</v>
      </c>
      <c r="R886" s="10" t="str">
        <f t="shared" si="83"/>
        <v>27111814</v>
      </c>
    </row>
    <row r="887" spans="1:18" ht="25.5" hidden="1" x14ac:dyDescent="0.2">
      <c r="A887" s="21" t="s">
        <v>2042</v>
      </c>
      <c r="B887" s="8" t="s">
        <v>2041</v>
      </c>
      <c r="C887" s="8" t="s">
        <v>40</v>
      </c>
      <c r="D887" s="8" t="s">
        <v>216</v>
      </c>
      <c r="E887" s="8" t="s">
        <v>40</v>
      </c>
      <c r="F887" s="8" t="s">
        <v>39</v>
      </c>
      <c r="G887" s="8" t="s">
        <v>85</v>
      </c>
      <c r="H887" s="8" t="s">
        <v>37</v>
      </c>
      <c r="I887" s="8" t="s">
        <v>53</v>
      </c>
      <c r="J887" s="8" t="s">
        <v>59</v>
      </c>
      <c r="K887" s="8" t="s">
        <v>2040</v>
      </c>
      <c r="L887" s="7">
        <v>7625</v>
      </c>
      <c r="M887" s="10" t="str">
        <f t="shared" si="78"/>
        <v>CMI02140500</v>
      </c>
      <c r="N887" s="10" t="str">
        <f t="shared" si="79"/>
        <v>SUM231500</v>
      </c>
      <c r="O887" s="10" t="str">
        <f t="shared" si="80"/>
        <v>E</v>
      </c>
      <c r="P887" s="10" t="str">
        <f t="shared" si="81"/>
        <v>50</v>
      </c>
      <c r="Q887" s="10" t="str">
        <f t="shared" si="82"/>
        <v>ZSUM</v>
      </c>
      <c r="R887" s="10" t="str">
        <f t="shared" si="83"/>
        <v>27112117</v>
      </c>
    </row>
    <row r="888" spans="1:18" ht="25.5" hidden="1" x14ac:dyDescent="0.2">
      <c r="A888" s="21" t="s">
        <v>2039</v>
      </c>
      <c r="B888" s="8" t="s">
        <v>2038</v>
      </c>
      <c r="C888" s="8" t="s">
        <v>40</v>
      </c>
      <c r="D888" s="8" t="s">
        <v>216</v>
      </c>
      <c r="E888" s="8" t="s">
        <v>40</v>
      </c>
      <c r="F888" s="8" t="s">
        <v>39</v>
      </c>
      <c r="G888" s="8" t="s">
        <v>85</v>
      </c>
      <c r="H888" s="8" t="s">
        <v>37</v>
      </c>
      <c r="I888" s="8" t="s">
        <v>53</v>
      </c>
      <c r="J888" s="8" t="s">
        <v>59</v>
      </c>
      <c r="K888" s="8" t="s">
        <v>2037</v>
      </c>
      <c r="L888" s="7">
        <v>7626</v>
      </c>
      <c r="M888" s="10" t="str">
        <f t="shared" si="78"/>
        <v>CMI02140500</v>
      </c>
      <c r="N888" s="10" t="str">
        <f t="shared" si="79"/>
        <v>SUM231500</v>
      </c>
      <c r="O888" s="10" t="str">
        <f t="shared" si="80"/>
        <v>E</v>
      </c>
      <c r="P888" s="10" t="str">
        <f t="shared" si="81"/>
        <v>50</v>
      </c>
      <c r="Q888" s="10" t="str">
        <f t="shared" si="82"/>
        <v>ZSUM</v>
      </c>
      <c r="R888" s="10" t="str">
        <f t="shared" si="83"/>
        <v>27111903</v>
      </c>
    </row>
    <row r="889" spans="1:18" ht="25.5" hidden="1" x14ac:dyDescent="0.2">
      <c r="A889" s="21" t="s">
        <v>2036</v>
      </c>
      <c r="B889" s="8" t="s">
        <v>2035</v>
      </c>
      <c r="C889" s="8" t="s">
        <v>40</v>
      </c>
      <c r="D889" s="8" t="s">
        <v>216</v>
      </c>
      <c r="E889" s="8" t="s">
        <v>40</v>
      </c>
      <c r="F889" s="8" t="s">
        <v>39</v>
      </c>
      <c r="G889" s="8" t="s">
        <v>60</v>
      </c>
      <c r="H889" s="8" t="s">
        <v>37</v>
      </c>
      <c r="I889" s="8" t="s">
        <v>53</v>
      </c>
      <c r="J889" s="8" t="s">
        <v>59</v>
      </c>
      <c r="K889" s="8" t="s">
        <v>1220</v>
      </c>
      <c r="L889" s="7">
        <v>7627</v>
      </c>
      <c r="M889" s="10" t="str">
        <f t="shared" si="78"/>
        <v>CMI02140500</v>
      </c>
      <c r="N889" s="10" t="str">
        <f t="shared" si="79"/>
        <v>SUM231200</v>
      </c>
      <c r="O889" s="10" t="str">
        <f t="shared" si="80"/>
        <v>E</v>
      </c>
      <c r="P889" s="10" t="str">
        <f t="shared" si="81"/>
        <v>50</v>
      </c>
      <c r="Q889" s="10" t="str">
        <f t="shared" si="82"/>
        <v>ZSUM</v>
      </c>
      <c r="R889" s="10" t="str">
        <f t="shared" si="83"/>
        <v>47131605</v>
      </c>
    </row>
    <row r="890" spans="1:18" ht="25.5" hidden="1" x14ac:dyDescent="0.2">
      <c r="A890" s="21" t="s">
        <v>2034</v>
      </c>
      <c r="B890" s="8" t="s">
        <v>2033</v>
      </c>
      <c r="C890" s="8" t="s">
        <v>40</v>
      </c>
      <c r="D890" s="8" t="s">
        <v>216</v>
      </c>
      <c r="E890" s="8" t="s">
        <v>40</v>
      </c>
      <c r="F890" s="8" t="s">
        <v>39</v>
      </c>
      <c r="G890" s="8" t="s">
        <v>85</v>
      </c>
      <c r="H890" s="8" t="s">
        <v>37</v>
      </c>
      <c r="I890" s="8" t="s">
        <v>53</v>
      </c>
      <c r="J890" s="8" t="s">
        <v>59</v>
      </c>
      <c r="K890" s="8" t="s">
        <v>2032</v>
      </c>
      <c r="L890" s="7">
        <v>7628</v>
      </c>
      <c r="M890" s="10" t="str">
        <f t="shared" si="78"/>
        <v>CMI02140500</v>
      </c>
      <c r="N890" s="10" t="str">
        <f t="shared" si="79"/>
        <v>SUM231500</v>
      </c>
      <c r="O890" s="10" t="str">
        <f t="shared" si="80"/>
        <v>E</v>
      </c>
      <c r="P890" s="10" t="str">
        <f t="shared" si="81"/>
        <v>50</v>
      </c>
      <c r="Q890" s="10" t="str">
        <f t="shared" si="82"/>
        <v>ZSUM</v>
      </c>
      <c r="R890" s="10" t="str">
        <f t="shared" si="83"/>
        <v>27112113</v>
      </c>
    </row>
    <row r="891" spans="1:18" ht="25.5" hidden="1" x14ac:dyDescent="0.2">
      <c r="A891" s="21" t="s">
        <v>2031</v>
      </c>
      <c r="B891" s="8" t="s">
        <v>2030</v>
      </c>
      <c r="C891" s="8" t="s">
        <v>40</v>
      </c>
      <c r="D891" s="8" t="s">
        <v>216</v>
      </c>
      <c r="E891" s="8" t="s">
        <v>40</v>
      </c>
      <c r="F891" s="8" t="s">
        <v>39</v>
      </c>
      <c r="G891" s="8" t="s">
        <v>85</v>
      </c>
      <c r="H891" s="8" t="s">
        <v>37</v>
      </c>
      <c r="I891" s="8" t="s">
        <v>53</v>
      </c>
      <c r="J891" s="8" t="s">
        <v>59</v>
      </c>
      <c r="K891" s="8" t="s">
        <v>884</v>
      </c>
      <c r="L891" s="7">
        <v>7629</v>
      </c>
      <c r="M891" s="10" t="str">
        <f t="shared" si="78"/>
        <v>CMI02140500</v>
      </c>
      <c r="N891" s="10" t="str">
        <f t="shared" si="79"/>
        <v>SUM231500</v>
      </c>
      <c r="O891" s="10" t="str">
        <f t="shared" si="80"/>
        <v>E</v>
      </c>
      <c r="P891" s="10" t="str">
        <f t="shared" si="81"/>
        <v>50</v>
      </c>
      <c r="Q891" s="10" t="str">
        <f t="shared" si="82"/>
        <v>ZSUM</v>
      </c>
      <c r="R891" s="10" t="str">
        <f t="shared" si="83"/>
        <v>27112100</v>
      </c>
    </row>
    <row r="892" spans="1:18" ht="25.5" hidden="1" x14ac:dyDescent="0.2">
      <c r="A892" s="21" t="s">
        <v>2029</v>
      </c>
      <c r="B892" s="8" t="s">
        <v>2028</v>
      </c>
      <c r="C892" s="8" t="s">
        <v>40</v>
      </c>
      <c r="D892" s="8" t="s">
        <v>216</v>
      </c>
      <c r="E892" s="8" t="s">
        <v>40</v>
      </c>
      <c r="F892" s="8" t="s">
        <v>39</v>
      </c>
      <c r="G892" s="8" t="s">
        <v>85</v>
      </c>
      <c r="H892" s="8" t="s">
        <v>37</v>
      </c>
      <c r="I892" s="8" t="s">
        <v>53</v>
      </c>
      <c r="J892" s="8" t="s">
        <v>59</v>
      </c>
      <c r="K892" s="8" t="s">
        <v>1133</v>
      </c>
      <c r="L892" s="7">
        <v>7630</v>
      </c>
      <c r="M892" s="10" t="str">
        <f t="shared" si="78"/>
        <v>CMI02140500</v>
      </c>
      <c r="N892" s="10" t="str">
        <f t="shared" si="79"/>
        <v>SUM231500</v>
      </c>
      <c r="O892" s="10" t="str">
        <f t="shared" si="80"/>
        <v>E</v>
      </c>
      <c r="P892" s="10" t="str">
        <f t="shared" si="81"/>
        <v>50</v>
      </c>
      <c r="Q892" s="10" t="str">
        <f t="shared" si="82"/>
        <v>ZSUM</v>
      </c>
      <c r="R892" s="10" t="str">
        <f t="shared" si="83"/>
        <v>27112147</v>
      </c>
    </row>
    <row r="893" spans="1:18" ht="25.5" hidden="1" x14ac:dyDescent="0.2">
      <c r="A893" s="21" t="s">
        <v>2027</v>
      </c>
      <c r="B893" s="8" t="s">
        <v>2026</v>
      </c>
      <c r="C893" s="8" t="s">
        <v>40</v>
      </c>
      <c r="D893" s="8" t="s">
        <v>216</v>
      </c>
      <c r="E893" s="8" t="s">
        <v>40</v>
      </c>
      <c r="F893" s="8" t="s">
        <v>39</v>
      </c>
      <c r="G893" s="8" t="s">
        <v>85</v>
      </c>
      <c r="H893" s="8" t="s">
        <v>37</v>
      </c>
      <c r="I893" s="8" t="s">
        <v>53</v>
      </c>
      <c r="J893" s="8" t="s">
        <v>59</v>
      </c>
      <c r="K893" s="8" t="s">
        <v>2025</v>
      </c>
      <c r="L893" s="7">
        <v>7631</v>
      </c>
      <c r="M893" s="10" t="str">
        <f t="shared" si="78"/>
        <v>CMI02140500</v>
      </c>
      <c r="N893" s="10" t="str">
        <f t="shared" si="79"/>
        <v>SUM231500</v>
      </c>
      <c r="O893" s="10" t="str">
        <f t="shared" si="80"/>
        <v>E</v>
      </c>
      <c r="P893" s="10" t="str">
        <f t="shared" si="81"/>
        <v>50</v>
      </c>
      <c r="Q893" s="10" t="str">
        <f t="shared" si="82"/>
        <v>ZSUM</v>
      </c>
      <c r="R893" s="10" t="str">
        <f t="shared" si="83"/>
        <v>27111750</v>
      </c>
    </row>
    <row r="894" spans="1:18" ht="25.5" hidden="1" x14ac:dyDescent="0.2">
      <c r="A894" s="21" t="s">
        <v>2024</v>
      </c>
      <c r="B894" s="8" t="s">
        <v>2023</v>
      </c>
      <c r="C894" s="8" t="s">
        <v>40</v>
      </c>
      <c r="D894" s="8" t="s">
        <v>216</v>
      </c>
      <c r="E894" s="8" t="s">
        <v>40</v>
      </c>
      <c r="F894" s="8" t="s">
        <v>39</v>
      </c>
      <c r="G894" s="8" t="s">
        <v>85</v>
      </c>
      <c r="H894" s="8" t="s">
        <v>37</v>
      </c>
      <c r="I894" s="8" t="s">
        <v>53</v>
      </c>
      <c r="J894" s="8" t="s">
        <v>59</v>
      </c>
      <c r="K894" s="8" t="s">
        <v>2022</v>
      </c>
      <c r="L894" s="7">
        <v>7632</v>
      </c>
      <c r="M894" s="10" t="str">
        <f t="shared" si="78"/>
        <v>CMI02140500</v>
      </c>
      <c r="N894" s="10" t="str">
        <f t="shared" si="79"/>
        <v>SUM231500</v>
      </c>
      <c r="O894" s="10" t="str">
        <f t="shared" si="80"/>
        <v>E</v>
      </c>
      <c r="P894" s="10" t="str">
        <f t="shared" si="81"/>
        <v>50</v>
      </c>
      <c r="Q894" s="10" t="str">
        <f t="shared" si="82"/>
        <v>ZSUM</v>
      </c>
      <c r="R894" s="10" t="str">
        <f t="shared" si="83"/>
        <v>27112125</v>
      </c>
    </row>
    <row r="895" spans="1:18" ht="25.5" hidden="1" x14ac:dyDescent="0.2">
      <c r="A895" s="21" t="s">
        <v>2021</v>
      </c>
      <c r="B895" s="8" t="s">
        <v>2020</v>
      </c>
      <c r="C895" s="8" t="s">
        <v>40</v>
      </c>
      <c r="D895" s="8" t="s">
        <v>216</v>
      </c>
      <c r="E895" s="8" t="s">
        <v>40</v>
      </c>
      <c r="F895" s="8" t="s">
        <v>39</v>
      </c>
      <c r="G895" s="8" t="s">
        <v>624</v>
      </c>
      <c r="H895" s="8" t="s">
        <v>37</v>
      </c>
      <c r="I895" s="8" t="s">
        <v>53</v>
      </c>
      <c r="J895" s="8" t="s">
        <v>59</v>
      </c>
      <c r="K895" s="8" t="s">
        <v>2019</v>
      </c>
      <c r="L895" s="7">
        <v>7633</v>
      </c>
      <c r="M895" s="10" t="str">
        <f t="shared" si="78"/>
        <v>CMI02140500</v>
      </c>
      <c r="N895" s="10" t="str">
        <f t="shared" si="79"/>
        <v>SUM231400</v>
      </c>
      <c r="O895" s="10" t="str">
        <f t="shared" si="80"/>
        <v>E</v>
      </c>
      <c r="P895" s="10" t="str">
        <f t="shared" si="81"/>
        <v>50</v>
      </c>
      <c r="Q895" s="10" t="str">
        <f t="shared" si="82"/>
        <v>ZSUM</v>
      </c>
      <c r="R895" s="10" t="str">
        <f t="shared" si="83"/>
        <v>22101619</v>
      </c>
    </row>
    <row r="896" spans="1:18" ht="25.5" hidden="1" x14ac:dyDescent="0.2">
      <c r="A896" s="21" t="s">
        <v>2018</v>
      </c>
      <c r="B896" s="8" t="s">
        <v>2017</v>
      </c>
      <c r="C896" s="8" t="s">
        <v>40</v>
      </c>
      <c r="D896" s="8" t="s">
        <v>216</v>
      </c>
      <c r="E896" s="8" t="s">
        <v>40</v>
      </c>
      <c r="F896" s="8" t="s">
        <v>39</v>
      </c>
      <c r="G896" s="8" t="s">
        <v>85</v>
      </c>
      <c r="H896" s="8" t="s">
        <v>37</v>
      </c>
      <c r="I896" s="8" t="s">
        <v>53</v>
      </c>
      <c r="J896" s="8" t="s">
        <v>59</v>
      </c>
      <c r="K896" s="8" t="s">
        <v>1297</v>
      </c>
      <c r="L896" s="7">
        <v>7634</v>
      </c>
      <c r="M896" s="10" t="str">
        <f t="shared" si="78"/>
        <v>CMI02140500</v>
      </c>
      <c r="N896" s="10" t="str">
        <f t="shared" si="79"/>
        <v>SUM231500</v>
      </c>
      <c r="O896" s="10" t="str">
        <f t="shared" si="80"/>
        <v>E</v>
      </c>
      <c r="P896" s="10" t="str">
        <f t="shared" si="81"/>
        <v>50</v>
      </c>
      <c r="Q896" s="10" t="str">
        <f t="shared" si="82"/>
        <v>ZSUM</v>
      </c>
      <c r="R896" s="10" t="str">
        <f t="shared" si="83"/>
        <v>27111712</v>
      </c>
    </row>
    <row r="897" spans="1:18" ht="38.25" hidden="1" x14ac:dyDescent="0.2">
      <c r="A897" s="21" t="s">
        <v>2016</v>
      </c>
      <c r="B897" s="8" t="s">
        <v>2015</v>
      </c>
      <c r="C897" s="8" t="s">
        <v>40</v>
      </c>
      <c r="D897" s="8" t="s">
        <v>990</v>
      </c>
      <c r="E897" s="8" t="s">
        <v>40</v>
      </c>
      <c r="F897" s="8" t="s">
        <v>39</v>
      </c>
      <c r="G897" s="8" t="s">
        <v>85</v>
      </c>
      <c r="H897" s="8" t="s">
        <v>37</v>
      </c>
      <c r="I897" s="8" t="s">
        <v>53</v>
      </c>
      <c r="J897" s="8" t="s">
        <v>59</v>
      </c>
      <c r="K897" s="8" t="s">
        <v>2014</v>
      </c>
      <c r="L897" s="7">
        <v>7635</v>
      </c>
      <c r="M897" s="10" t="str">
        <f t="shared" si="78"/>
        <v>CMI02090500</v>
      </c>
      <c r="N897" s="10" t="str">
        <f t="shared" si="79"/>
        <v>SUM231500</v>
      </c>
      <c r="O897" s="10" t="str">
        <f t="shared" si="80"/>
        <v>E</v>
      </c>
      <c r="P897" s="10" t="str">
        <f t="shared" si="81"/>
        <v>50</v>
      </c>
      <c r="Q897" s="10" t="str">
        <f t="shared" si="82"/>
        <v>ZSUM</v>
      </c>
      <c r="R897" s="10" t="str">
        <f t="shared" si="83"/>
        <v>27112804</v>
      </c>
    </row>
    <row r="898" spans="1:18" ht="38.25" hidden="1" x14ac:dyDescent="0.2">
      <c r="A898" s="21" t="s">
        <v>2013</v>
      </c>
      <c r="B898" s="8" t="s">
        <v>2012</v>
      </c>
      <c r="C898" s="8" t="s">
        <v>40</v>
      </c>
      <c r="D898" s="8" t="s">
        <v>216</v>
      </c>
      <c r="E898" s="8" t="s">
        <v>40</v>
      </c>
      <c r="F898" s="8" t="s">
        <v>39</v>
      </c>
      <c r="G898" s="8" t="s">
        <v>624</v>
      </c>
      <c r="H898" s="8" t="s">
        <v>37</v>
      </c>
      <c r="I898" s="8" t="s">
        <v>53</v>
      </c>
      <c r="J898" s="8" t="s">
        <v>59</v>
      </c>
      <c r="K898" s="8" t="s">
        <v>2011</v>
      </c>
      <c r="L898" s="7">
        <v>7636</v>
      </c>
      <c r="M898" s="10" t="str">
        <f t="shared" si="78"/>
        <v>CMI02140500</v>
      </c>
      <c r="N898" s="10" t="str">
        <f t="shared" si="79"/>
        <v>SUM231400</v>
      </c>
      <c r="O898" s="10" t="str">
        <f t="shared" si="80"/>
        <v>E</v>
      </c>
      <c r="P898" s="10" t="str">
        <f t="shared" si="81"/>
        <v>50</v>
      </c>
      <c r="Q898" s="10" t="str">
        <f t="shared" si="82"/>
        <v>ZSUM</v>
      </c>
      <c r="R898" s="10" t="str">
        <f t="shared" si="83"/>
        <v>27112700</v>
      </c>
    </row>
    <row r="899" spans="1:18" ht="25.5" hidden="1" x14ac:dyDescent="0.2">
      <c r="A899" s="21" t="s">
        <v>2010</v>
      </c>
      <c r="B899" s="8" t="s">
        <v>2009</v>
      </c>
      <c r="C899" s="8" t="s">
        <v>40</v>
      </c>
      <c r="D899" s="8" t="s">
        <v>216</v>
      </c>
      <c r="E899" s="8" t="s">
        <v>40</v>
      </c>
      <c r="F899" s="8" t="s">
        <v>39</v>
      </c>
      <c r="G899" s="8" t="s">
        <v>60</v>
      </c>
      <c r="H899" s="8" t="s">
        <v>37</v>
      </c>
      <c r="I899" s="8" t="s">
        <v>53</v>
      </c>
      <c r="J899" s="8" t="s">
        <v>59</v>
      </c>
      <c r="K899" s="8" t="s">
        <v>2008</v>
      </c>
      <c r="L899" s="7">
        <v>7637</v>
      </c>
      <c r="M899" s="10" t="str">
        <f t="shared" ref="M899:M962" si="84">+LEFT(D899,11)</f>
        <v>CMI02140500</v>
      </c>
      <c r="N899" s="10" t="str">
        <f t="shared" ref="N899:N962" si="85">+LEFT(G899,9)</f>
        <v>SUM231200</v>
      </c>
      <c r="O899" s="10" t="str">
        <f t="shared" ref="O899:O962" si="86">+LEFT(H899,1)</f>
        <v>E</v>
      </c>
      <c r="P899" s="10" t="str">
        <f t="shared" ref="P899:P962" si="87">+LEFT(I899,2)</f>
        <v>50</v>
      </c>
      <c r="Q899" s="10" t="str">
        <f t="shared" ref="Q899:Q962" si="88">+LEFT(J899,4)</f>
        <v>ZSUM</v>
      </c>
      <c r="R899" s="10" t="str">
        <f t="shared" ref="R899:R962" si="89">+LEFT(K899,8)</f>
        <v>27112709</v>
      </c>
    </row>
    <row r="900" spans="1:18" ht="25.5" hidden="1" x14ac:dyDescent="0.2">
      <c r="A900" s="21" t="s">
        <v>2007</v>
      </c>
      <c r="B900" s="8" t="s">
        <v>2006</v>
      </c>
      <c r="C900" s="8" t="s">
        <v>40</v>
      </c>
      <c r="D900" s="8" t="s">
        <v>216</v>
      </c>
      <c r="E900" s="8" t="s">
        <v>40</v>
      </c>
      <c r="F900" s="8" t="s">
        <v>39</v>
      </c>
      <c r="G900" s="8" t="s">
        <v>85</v>
      </c>
      <c r="H900" s="8" t="s">
        <v>37</v>
      </c>
      <c r="I900" s="8" t="s">
        <v>53</v>
      </c>
      <c r="J900" s="8" t="s">
        <v>59</v>
      </c>
      <c r="K900" s="8" t="s">
        <v>1096</v>
      </c>
      <c r="L900" s="7">
        <v>7638</v>
      </c>
      <c r="M900" s="10" t="str">
        <f t="shared" si="84"/>
        <v>CMI02140500</v>
      </c>
      <c r="N900" s="10" t="str">
        <f t="shared" si="85"/>
        <v>SUM231500</v>
      </c>
      <c r="O900" s="10" t="str">
        <f t="shared" si="86"/>
        <v>E</v>
      </c>
      <c r="P900" s="10" t="str">
        <f t="shared" si="87"/>
        <v>50</v>
      </c>
      <c r="Q900" s="10" t="str">
        <f t="shared" si="88"/>
        <v>ZSUM</v>
      </c>
      <c r="R900" s="10" t="str">
        <f t="shared" si="89"/>
        <v>27111701</v>
      </c>
    </row>
    <row r="901" spans="1:18" ht="25.5" hidden="1" x14ac:dyDescent="0.2">
      <c r="A901" s="21" t="s">
        <v>2005</v>
      </c>
      <c r="B901" s="8" t="s">
        <v>2004</v>
      </c>
      <c r="C901" s="8" t="s">
        <v>40</v>
      </c>
      <c r="D901" s="8" t="s">
        <v>216</v>
      </c>
      <c r="E901" s="8" t="s">
        <v>40</v>
      </c>
      <c r="F901" s="8" t="s">
        <v>39</v>
      </c>
      <c r="G901" s="8" t="s">
        <v>85</v>
      </c>
      <c r="H901" s="8" t="s">
        <v>37</v>
      </c>
      <c r="I901" s="8" t="s">
        <v>53</v>
      </c>
      <c r="J901" s="8" t="s">
        <v>59</v>
      </c>
      <c r="K901" s="8" t="s">
        <v>2003</v>
      </c>
      <c r="L901" s="7">
        <v>7639</v>
      </c>
      <c r="M901" s="10" t="str">
        <f t="shared" si="84"/>
        <v>CMI02140500</v>
      </c>
      <c r="N901" s="10" t="str">
        <f t="shared" si="85"/>
        <v>SUM231500</v>
      </c>
      <c r="O901" s="10" t="str">
        <f t="shared" si="86"/>
        <v>E</v>
      </c>
      <c r="P901" s="10" t="str">
        <f t="shared" si="87"/>
        <v>50</v>
      </c>
      <c r="Q901" s="10" t="str">
        <f t="shared" si="88"/>
        <v>ZSUM</v>
      </c>
      <c r="R901" s="10" t="str">
        <f t="shared" si="89"/>
        <v>27112303</v>
      </c>
    </row>
    <row r="902" spans="1:18" ht="25.5" hidden="1" x14ac:dyDescent="0.2">
      <c r="A902" s="21" t="s">
        <v>2002</v>
      </c>
      <c r="B902" s="8" t="s">
        <v>2001</v>
      </c>
      <c r="C902" s="8" t="s">
        <v>40</v>
      </c>
      <c r="D902" s="8" t="s">
        <v>256</v>
      </c>
      <c r="E902" s="7">
        <v>6</v>
      </c>
      <c r="F902" s="8" t="s">
        <v>39</v>
      </c>
      <c r="G902" s="8" t="s">
        <v>85</v>
      </c>
      <c r="H902" s="8" t="s">
        <v>37</v>
      </c>
      <c r="I902" s="8" t="s">
        <v>53</v>
      </c>
      <c r="J902" s="8" t="s">
        <v>59</v>
      </c>
      <c r="K902" s="8" t="s">
        <v>1088</v>
      </c>
      <c r="L902" s="7">
        <v>7640</v>
      </c>
      <c r="M902" s="10" t="str">
        <f t="shared" si="84"/>
        <v>CMI02090900</v>
      </c>
      <c r="N902" s="10" t="str">
        <f t="shared" si="85"/>
        <v>SUM231500</v>
      </c>
      <c r="O902" s="10" t="str">
        <f t="shared" si="86"/>
        <v>E</v>
      </c>
      <c r="P902" s="10" t="str">
        <f t="shared" si="87"/>
        <v>50</v>
      </c>
      <c r="Q902" s="10" t="str">
        <f t="shared" si="88"/>
        <v>ZSUM</v>
      </c>
      <c r="R902" s="10" t="str">
        <f t="shared" si="89"/>
        <v>27111704</v>
      </c>
    </row>
    <row r="903" spans="1:18" ht="25.5" hidden="1" x14ac:dyDescent="0.2">
      <c r="A903" s="21" t="s">
        <v>2000</v>
      </c>
      <c r="B903" s="8" t="s">
        <v>1999</v>
      </c>
      <c r="C903" s="8" t="s">
        <v>40</v>
      </c>
      <c r="D903" s="8" t="s">
        <v>363</v>
      </c>
      <c r="E903" s="8" t="s">
        <v>40</v>
      </c>
      <c r="F903" s="8" t="s">
        <v>39</v>
      </c>
      <c r="G903" s="8" t="s">
        <v>85</v>
      </c>
      <c r="H903" s="8" t="s">
        <v>37</v>
      </c>
      <c r="I903" s="8" t="s">
        <v>53</v>
      </c>
      <c r="J903" s="8" t="s">
        <v>59</v>
      </c>
      <c r="K903" s="8" t="s">
        <v>1998</v>
      </c>
      <c r="L903" s="7">
        <v>7641</v>
      </c>
      <c r="M903" s="10" t="str">
        <f t="shared" si="84"/>
        <v>CMI02051300</v>
      </c>
      <c r="N903" s="10" t="str">
        <f t="shared" si="85"/>
        <v>SUM231500</v>
      </c>
      <c r="O903" s="10" t="str">
        <f t="shared" si="86"/>
        <v>E</v>
      </c>
      <c r="P903" s="10" t="str">
        <f t="shared" si="87"/>
        <v>50</v>
      </c>
      <c r="Q903" s="10" t="str">
        <f t="shared" si="88"/>
        <v>ZSUM</v>
      </c>
      <c r="R903" s="10" t="str">
        <f t="shared" si="89"/>
        <v>27112002</v>
      </c>
    </row>
    <row r="904" spans="1:18" ht="25.5" hidden="1" x14ac:dyDescent="0.2">
      <c r="A904" s="21" t="s">
        <v>1997</v>
      </c>
      <c r="B904" s="8" t="s">
        <v>1996</v>
      </c>
      <c r="C904" s="8" t="s">
        <v>40</v>
      </c>
      <c r="D904" s="8" t="s">
        <v>256</v>
      </c>
      <c r="E904" s="7">
        <v>6</v>
      </c>
      <c r="F904" s="8" t="s">
        <v>39</v>
      </c>
      <c r="G904" s="8" t="s">
        <v>85</v>
      </c>
      <c r="H904" s="8" t="s">
        <v>37</v>
      </c>
      <c r="I904" s="8" t="s">
        <v>53</v>
      </c>
      <c r="J904" s="8" t="s">
        <v>59</v>
      </c>
      <c r="K904" s="8" t="s">
        <v>1078</v>
      </c>
      <c r="L904" s="7">
        <v>7642</v>
      </c>
      <c r="M904" s="10" t="str">
        <f t="shared" si="84"/>
        <v>CMI02090900</v>
      </c>
      <c r="N904" s="10" t="str">
        <f t="shared" si="85"/>
        <v>SUM231500</v>
      </c>
      <c r="O904" s="10" t="str">
        <f t="shared" si="86"/>
        <v>E</v>
      </c>
      <c r="P904" s="10" t="str">
        <f t="shared" si="87"/>
        <v>50</v>
      </c>
      <c r="Q904" s="10" t="str">
        <f t="shared" si="88"/>
        <v>ZSUM</v>
      </c>
      <c r="R904" s="10" t="str">
        <f t="shared" si="89"/>
        <v>27112806</v>
      </c>
    </row>
    <row r="905" spans="1:18" ht="25.5" hidden="1" x14ac:dyDescent="0.2">
      <c r="A905" s="21" t="s">
        <v>1995</v>
      </c>
      <c r="B905" s="8" t="s">
        <v>1994</v>
      </c>
      <c r="C905" s="8" t="s">
        <v>40</v>
      </c>
      <c r="D905" s="8" t="s">
        <v>245</v>
      </c>
      <c r="E905" s="8" t="s">
        <v>40</v>
      </c>
      <c r="F905" s="8" t="s">
        <v>39</v>
      </c>
      <c r="G905" s="8" t="s">
        <v>85</v>
      </c>
      <c r="H905" s="8" t="s">
        <v>37</v>
      </c>
      <c r="I905" s="8" t="s">
        <v>53</v>
      </c>
      <c r="J905" s="8" t="s">
        <v>59</v>
      </c>
      <c r="K905" s="8" t="s">
        <v>1993</v>
      </c>
      <c r="L905" s="7">
        <v>7643</v>
      </c>
      <c r="M905" s="10" t="str">
        <f t="shared" si="84"/>
        <v>CMI01020300</v>
      </c>
      <c r="N905" s="10" t="str">
        <f t="shared" si="85"/>
        <v>SUM231500</v>
      </c>
      <c r="O905" s="10" t="str">
        <f t="shared" si="86"/>
        <v>E</v>
      </c>
      <c r="P905" s="10" t="str">
        <f t="shared" si="87"/>
        <v>50</v>
      </c>
      <c r="Q905" s="10" t="str">
        <f t="shared" si="88"/>
        <v>ZSUM</v>
      </c>
      <c r="R905" s="10" t="str">
        <f t="shared" si="89"/>
        <v>23241642</v>
      </c>
    </row>
    <row r="906" spans="1:18" ht="38.25" hidden="1" x14ac:dyDescent="0.2">
      <c r="A906" s="21" t="s">
        <v>1992</v>
      </c>
      <c r="B906" s="8" t="s">
        <v>1991</v>
      </c>
      <c r="C906" s="8" t="s">
        <v>40</v>
      </c>
      <c r="D906" s="8" t="s">
        <v>256</v>
      </c>
      <c r="E906" s="8" t="s">
        <v>40</v>
      </c>
      <c r="F906" s="8" t="s">
        <v>39</v>
      </c>
      <c r="G906" s="8" t="s">
        <v>885</v>
      </c>
      <c r="H906" s="8" t="s">
        <v>37</v>
      </c>
      <c r="I906" s="8" t="s">
        <v>36</v>
      </c>
      <c r="J906" s="8" t="s">
        <v>59</v>
      </c>
      <c r="K906" s="8" t="s">
        <v>1990</v>
      </c>
      <c r="L906" s="7">
        <v>7644</v>
      </c>
      <c r="M906" s="10" t="str">
        <f t="shared" si="84"/>
        <v>CMI02090900</v>
      </c>
      <c r="N906" s="10" t="str">
        <f t="shared" si="85"/>
        <v>SUM231000</v>
      </c>
      <c r="O906" s="10" t="str">
        <f t="shared" si="86"/>
        <v>E</v>
      </c>
      <c r="P906" s="10" t="str">
        <f t="shared" si="87"/>
        <v>10</v>
      </c>
      <c r="Q906" s="10" t="str">
        <f t="shared" si="88"/>
        <v>ZSUM</v>
      </c>
      <c r="R906" s="10" t="str">
        <f t="shared" si="89"/>
        <v>24112401</v>
      </c>
    </row>
    <row r="907" spans="1:18" ht="25.5" hidden="1" x14ac:dyDescent="0.2">
      <c r="A907" s="21" t="s">
        <v>1989</v>
      </c>
      <c r="B907" s="8" t="s">
        <v>1988</v>
      </c>
      <c r="C907" s="8" t="s">
        <v>40</v>
      </c>
      <c r="D907" s="8" t="s">
        <v>256</v>
      </c>
      <c r="E907" s="8" t="s">
        <v>40</v>
      </c>
      <c r="F907" s="8" t="s">
        <v>39</v>
      </c>
      <c r="G907" s="8" t="s">
        <v>60</v>
      </c>
      <c r="H907" s="8" t="s">
        <v>37</v>
      </c>
      <c r="I907" s="8" t="s">
        <v>53</v>
      </c>
      <c r="J907" s="8" t="s">
        <v>59</v>
      </c>
      <c r="K907" s="8" t="s">
        <v>1987</v>
      </c>
      <c r="L907" s="7">
        <v>7645</v>
      </c>
      <c r="M907" s="10" t="str">
        <f t="shared" si="84"/>
        <v>CMI02090900</v>
      </c>
      <c r="N907" s="10" t="str">
        <f t="shared" si="85"/>
        <v>SUM231200</v>
      </c>
      <c r="O907" s="10" t="str">
        <f t="shared" si="86"/>
        <v>E</v>
      </c>
      <c r="P907" s="10" t="str">
        <f t="shared" si="87"/>
        <v>50</v>
      </c>
      <c r="Q907" s="10" t="str">
        <f t="shared" si="88"/>
        <v>ZSUM</v>
      </c>
      <c r="R907" s="10" t="str">
        <f t="shared" si="89"/>
        <v>27112102</v>
      </c>
    </row>
    <row r="908" spans="1:18" ht="25.5" hidden="1" x14ac:dyDescent="0.2">
      <c r="A908" s="21" t="s">
        <v>1986</v>
      </c>
      <c r="B908" s="8" t="s">
        <v>1985</v>
      </c>
      <c r="C908" s="8" t="s">
        <v>40</v>
      </c>
      <c r="D908" s="8" t="s">
        <v>245</v>
      </c>
      <c r="E908" s="8" t="s">
        <v>40</v>
      </c>
      <c r="F908" s="8" t="s">
        <v>39</v>
      </c>
      <c r="G908" s="8" t="s">
        <v>85</v>
      </c>
      <c r="H908" s="8" t="s">
        <v>37</v>
      </c>
      <c r="I908" s="8" t="s">
        <v>53</v>
      </c>
      <c r="J908" s="8" t="s">
        <v>59</v>
      </c>
      <c r="K908" s="8" t="s">
        <v>1984</v>
      </c>
      <c r="L908" s="7">
        <v>7646</v>
      </c>
      <c r="M908" s="10" t="str">
        <f t="shared" si="84"/>
        <v>CMI01020300</v>
      </c>
      <c r="N908" s="10" t="str">
        <f t="shared" si="85"/>
        <v>SUM231500</v>
      </c>
      <c r="O908" s="10" t="str">
        <f t="shared" si="86"/>
        <v>E</v>
      </c>
      <c r="P908" s="10" t="str">
        <f t="shared" si="87"/>
        <v>50</v>
      </c>
      <c r="Q908" s="10" t="str">
        <f t="shared" si="88"/>
        <v>ZSUM</v>
      </c>
      <c r="R908" s="10" t="str">
        <f t="shared" si="89"/>
        <v>27112123</v>
      </c>
    </row>
    <row r="909" spans="1:18" ht="25.5" hidden="1" x14ac:dyDescent="0.2">
      <c r="A909" s="21" t="s">
        <v>1983</v>
      </c>
      <c r="B909" s="8" t="s">
        <v>1982</v>
      </c>
      <c r="C909" s="8" t="s">
        <v>40</v>
      </c>
      <c r="D909" s="8" t="s">
        <v>256</v>
      </c>
      <c r="E909" s="8" t="s">
        <v>40</v>
      </c>
      <c r="F909" s="8" t="s">
        <v>39</v>
      </c>
      <c r="G909" s="8" t="s">
        <v>85</v>
      </c>
      <c r="H909" s="8" t="s">
        <v>37</v>
      </c>
      <c r="I909" s="8" t="s">
        <v>53</v>
      </c>
      <c r="J909" s="8" t="s">
        <v>59</v>
      </c>
      <c r="K909" s="8" t="s">
        <v>1981</v>
      </c>
      <c r="L909" s="7">
        <v>7647</v>
      </c>
      <c r="M909" s="10" t="str">
        <f t="shared" si="84"/>
        <v>CMI02090900</v>
      </c>
      <c r="N909" s="10" t="str">
        <f t="shared" si="85"/>
        <v>SUM231500</v>
      </c>
      <c r="O909" s="10" t="str">
        <f t="shared" si="86"/>
        <v>E</v>
      </c>
      <c r="P909" s="10" t="str">
        <f t="shared" si="87"/>
        <v>50</v>
      </c>
      <c r="Q909" s="10" t="str">
        <f t="shared" si="88"/>
        <v>ZSUM</v>
      </c>
      <c r="R909" s="10" t="str">
        <f t="shared" si="89"/>
        <v>27111707</v>
      </c>
    </row>
    <row r="910" spans="1:18" ht="25.5" hidden="1" x14ac:dyDescent="0.2">
      <c r="A910" s="21" t="s">
        <v>1980</v>
      </c>
      <c r="B910" s="8" t="s">
        <v>1979</v>
      </c>
      <c r="C910" s="8" t="s">
        <v>40</v>
      </c>
      <c r="D910" s="8" t="s">
        <v>256</v>
      </c>
      <c r="E910" s="8" t="s">
        <v>40</v>
      </c>
      <c r="F910" s="8" t="s">
        <v>39</v>
      </c>
      <c r="G910" s="8" t="s">
        <v>85</v>
      </c>
      <c r="H910" s="8" t="s">
        <v>37</v>
      </c>
      <c r="I910" s="8" t="s">
        <v>53</v>
      </c>
      <c r="J910" s="8" t="s">
        <v>59</v>
      </c>
      <c r="K910" s="8" t="s">
        <v>1978</v>
      </c>
      <c r="L910" s="7">
        <v>7648</v>
      </c>
      <c r="M910" s="10" t="str">
        <f t="shared" si="84"/>
        <v>CMI02090900</v>
      </c>
      <c r="N910" s="10" t="str">
        <f t="shared" si="85"/>
        <v>SUM231500</v>
      </c>
      <c r="O910" s="10" t="str">
        <f t="shared" si="86"/>
        <v>E</v>
      </c>
      <c r="P910" s="10" t="str">
        <f t="shared" si="87"/>
        <v>50</v>
      </c>
      <c r="Q910" s="10" t="str">
        <f t="shared" si="88"/>
        <v>ZSUM</v>
      </c>
      <c r="R910" s="10" t="str">
        <f t="shared" si="89"/>
        <v>27111711</v>
      </c>
    </row>
    <row r="911" spans="1:18" ht="25.5" hidden="1" x14ac:dyDescent="0.2">
      <c r="A911" s="21" t="s">
        <v>1977</v>
      </c>
      <c r="B911" s="8" t="s">
        <v>1976</v>
      </c>
      <c r="C911" s="8" t="s">
        <v>40</v>
      </c>
      <c r="D911" s="8" t="s">
        <v>256</v>
      </c>
      <c r="E911" s="8" t="s">
        <v>40</v>
      </c>
      <c r="F911" s="8" t="s">
        <v>39</v>
      </c>
      <c r="G911" s="8" t="s">
        <v>85</v>
      </c>
      <c r="H911" s="8" t="s">
        <v>37</v>
      </c>
      <c r="I911" s="8" t="s">
        <v>53</v>
      </c>
      <c r="J911" s="8" t="s">
        <v>59</v>
      </c>
      <c r="K911" s="8" t="s">
        <v>1975</v>
      </c>
      <c r="L911" s="7">
        <v>7649</v>
      </c>
      <c r="M911" s="10" t="str">
        <f t="shared" si="84"/>
        <v>CMI02090900</v>
      </c>
      <c r="N911" s="10" t="str">
        <f t="shared" si="85"/>
        <v>SUM231500</v>
      </c>
      <c r="O911" s="10" t="str">
        <f t="shared" si="86"/>
        <v>E</v>
      </c>
      <c r="P911" s="10" t="str">
        <f t="shared" si="87"/>
        <v>50</v>
      </c>
      <c r="Q911" s="10" t="str">
        <f t="shared" si="88"/>
        <v>ZSUM</v>
      </c>
      <c r="R911" s="10" t="str">
        <f t="shared" si="89"/>
        <v>27111749</v>
      </c>
    </row>
    <row r="912" spans="1:18" ht="38.25" hidden="1" x14ac:dyDescent="0.2">
      <c r="A912" s="21" t="s">
        <v>1974</v>
      </c>
      <c r="B912" s="8" t="s">
        <v>1973</v>
      </c>
      <c r="C912" s="8" t="s">
        <v>40</v>
      </c>
      <c r="D912" s="8" t="s">
        <v>990</v>
      </c>
      <c r="E912" s="8" t="s">
        <v>40</v>
      </c>
      <c r="F912" s="8" t="s">
        <v>39</v>
      </c>
      <c r="G912" s="8" t="s">
        <v>85</v>
      </c>
      <c r="H912" s="8" t="s">
        <v>37</v>
      </c>
      <c r="I912" s="8" t="s">
        <v>53</v>
      </c>
      <c r="J912" s="8" t="s">
        <v>59</v>
      </c>
      <c r="K912" s="8" t="s">
        <v>1972</v>
      </c>
      <c r="L912" s="7">
        <v>7650</v>
      </c>
      <c r="M912" s="10" t="str">
        <f t="shared" si="84"/>
        <v>CMI02090500</v>
      </c>
      <c r="N912" s="10" t="str">
        <f t="shared" si="85"/>
        <v>SUM231500</v>
      </c>
      <c r="O912" s="10" t="str">
        <f t="shared" si="86"/>
        <v>E</v>
      </c>
      <c r="P912" s="10" t="str">
        <f t="shared" si="87"/>
        <v>50</v>
      </c>
      <c r="Q912" s="10" t="str">
        <f t="shared" si="88"/>
        <v>ZSUM</v>
      </c>
      <c r="R912" s="10" t="str">
        <f t="shared" si="89"/>
        <v>27111720</v>
      </c>
    </row>
    <row r="913" spans="1:18" ht="25.5" hidden="1" x14ac:dyDescent="0.2">
      <c r="A913" s="21" t="s">
        <v>1971</v>
      </c>
      <c r="B913" s="8" t="s">
        <v>1970</v>
      </c>
      <c r="C913" s="8" t="s">
        <v>40</v>
      </c>
      <c r="D913" s="8" t="s">
        <v>256</v>
      </c>
      <c r="E913" s="8" t="s">
        <v>40</v>
      </c>
      <c r="F913" s="8" t="s">
        <v>39</v>
      </c>
      <c r="G913" s="8" t="s">
        <v>85</v>
      </c>
      <c r="H913" s="8" t="s">
        <v>37</v>
      </c>
      <c r="I913" s="8" t="s">
        <v>53</v>
      </c>
      <c r="J913" s="8" t="s">
        <v>59</v>
      </c>
      <c r="K913" s="8" t="s">
        <v>1969</v>
      </c>
      <c r="L913" s="7">
        <v>7651</v>
      </c>
      <c r="M913" s="10" t="str">
        <f t="shared" si="84"/>
        <v>CMI02090900</v>
      </c>
      <c r="N913" s="10" t="str">
        <f t="shared" si="85"/>
        <v>SUM231500</v>
      </c>
      <c r="O913" s="10" t="str">
        <f t="shared" si="86"/>
        <v>E</v>
      </c>
      <c r="P913" s="10" t="str">
        <f t="shared" si="87"/>
        <v>50</v>
      </c>
      <c r="Q913" s="10" t="str">
        <f t="shared" si="88"/>
        <v>ZSUM</v>
      </c>
      <c r="R913" s="10" t="str">
        <f t="shared" si="89"/>
        <v>27111715</v>
      </c>
    </row>
    <row r="914" spans="1:18" ht="25.5" hidden="1" x14ac:dyDescent="0.2">
      <c r="A914" s="21" t="s">
        <v>1968</v>
      </c>
      <c r="B914" s="8" t="s">
        <v>1967</v>
      </c>
      <c r="C914" s="8" t="s">
        <v>40</v>
      </c>
      <c r="D914" s="8" t="s">
        <v>256</v>
      </c>
      <c r="E914" s="8" t="s">
        <v>40</v>
      </c>
      <c r="F914" s="8" t="s">
        <v>39</v>
      </c>
      <c r="G914" s="8" t="s">
        <v>85</v>
      </c>
      <c r="H914" s="8" t="s">
        <v>37</v>
      </c>
      <c r="I914" s="8" t="s">
        <v>53</v>
      </c>
      <c r="J914" s="8" t="s">
        <v>59</v>
      </c>
      <c r="K914" s="8" t="s">
        <v>1032</v>
      </c>
      <c r="L914" s="7">
        <v>7652</v>
      </c>
      <c r="M914" s="10" t="str">
        <f t="shared" si="84"/>
        <v>CMI02090900</v>
      </c>
      <c r="N914" s="10" t="str">
        <f t="shared" si="85"/>
        <v>SUM231500</v>
      </c>
      <c r="O914" s="10" t="str">
        <f t="shared" si="86"/>
        <v>E</v>
      </c>
      <c r="P914" s="10" t="str">
        <f t="shared" si="87"/>
        <v>50</v>
      </c>
      <c r="Q914" s="10" t="str">
        <f t="shared" si="88"/>
        <v>ZSUM</v>
      </c>
      <c r="R914" s="10" t="str">
        <f t="shared" si="89"/>
        <v>27111713</v>
      </c>
    </row>
    <row r="915" spans="1:18" ht="25.5" hidden="1" x14ac:dyDescent="0.2">
      <c r="A915" s="21" t="s">
        <v>1966</v>
      </c>
      <c r="B915" s="8" t="s">
        <v>1965</v>
      </c>
      <c r="C915" s="8" t="s">
        <v>40</v>
      </c>
      <c r="D915" s="8" t="s">
        <v>256</v>
      </c>
      <c r="E915" s="8" t="s">
        <v>40</v>
      </c>
      <c r="F915" s="8" t="s">
        <v>39</v>
      </c>
      <c r="G915" s="8" t="s">
        <v>85</v>
      </c>
      <c r="H915" s="8" t="s">
        <v>37</v>
      </c>
      <c r="I915" s="8" t="s">
        <v>53</v>
      </c>
      <c r="J915" s="8" t="s">
        <v>59</v>
      </c>
      <c r="K915" s="8" t="s">
        <v>1964</v>
      </c>
      <c r="L915" s="7">
        <v>7653</v>
      </c>
      <c r="M915" s="10" t="str">
        <f t="shared" si="84"/>
        <v>CMI02090900</v>
      </c>
      <c r="N915" s="10" t="str">
        <f t="shared" si="85"/>
        <v>SUM231500</v>
      </c>
      <c r="O915" s="10" t="str">
        <f t="shared" si="86"/>
        <v>E</v>
      </c>
      <c r="P915" s="10" t="str">
        <f t="shared" si="87"/>
        <v>50</v>
      </c>
      <c r="Q915" s="10" t="str">
        <f t="shared" si="88"/>
        <v>ZSUM</v>
      </c>
      <c r="R915" s="10" t="str">
        <f t="shared" si="89"/>
        <v>27111710</v>
      </c>
    </row>
    <row r="916" spans="1:18" ht="25.5" hidden="1" x14ac:dyDescent="0.2">
      <c r="A916" s="21" t="s">
        <v>1963</v>
      </c>
      <c r="B916" s="8" t="s">
        <v>1962</v>
      </c>
      <c r="C916" s="8" t="s">
        <v>40</v>
      </c>
      <c r="D916" s="8" t="s">
        <v>256</v>
      </c>
      <c r="E916" s="8" t="s">
        <v>40</v>
      </c>
      <c r="F916" s="8" t="s">
        <v>39</v>
      </c>
      <c r="G916" s="8" t="s">
        <v>631</v>
      </c>
      <c r="H916" s="8" t="s">
        <v>37</v>
      </c>
      <c r="I916" s="8" t="s">
        <v>53</v>
      </c>
      <c r="J916" s="8" t="s">
        <v>59</v>
      </c>
      <c r="K916" s="8" t="s">
        <v>981</v>
      </c>
      <c r="L916" s="7">
        <v>7654</v>
      </c>
      <c r="M916" s="10" t="str">
        <f t="shared" si="84"/>
        <v>CMI02090900</v>
      </c>
      <c r="N916" s="10" t="str">
        <f t="shared" si="85"/>
        <v>SUM231300</v>
      </c>
      <c r="O916" s="10" t="str">
        <f t="shared" si="86"/>
        <v>E</v>
      </c>
      <c r="P916" s="10" t="str">
        <f t="shared" si="87"/>
        <v>50</v>
      </c>
      <c r="Q916" s="10" t="str">
        <f t="shared" si="88"/>
        <v>ZSUM</v>
      </c>
      <c r="R916" s="10" t="str">
        <f t="shared" si="89"/>
        <v>41111621</v>
      </c>
    </row>
    <row r="917" spans="1:18" ht="25.5" hidden="1" x14ac:dyDescent="0.2">
      <c r="A917" s="21" t="s">
        <v>1961</v>
      </c>
      <c r="B917" s="8" t="s">
        <v>1960</v>
      </c>
      <c r="C917" s="8" t="s">
        <v>40</v>
      </c>
      <c r="D917" s="8" t="s">
        <v>256</v>
      </c>
      <c r="E917" s="8" t="s">
        <v>40</v>
      </c>
      <c r="F917" s="8" t="s">
        <v>39</v>
      </c>
      <c r="G917" s="8" t="s">
        <v>85</v>
      </c>
      <c r="H917" s="8" t="s">
        <v>37</v>
      </c>
      <c r="I917" s="8" t="s">
        <v>53</v>
      </c>
      <c r="J917" s="8" t="s">
        <v>59</v>
      </c>
      <c r="K917" s="8" t="s">
        <v>1954</v>
      </c>
      <c r="L917" s="7">
        <v>7655</v>
      </c>
      <c r="M917" s="10" t="str">
        <f t="shared" si="84"/>
        <v>CMI02090900</v>
      </c>
      <c r="N917" s="10" t="str">
        <f t="shared" si="85"/>
        <v>SUM231500</v>
      </c>
      <c r="O917" s="10" t="str">
        <f t="shared" si="86"/>
        <v>E</v>
      </c>
      <c r="P917" s="10" t="str">
        <f t="shared" si="87"/>
        <v>50</v>
      </c>
      <c r="Q917" s="10" t="str">
        <f t="shared" si="88"/>
        <v>ZSUM</v>
      </c>
      <c r="R917" s="10" t="str">
        <f t="shared" si="89"/>
        <v>41111600</v>
      </c>
    </row>
    <row r="918" spans="1:18" ht="38.25" hidden="1" x14ac:dyDescent="0.2">
      <c r="A918" s="21" t="s">
        <v>1959</v>
      </c>
      <c r="B918" s="8" t="s">
        <v>1958</v>
      </c>
      <c r="C918" s="8" t="s">
        <v>40</v>
      </c>
      <c r="D918" s="8" t="s">
        <v>216</v>
      </c>
      <c r="E918" s="8" t="s">
        <v>40</v>
      </c>
      <c r="F918" s="8" t="s">
        <v>39</v>
      </c>
      <c r="G918" s="8" t="s">
        <v>631</v>
      </c>
      <c r="H918" s="8" t="s">
        <v>37</v>
      </c>
      <c r="I918" s="8" t="s">
        <v>53</v>
      </c>
      <c r="J918" s="8" t="s">
        <v>59</v>
      </c>
      <c r="K918" s="8" t="s">
        <v>1957</v>
      </c>
      <c r="L918" s="7">
        <v>7656</v>
      </c>
      <c r="M918" s="10" t="str">
        <f t="shared" si="84"/>
        <v>CMI02140500</v>
      </c>
      <c r="N918" s="10" t="str">
        <f t="shared" si="85"/>
        <v>SUM231300</v>
      </c>
      <c r="O918" s="10" t="str">
        <f t="shared" si="86"/>
        <v>E</v>
      </c>
      <c r="P918" s="10" t="str">
        <f t="shared" si="87"/>
        <v>50</v>
      </c>
      <c r="Q918" s="10" t="str">
        <f t="shared" si="88"/>
        <v>ZSUM</v>
      </c>
      <c r="R918" s="10" t="str">
        <f t="shared" si="89"/>
        <v>41111623</v>
      </c>
    </row>
    <row r="919" spans="1:18" ht="25.5" hidden="1" x14ac:dyDescent="0.2">
      <c r="A919" s="21" t="s">
        <v>1956</v>
      </c>
      <c r="B919" s="8" t="s">
        <v>1955</v>
      </c>
      <c r="C919" s="8" t="s">
        <v>40</v>
      </c>
      <c r="D919" s="8" t="s">
        <v>216</v>
      </c>
      <c r="E919" s="8" t="s">
        <v>40</v>
      </c>
      <c r="F919" s="8" t="s">
        <v>39</v>
      </c>
      <c r="G919" s="8" t="s">
        <v>985</v>
      </c>
      <c r="H919" s="8" t="s">
        <v>37</v>
      </c>
      <c r="I919" s="8" t="s">
        <v>53</v>
      </c>
      <c r="J919" s="8" t="s">
        <v>59</v>
      </c>
      <c r="K919" s="8" t="s">
        <v>1954</v>
      </c>
      <c r="L919" s="7">
        <v>7657</v>
      </c>
      <c r="M919" s="10" t="str">
        <f t="shared" si="84"/>
        <v>CMI02140500</v>
      </c>
      <c r="N919" s="10" t="str">
        <f t="shared" si="85"/>
        <v>SUM231600</v>
      </c>
      <c r="O919" s="10" t="str">
        <f t="shared" si="86"/>
        <v>E</v>
      </c>
      <c r="P919" s="10" t="str">
        <f t="shared" si="87"/>
        <v>50</v>
      </c>
      <c r="Q919" s="10" t="str">
        <f t="shared" si="88"/>
        <v>ZSUM</v>
      </c>
      <c r="R919" s="10" t="str">
        <f t="shared" si="89"/>
        <v>41111600</v>
      </c>
    </row>
    <row r="920" spans="1:18" ht="38.25" hidden="1" x14ac:dyDescent="0.2">
      <c r="A920" s="21" t="s">
        <v>1953</v>
      </c>
      <c r="B920" s="8" t="s">
        <v>1952</v>
      </c>
      <c r="C920" s="8" t="s">
        <v>40</v>
      </c>
      <c r="D920" s="8" t="s">
        <v>55</v>
      </c>
      <c r="E920" s="8" t="s">
        <v>40</v>
      </c>
      <c r="F920" s="8" t="s">
        <v>39</v>
      </c>
      <c r="G920" s="8" t="s">
        <v>85</v>
      </c>
      <c r="H920" s="8" t="s">
        <v>37</v>
      </c>
      <c r="I920" s="8" t="s">
        <v>53</v>
      </c>
      <c r="J920" s="8" t="s">
        <v>59</v>
      </c>
      <c r="K920" s="8" t="s">
        <v>1949</v>
      </c>
      <c r="L920" s="7">
        <v>7658</v>
      </c>
      <c r="M920" s="10" t="str">
        <f t="shared" si="84"/>
        <v>CMI02140300</v>
      </c>
      <c r="N920" s="10" t="str">
        <f t="shared" si="85"/>
        <v>SUM231500</v>
      </c>
      <c r="O920" s="10" t="str">
        <f t="shared" si="86"/>
        <v>E</v>
      </c>
      <c r="P920" s="10" t="str">
        <f t="shared" si="87"/>
        <v>50</v>
      </c>
      <c r="Q920" s="10" t="str">
        <f t="shared" si="88"/>
        <v>ZSUM</v>
      </c>
      <c r="R920" s="10" t="str">
        <f t="shared" si="89"/>
        <v>27111802</v>
      </c>
    </row>
    <row r="921" spans="1:18" ht="38.25" hidden="1" x14ac:dyDescent="0.2">
      <c r="A921" s="21" t="s">
        <v>1951</v>
      </c>
      <c r="B921" s="8" t="s">
        <v>1950</v>
      </c>
      <c r="C921" s="8" t="s">
        <v>40</v>
      </c>
      <c r="D921" s="8" t="s">
        <v>55</v>
      </c>
      <c r="E921" s="8" t="s">
        <v>40</v>
      </c>
      <c r="F921" s="8" t="s">
        <v>39</v>
      </c>
      <c r="G921" s="8" t="s">
        <v>85</v>
      </c>
      <c r="H921" s="8" t="s">
        <v>37</v>
      </c>
      <c r="I921" s="8" t="s">
        <v>53</v>
      </c>
      <c r="J921" s="8" t="s">
        <v>59</v>
      </c>
      <c r="K921" s="8" t="s">
        <v>1949</v>
      </c>
      <c r="L921" s="7">
        <v>7659</v>
      </c>
      <c r="M921" s="10" t="str">
        <f t="shared" si="84"/>
        <v>CMI02140300</v>
      </c>
      <c r="N921" s="10" t="str">
        <f t="shared" si="85"/>
        <v>SUM231500</v>
      </c>
      <c r="O921" s="10" t="str">
        <f t="shared" si="86"/>
        <v>E</v>
      </c>
      <c r="P921" s="10" t="str">
        <f t="shared" si="87"/>
        <v>50</v>
      </c>
      <c r="Q921" s="10" t="str">
        <f t="shared" si="88"/>
        <v>ZSUM</v>
      </c>
      <c r="R921" s="10" t="str">
        <f t="shared" si="89"/>
        <v>27111802</v>
      </c>
    </row>
    <row r="922" spans="1:18" ht="25.5" hidden="1" x14ac:dyDescent="0.2">
      <c r="A922" s="21" t="s">
        <v>1948</v>
      </c>
      <c r="B922" s="8" t="s">
        <v>1947</v>
      </c>
      <c r="C922" s="8" t="s">
        <v>40</v>
      </c>
      <c r="D922" s="8" t="s">
        <v>216</v>
      </c>
      <c r="E922" s="8" t="s">
        <v>40</v>
      </c>
      <c r="F922" s="8" t="s">
        <v>39</v>
      </c>
      <c r="G922" s="8" t="s">
        <v>85</v>
      </c>
      <c r="H922" s="8" t="s">
        <v>37</v>
      </c>
      <c r="I922" s="8" t="s">
        <v>53</v>
      </c>
      <c r="J922" s="8" t="s">
        <v>59</v>
      </c>
      <c r="K922" s="8" t="s">
        <v>1946</v>
      </c>
      <c r="L922" s="7">
        <v>7660</v>
      </c>
      <c r="M922" s="10" t="str">
        <f t="shared" si="84"/>
        <v>CMI02140500</v>
      </c>
      <c r="N922" s="10" t="str">
        <f t="shared" si="85"/>
        <v>SUM231500</v>
      </c>
      <c r="O922" s="10" t="str">
        <f t="shared" si="86"/>
        <v>E</v>
      </c>
      <c r="P922" s="10" t="str">
        <f t="shared" si="87"/>
        <v>50</v>
      </c>
      <c r="Q922" s="10" t="str">
        <f t="shared" si="88"/>
        <v>ZSUM</v>
      </c>
      <c r="R922" s="10" t="str">
        <f t="shared" si="89"/>
        <v>27111804</v>
      </c>
    </row>
    <row r="923" spans="1:18" ht="25.5" hidden="1" x14ac:dyDescent="0.2">
      <c r="A923" s="21" t="s">
        <v>1945</v>
      </c>
      <c r="B923" s="8" t="s">
        <v>1944</v>
      </c>
      <c r="C923" s="8" t="s">
        <v>40</v>
      </c>
      <c r="D923" s="8" t="s">
        <v>216</v>
      </c>
      <c r="E923" s="8" t="s">
        <v>40</v>
      </c>
      <c r="F923" s="8" t="s">
        <v>39</v>
      </c>
      <c r="G923" s="8" t="s">
        <v>85</v>
      </c>
      <c r="H923" s="8" t="s">
        <v>37</v>
      </c>
      <c r="I923" s="8" t="s">
        <v>53</v>
      </c>
      <c r="J923" s="8" t="s">
        <v>59</v>
      </c>
      <c r="K923" s="8" t="s">
        <v>1943</v>
      </c>
      <c r="L923" s="7">
        <v>7661</v>
      </c>
      <c r="M923" s="10" t="str">
        <f t="shared" si="84"/>
        <v>CMI02140500</v>
      </c>
      <c r="N923" s="10" t="str">
        <f t="shared" si="85"/>
        <v>SUM231500</v>
      </c>
      <c r="O923" s="10" t="str">
        <f t="shared" si="86"/>
        <v>E</v>
      </c>
      <c r="P923" s="10" t="str">
        <f t="shared" si="87"/>
        <v>50</v>
      </c>
      <c r="Q923" s="10" t="str">
        <f t="shared" si="88"/>
        <v>ZSUM</v>
      </c>
      <c r="R923" s="10" t="str">
        <f t="shared" si="89"/>
        <v>27111803</v>
      </c>
    </row>
    <row r="924" spans="1:18" ht="25.5" hidden="1" x14ac:dyDescent="0.2">
      <c r="A924" s="21" t="s">
        <v>1942</v>
      </c>
      <c r="B924" s="8" t="s">
        <v>1941</v>
      </c>
      <c r="C924" s="8" t="s">
        <v>40</v>
      </c>
      <c r="D924" s="8" t="s">
        <v>216</v>
      </c>
      <c r="E924" s="8" t="s">
        <v>40</v>
      </c>
      <c r="F924" s="8" t="s">
        <v>39</v>
      </c>
      <c r="G924" s="8" t="s">
        <v>85</v>
      </c>
      <c r="H924" s="8" t="s">
        <v>37</v>
      </c>
      <c r="I924" s="8" t="s">
        <v>53</v>
      </c>
      <c r="J924" s="8" t="s">
        <v>59</v>
      </c>
      <c r="K924" s="8" t="s">
        <v>1940</v>
      </c>
      <c r="L924" s="7">
        <v>7662</v>
      </c>
      <c r="M924" s="10" t="str">
        <f t="shared" si="84"/>
        <v>CMI02140500</v>
      </c>
      <c r="N924" s="10" t="str">
        <f t="shared" si="85"/>
        <v>SUM231500</v>
      </c>
      <c r="O924" s="10" t="str">
        <f t="shared" si="86"/>
        <v>E</v>
      </c>
      <c r="P924" s="10" t="str">
        <f t="shared" si="87"/>
        <v>50</v>
      </c>
      <c r="Q924" s="10" t="str">
        <f t="shared" si="88"/>
        <v>ZSUM</v>
      </c>
      <c r="R924" s="10" t="str">
        <f t="shared" si="89"/>
        <v>41114201</v>
      </c>
    </row>
    <row r="925" spans="1:18" ht="25.5" hidden="1" x14ac:dyDescent="0.2">
      <c r="A925" s="21" t="s">
        <v>1939</v>
      </c>
      <c r="B925" s="8" t="s">
        <v>1938</v>
      </c>
      <c r="C925" s="8" t="s">
        <v>40</v>
      </c>
      <c r="D925" s="8" t="s">
        <v>1082</v>
      </c>
      <c r="E925" s="8" t="s">
        <v>40</v>
      </c>
      <c r="F925" s="8" t="s">
        <v>39</v>
      </c>
      <c r="G925" s="8" t="s">
        <v>60</v>
      </c>
      <c r="H925" s="8" t="s">
        <v>37</v>
      </c>
      <c r="I925" s="8" t="s">
        <v>53</v>
      </c>
      <c r="J925" s="8" t="s">
        <v>59</v>
      </c>
      <c r="K925" s="8" t="s">
        <v>1937</v>
      </c>
      <c r="L925" s="7">
        <v>7663</v>
      </c>
      <c r="M925" s="10" t="str">
        <f t="shared" si="84"/>
        <v>CMI02050500</v>
      </c>
      <c r="N925" s="10" t="str">
        <f t="shared" si="85"/>
        <v>SUM231200</v>
      </c>
      <c r="O925" s="10" t="str">
        <f t="shared" si="86"/>
        <v>E</v>
      </c>
      <c r="P925" s="10" t="str">
        <f t="shared" si="87"/>
        <v>50</v>
      </c>
      <c r="Q925" s="10" t="str">
        <f t="shared" si="88"/>
        <v>ZSUM</v>
      </c>
      <c r="R925" s="10" t="str">
        <f t="shared" si="89"/>
        <v>31162107</v>
      </c>
    </row>
    <row r="926" spans="1:18" ht="25.5" hidden="1" x14ac:dyDescent="0.2">
      <c r="A926" s="21" t="s">
        <v>1936</v>
      </c>
      <c r="B926" s="8" t="s">
        <v>1935</v>
      </c>
      <c r="C926" s="8" t="s">
        <v>40</v>
      </c>
      <c r="D926" s="8" t="s">
        <v>1082</v>
      </c>
      <c r="E926" s="8" t="s">
        <v>40</v>
      </c>
      <c r="F926" s="8" t="s">
        <v>39</v>
      </c>
      <c r="G926" s="8" t="s">
        <v>60</v>
      </c>
      <c r="H926" s="8" t="s">
        <v>37</v>
      </c>
      <c r="I926" s="8" t="s">
        <v>53</v>
      </c>
      <c r="J926" s="8" t="s">
        <v>59</v>
      </c>
      <c r="K926" s="8" t="s">
        <v>1934</v>
      </c>
      <c r="L926" s="7">
        <v>7664</v>
      </c>
      <c r="M926" s="10" t="str">
        <f t="shared" si="84"/>
        <v>CMI02050500</v>
      </c>
      <c r="N926" s="10" t="str">
        <f t="shared" si="85"/>
        <v>SUM231200</v>
      </c>
      <c r="O926" s="10" t="str">
        <f t="shared" si="86"/>
        <v>E</v>
      </c>
      <c r="P926" s="10" t="str">
        <f t="shared" si="87"/>
        <v>50</v>
      </c>
      <c r="Q926" s="10" t="str">
        <f t="shared" si="88"/>
        <v>ZSUM</v>
      </c>
      <c r="R926" s="10" t="str">
        <f t="shared" si="89"/>
        <v>31162103</v>
      </c>
    </row>
    <row r="927" spans="1:18" ht="25.5" hidden="1" x14ac:dyDescent="0.2">
      <c r="A927" s="21" t="s">
        <v>1933</v>
      </c>
      <c r="B927" s="8" t="s">
        <v>1932</v>
      </c>
      <c r="C927" s="8" t="s">
        <v>40</v>
      </c>
      <c r="D927" s="8" t="s">
        <v>645</v>
      </c>
      <c r="E927" s="8" t="s">
        <v>40</v>
      </c>
      <c r="F927" s="8" t="s">
        <v>39</v>
      </c>
      <c r="G927" s="8" t="s">
        <v>60</v>
      </c>
      <c r="H927" s="8" t="s">
        <v>37</v>
      </c>
      <c r="I927" s="8" t="s">
        <v>53</v>
      </c>
      <c r="J927" s="8" t="s">
        <v>59</v>
      </c>
      <c r="K927" s="8" t="s">
        <v>1931</v>
      </c>
      <c r="L927" s="7">
        <v>7665</v>
      </c>
      <c r="M927" s="10" t="str">
        <f t="shared" si="84"/>
        <v>CMI02140400</v>
      </c>
      <c r="N927" s="10" t="str">
        <f t="shared" si="85"/>
        <v>SUM231200</v>
      </c>
      <c r="O927" s="10" t="str">
        <f t="shared" si="86"/>
        <v>E</v>
      </c>
      <c r="P927" s="10" t="str">
        <f t="shared" si="87"/>
        <v>50</v>
      </c>
      <c r="Q927" s="10" t="str">
        <f t="shared" si="88"/>
        <v>ZSUM</v>
      </c>
      <c r="R927" s="10" t="str">
        <f t="shared" si="89"/>
        <v>31191507</v>
      </c>
    </row>
    <row r="928" spans="1:18" ht="25.5" hidden="1" x14ac:dyDescent="0.2">
      <c r="A928" s="21" t="s">
        <v>1930</v>
      </c>
      <c r="B928" s="8" t="s">
        <v>1929</v>
      </c>
      <c r="C928" s="8" t="s">
        <v>40</v>
      </c>
      <c r="D928" s="8" t="s">
        <v>256</v>
      </c>
      <c r="E928" s="8" t="s">
        <v>40</v>
      </c>
      <c r="F928" s="8" t="s">
        <v>39</v>
      </c>
      <c r="G928" s="8" t="s">
        <v>85</v>
      </c>
      <c r="H928" s="8" t="s">
        <v>37</v>
      </c>
      <c r="I928" s="8" t="s">
        <v>53</v>
      </c>
      <c r="J928" s="8" t="s">
        <v>59</v>
      </c>
      <c r="K928" s="8" t="s">
        <v>1928</v>
      </c>
      <c r="L928" s="7">
        <v>7666</v>
      </c>
      <c r="M928" s="10" t="str">
        <f t="shared" si="84"/>
        <v>CMI02090900</v>
      </c>
      <c r="N928" s="10" t="str">
        <f t="shared" si="85"/>
        <v>SUM231500</v>
      </c>
      <c r="O928" s="10" t="str">
        <f t="shared" si="86"/>
        <v>E</v>
      </c>
      <c r="P928" s="10" t="str">
        <f t="shared" si="87"/>
        <v>50</v>
      </c>
      <c r="Q928" s="10" t="str">
        <f t="shared" si="88"/>
        <v>ZSUM</v>
      </c>
      <c r="R928" s="10" t="str">
        <f t="shared" si="89"/>
        <v>31161610</v>
      </c>
    </row>
    <row r="929" spans="1:18" ht="25.5" hidden="1" x14ac:dyDescent="0.2">
      <c r="A929" s="21" t="s">
        <v>1927</v>
      </c>
      <c r="B929" s="8" t="s">
        <v>1926</v>
      </c>
      <c r="C929" s="8" t="s">
        <v>40</v>
      </c>
      <c r="D929" s="8" t="s">
        <v>1082</v>
      </c>
      <c r="E929" s="8" t="s">
        <v>40</v>
      </c>
      <c r="F929" s="8" t="s">
        <v>39</v>
      </c>
      <c r="G929" s="8" t="s">
        <v>60</v>
      </c>
      <c r="H929" s="8" t="s">
        <v>37</v>
      </c>
      <c r="I929" s="8" t="s">
        <v>53</v>
      </c>
      <c r="J929" s="8" t="s">
        <v>59</v>
      </c>
      <c r="K929" s="8" t="s">
        <v>1925</v>
      </c>
      <c r="L929" s="7">
        <v>7667</v>
      </c>
      <c r="M929" s="10" t="str">
        <f t="shared" si="84"/>
        <v>CMI02050500</v>
      </c>
      <c r="N929" s="10" t="str">
        <f t="shared" si="85"/>
        <v>SUM231200</v>
      </c>
      <c r="O929" s="10" t="str">
        <f t="shared" si="86"/>
        <v>E</v>
      </c>
      <c r="P929" s="10" t="str">
        <f t="shared" si="87"/>
        <v>50</v>
      </c>
      <c r="Q929" s="10" t="str">
        <f t="shared" si="88"/>
        <v>ZSUM</v>
      </c>
      <c r="R929" s="10" t="str">
        <f t="shared" si="89"/>
        <v>31162406</v>
      </c>
    </row>
    <row r="930" spans="1:18" ht="38.25" x14ac:dyDescent="0.2">
      <c r="A930" s="21" t="s">
        <v>1924</v>
      </c>
      <c r="B930" s="8" t="s">
        <v>1923</v>
      </c>
      <c r="C930" s="8" t="s">
        <v>40</v>
      </c>
      <c r="D930" s="8" t="s">
        <v>990</v>
      </c>
      <c r="E930" s="8" t="s">
        <v>40</v>
      </c>
      <c r="F930" s="8" t="s">
        <v>39</v>
      </c>
      <c r="G930" s="8" t="s">
        <v>60</v>
      </c>
      <c r="H930" s="8" t="s">
        <v>37</v>
      </c>
      <c r="I930" s="8" t="s">
        <v>53</v>
      </c>
      <c r="J930" s="8" t="s">
        <v>59</v>
      </c>
      <c r="K930" s="8" t="s">
        <v>1922</v>
      </c>
      <c r="L930" s="7">
        <v>7668</v>
      </c>
      <c r="M930" s="10" t="str">
        <f t="shared" si="84"/>
        <v>CMI02090500</v>
      </c>
      <c r="N930" s="10" t="str">
        <f t="shared" si="85"/>
        <v>SUM231200</v>
      </c>
      <c r="O930" s="10" t="str">
        <f t="shared" si="86"/>
        <v>E</v>
      </c>
      <c r="P930" s="10" t="str">
        <f t="shared" si="87"/>
        <v>50</v>
      </c>
      <c r="Q930" s="10" t="str">
        <f t="shared" si="88"/>
        <v>ZSUM</v>
      </c>
      <c r="R930" s="10" t="str">
        <f t="shared" si="89"/>
        <v>31191506</v>
      </c>
    </row>
    <row r="931" spans="1:18" ht="25.5" hidden="1" x14ac:dyDescent="0.2">
      <c r="A931" s="21" t="s">
        <v>1921</v>
      </c>
      <c r="B931" s="8" t="s">
        <v>1920</v>
      </c>
      <c r="C931" s="8" t="s">
        <v>40</v>
      </c>
      <c r="D931" s="8" t="s">
        <v>216</v>
      </c>
      <c r="E931" s="8" t="s">
        <v>40</v>
      </c>
      <c r="F931" s="8" t="s">
        <v>39</v>
      </c>
      <c r="G931" s="8" t="s">
        <v>60</v>
      </c>
      <c r="H931" s="8" t="s">
        <v>37</v>
      </c>
      <c r="I931" s="8" t="s">
        <v>53</v>
      </c>
      <c r="J931" s="8" t="s">
        <v>59</v>
      </c>
      <c r="K931" s="8" t="s">
        <v>1863</v>
      </c>
      <c r="L931" s="7">
        <v>7669</v>
      </c>
      <c r="M931" s="10" t="str">
        <f t="shared" si="84"/>
        <v>CMI02140500</v>
      </c>
      <c r="N931" s="10" t="str">
        <f t="shared" si="85"/>
        <v>SUM231200</v>
      </c>
      <c r="O931" s="10" t="str">
        <f t="shared" si="86"/>
        <v>E</v>
      </c>
      <c r="P931" s="10" t="str">
        <f t="shared" si="87"/>
        <v>50</v>
      </c>
      <c r="Q931" s="10" t="str">
        <f t="shared" si="88"/>
        <v>ZSUM</v>
      </c>
      <c r="R931" s="10" t="str">
        <f t="shared" si="89"/>
        <v>31191510</v>
      </c>
    </row>
    <row r="932" spans="1:18" ht="25.5" hidden="1" x14ac:dyDescent="0.2">
      <c r="A932" s="21" t="s">
        <v>1919</v>
      </c>
      <c r="B932" s="8" t="s">
        <v>1918</v>
      </c>
      <c r="C932" s="8" t="s">
        <v>40</v>
      </c>
      <c r="D932" s="8" t="s">
        <v>321</v>
      </c>
      <c r="E932" s="8" t="s">
        <v>40</v>
      </c>
      <c r="F932" s="8" t="s">
        <v>39</v>
      </c>
      <c r="G932" s="8" t="s">
        <v>60</v>
      </c>
      <c r="H932" s="8" t="s">
        <v>37</v>
      </c>
      <c r="I932" s="8" t="s">
        <v>53</v>
      </c>
      <c r="J932" s="8" t="s">
        <v>59</v>
      </c>
      <c r="K932" s="8" t="s">
        <v>1159</v>
      </c>
      <c r="L932" s="7">
        <v>7670</v>
      </c>
      <c r="M932" s="10" t="str">
        <f t="shared" si="84"/>
        <v>CMI02050100</v>
      </c>
      <c r="N932" s="10" t="str">
        <f t="shared" si="85"/>
        <v>SUM231200</v>
      </c>
      <c r="O932" s="10" t="str">
        <f t="shared" si="86"/>
        <v>E</v>
      </c>
      <c r="P932" s="10" t="str">
        <f t="shared" si="87"/>
        <v>50</v>
      </c>
      <c r="Q932" s="10" t="str">
        <f t="shared" si="88"/>
        <v>ZSUM</v>
      </c>
      <c r="R932" s="10" t="str">
        <f t="shared" si="89"/>
        <v>31162403</v>
      </c>
    </row>
    <row r="933" spans="1:18" ht="25.5" hidden="1" x14ac:dyDescent="0.2">
      <c r="A933" s="21" t="s">
        <v>1917</v>
      </c>
      <c r="B933" s="8" t="s">
        <v>1916</v>
      </c>
      <c r="C933" s="8" t="s">
        <v>40</v>
      </c>
      <c r="D933" s="8" t="s">
        <v>969</v>
      </c>
      <c r="E933" s="8" t="s">
        <v>40</v>
      </c>
      <c r="F933" s="8" t="s">
        <v>39</v>
      </c>
      <c r="G933" s="8" t="s">
        <v>60</v>
      </c>
      <c r="H933" s="8" t="s">
        <v>37</v>
      </c>
      <c r="I933" s="8" t="s">
        <v>53</v>
      </c>
      <c r="J933" s="8" t="s">
        <v>59</v>
      </c>
      <c r="K933" s="8" t="s">
        <v>1915</v>
      </c>
      <c r="L933" s="7">
        <v>7671</v>
      </c>
      <c r="M933" s="10" t="str">
        <f t="shared" si="84"/>
        <v>CMI02051200</v>
      </c>
      <c r="N933" s="10" t="str">
        <f t="shared" si="85"/>
        <v>SUM231200</v>
      </c>
      <c r="O933" s="10" t="str">
        <f t="shared" si="86"/>
        <v>E</v>
      </c>
      <c r="P933" s="10" t="str">
        <f t="shared" si="87"/>
        <v>50</v>
      </c>
      <c r="Q933" s="10" t="str">
        <f t="shared" si="88"/>
        <v>ZSUM</v>
      </c>
      <c r="R933" s="10" t="str">
        <f t="shared" si="89"/>
        <v>31162804</v>
      </c>
    </row>
    <row r="934" spans="1:18" ht="25.5" hidden="1" x14ac:dyDescent="0.2">
      <c r="A934" s="21" t="s">
        <v>1914</v>
      </c>
      <c r="B934" s="8" t="s">
        <v>1913</v>
      </c>
      <c r="C934" s="8" t="s">
        <v>40</v>
      </c>
      <c r="D934" s="8" t="s">
        <v>216</v>
      </c>
      <c r="E934" s="8" t="s">
        <v>40</v>
      </c>
      <c r="F934" s="8" t="s">
        <v>39</v>
      </c>
      <c r="G934" s="8" t="s">
        <v>975</v>
      </c>
      <c r="H934" s="8" t="s">
        <v>37</v>
      </c>
      <c r="I934" s="8" t="s">
        <v>53</v>
      </c>
      <c r="J934" s="8" t="s">
        <v>59</v>
      </c>
      <c r="K934" s="8" t="s">
        <v>1912</v>
      </c>
      <c r="L934" s="7">
        <v>7672</v>
      </c>
      <c r="M934" s="10" t="str">
        <f t="shared" si="84"/>
        <v>CMI02140500</v>
      </c>
      <c r="N934" s="10" t="str">
        <f t="shared" si="85"/>
        <v>SUM231100</v>
      </c>
      <c r="O934" s="10" t="str">
        <f t="shared" si="86"/>
        <v>E</v>
      </c>
      <c r="P934" s="10" t="str">
        <f t="shared" si="87"/>
        <v>50</v>
      </c>
      <c r="Q934" s="10" t="str">
        <f t="shared" si="88"/>
        <v>ZSUM</v>
      </c>
      <c r="R934" s="10" t="str">
        <f t="shared" si="89"/>
        <v>31163207</v>
      </c>
    </row>
    <row r="935" spans="1:18" ht="25.5" hidden="1" x14ac:dyDescent="0.2">
      <c r="A935" s="21" t="s">
        <v>1911</v>
      </c>
      <c r="B935" s="8" t="s">
        <v>1910</v>
      </c>
      <c r="C935" s="8" t="s">
        <v>40</v>
      </c>
      <c r="D935" s="8" t="s">
        <v>216</v>
      </c>
      <c r="E935" s="8" t="s">
        <v>40</v>
      </c>
      <c r="F935" s="8" t="s">
        <v>39</v>
      </c>
      <c r="G935" s="8" t="s">
        <v>85</v>
      </c>
      <c r="H935" s="8" t="s">
        <v>37</v>
      </c>
      <c r="I935" s="8" t="s">
        <v>53</v>
      </c>
      <c r="J935" s="8" t="s">
        <v>59</v>
      </c>
      <c r="K935" s="8" t="s">
        <v>1909</v>
      </c>
      <c r="L935" s="7">
        <v>7673</v>
      </c>
      <c r="M935" s="10" t="str">
        <f t="shared" si="84"/>
        <v>CMI02140500</v>
      </c>
      <c r="N935" s="10" t="str">
        <f t="shared" si="85"/>
        <v>SUM231500</v>
      </c>
      <c r="O935" s="10" t="str">
        <f t="shared" si="86"/>
        <v>E</v>
      </c>
      <c r="P935" s="10" t="str">
        <f t="shared" si="87"/>
        <v>50</v>
      </c>
      <c r="Q935" s="10" t="str">
        <f t="shared" si="88"/>
        <v>ZSUM</v>
      </c>
      <c r="R935" s="10" t="str">
        <f t="shared" si="89"/>
        <v>27111727</v>
      </c>
    </row>
    <row r="936" spans="1:18" ht="25.5" hidden="1" x14ac:dyDescent="0.2">
      <c r="A936" s="21" t="s">
        <v>1908</v>
      </c>
      <c r="B936" s="8" t="s">
        <v>1907</v>
      </c>
      <c r="C936" s="8" t="s">
        <v>40</v>
      </c>
      <c r="D936" s="8" t="s">
        <v>1082</v>
      </c>
      <c r="E936" s="8" t="s">
        <v>40</v>
      </c>
      <c r="F936" s="8" t="s">
        <v>39</v>
      </c>
      <c r="G936" s="8" t="s">
        <v>60</v>
      </c>
      <c r="H936" s="8" t="s">
        <v>37</v>
      </c>
      <c r="I936" s="8" t="s">
        <v>53</v>
      </c>
      <c r="J936" s="8" t="s">
        <v>59</v>
      </c>
      <c r="K936" s="8" t="s">
        <v>1906</v>
      </c>
      <c r="L936" s="7">
        <v>7674</v>
      </c>
      <c r="M936" s="10" t="str">
        <f t="shared" si="84"/>
        <v>CMI02050500</v>
      </c>
      <c r="N936" s="10" t="str">
        <f t="shared" si="85"/>
        <v>SUM231200</v>
      </c>
      <c r="O936" s="10" t="str">
        <f t="shared" si="86"/>
        <v>E</v>
      </c>
      <c r="P936" s="10" t="str">
        <f t="shared" si="87"/>
        <v>50</v>
      </c>
      <c r="Q936" s="10" t="str">
        <f t="shared" si="88"/>
        <v>ZSUM</v>
      </c>
      <c r="R936" s="10" t="str">
        <f t="shared" si="89"/>
        <v>31162004</v>
      </c>
    </row>
    <row r="937" spans="1:18" ht="25.5" hidden="1" x14ac:dyDescent="0.2">
      <c r="A937" s="21" t="s">
        <v>1905</v>
      </c>
      <c r="B937" s="8" t="s">
        <v>1904</v>
      </c>
      <c r="C937" s="8" t="s">
        <v>40</v>
      </c>
      <c r="D937" s="8" t="s">
        <v>1082</v>
      </c>
      <c r="E937" s="8" t="s">
        <v>40</v>
      </c>
      <c r="F937" s="8" t="s">
        <v>39</v>
      </c>
      <c r="G937" s="8" t="s">
        <v>60</v>
      </c>
      <c r="H937" s="8" t="s">
        <v>37</v>
      </c>
      <c r="I937" s="8" t="s">
        <v>53</v>
      </c>
      <c r="J937" s="8" t="s">
        <v>59</v>
      </c>
      <c r="K937" s="8" t="s">
        <v>1903</v>
      </c>
      <c r="L937" s="7">
        <v>7675</v>
      </c>
      <c r="M937" s="10" t="str">
        <f t="shared" si="84"/>
        <v>CMI02050500</v>
      </c>
      <c r="N937" s="10" t="str">
        <f t="shared" si="85"/>
        <v>SUM231200</v>
      </c>
      <c r="O937" s="10" t="str">
        <f t="shared" si="86"/>
        <v>E</v>
      </c>
      <c r="P937" s="10" t="str">
        <f t="shared" si="87"/>
        <v>50</v>
      </c>
      <c r="Q937" s="10" t="str">
        <f t="shared" si="88"/>
        <v>ZSUM</v>
      </c>
      <c r="R937" s="10" t="str">
        <f t="shared" si="89"/>
        <v>31162005</v>
      </c>
    </row>
    <row r="938" spans="1:18" ht="25.5" hidden="1" x14ac:dyDescent="0.2">
      <c r="A938" s="21" t="s">
        <v>1902</v>
      </c>
      <c r="B938" s="8" t="s">
        <v>1901</v>
      </c>
      <c r="C938" s="8" t="s">
        <v>40</v>
      </c>
      <c r="D938" s="8" t="s">
        <v>256</v>
      </c>
      <c r="E938" s="8" t="s">
        <v>40</v>
      </c>
      <c r="F938" s="8" t="s">
        <v>39</v>
      </c>
      <c r="G938" s="8" t="s">
        <v>60</v>
      </c>
      <c r="H938" s="8" t="s">
        <v>37</v>
      </c>
      <c r="I938" s="8" t="s">
        <v>53</v>
      </c>
      <c r="J938" s="8" t="s">
        <v>59</v>
      </c>
      <c r="K938" s="8" t="s">
        <v>1900</v>
      </c>
      <c r="L938" s="7">
        <v>7676</v>
      </c>
      <c r="M938" s="10" t="str">
        <f t="shared" si="84"/>
        <v>CMI02090900</v>
      </c>
      <c r="N938" s="10" t="str">
        <f t="shared" si="85"/>
        <v>SUM231200</v>
      </c>
      <c r="O938" s="10" t="str">
        <f t="shared" si="86"/>
        <v>E</v>
      </c>
      <c r="P938" s="10" t="str">
        <f t="shared" si="87"/>
        <v>50</v>
      </c>
      <c r="Q938" s="10" t="str">
        <f t="shared" si="88"/>
        <v>ZSUM</v>
      </c>
      <c r="R938" s="10" t="str">
        <f t="shared" si="89"/>
        <v>31161711</v>
      </c>
    </row>
    <row r="939" spans="1:18" ht="25.5" hidden="1" x14ac:dyDescent="0.2">
      <c r="A939" s="21" t="s">
        <v>1899</v>
      </c>
      <c r="B939" s="8" t="s">
        <v>1898</v>
      </c>
      <c r="C939" s="8" t="s">
        <v>40</v>
      </c>
      <c r="D939" s="8" t="s">
        <v>216</v>
      </c>
      <c r="E939" s="8" t="s">
        <v>40</v>
      </c>
      <c r="F939" s="8" t="s">
        <v>39</v>
      </c>
      <c r="G939" s="8" t="s">
        <v>60</v>
      </c>
      <c r="H939" s="8" t="s">
        <v>37</v>
      </c>
      <c r="I939" s="8" t="s">
        <v>53</v>
      </c>
      <c r="J939" s="8" t="s">
        <v>59</v>
      </c>
      <c r="K939" s="8" t="s">
        <v>1897</v>
      </c>
      <c r="L939" s="7">
        <v>7677</v>
      </c>
      <c r="M939" s="10" t="str">
        <f t="shared" si="84"/>
        <v>CMI02140500</v>
      </c>
      <c r="N939" s="10" t="str">
        <f t="shared" si="85"/>
        <v>SUM231200</v>
      </c>
      <c r="O939" s="10" t="str">
        <f t="shared" si="86"/>
        <v>E</v>
      </c>
      <c r="P939" s="10" t="str">
        <f t="shared" si="87"/>
        <v>50</v>
      </c>
      <c r="Q939" s="10" t="str">
        <f t="shared" si="88"/>
        <v>ZSUM</v>
      </c>
      <c r="R939" s="10" t="str">
        <f t="shared" si="89"/>
        <v>31191505</v>
      </c>
    </row>
    <row r="940" spans="1:18" ht="25.5" hidden="1" x14ac:dyDescent="0.2">
      <c r="A940" s="21" t="s">
        <v>1896</v>
      </c>
      <c r="B940" s="8" t="s">
        <v>1895</v>
      </c>
      <c r="C940" s="8" t="s">
        <v>40</v>
      </c>
      <c r="D940" s="8" t="s">
        <v>216</v>
      </c>
      <c r="E940" s="8" t="s">
        <v>40</v>
      </c>
      <c r="F940" s="8" t="s">
        <v>39</v>
      </c>
      <c r="G940" s="8" t="s">
        <v>60</v>
      </c>
      <c r="H940" s="8" t="s">
        <v>37</v>
      </c>
      <c r="I940" s="8" t="s">
        <v>53</v>
      </c>
      <c r="J940" s="8" t="s">
        <v>59</v>
      </c>
      <c r="K940" s="8" t="s">
        <v>1894</v>
      </c>
      <c r="L940" s="7">
        <v>7678</v>
      </c>
      <c r="M940" s="10" t="str">
        <f t="shared" si="84"/>
        <v>CMI02140500</v>
      </c>
      <c r="N940" s="10" t="str">
        <f t="shared" si="85"/>
        <v>SUM231200</v>
      </c>
      <c r="O940" s="10" t="str">
        <f t="shared" si="86"/>
        <v>E</v>
      </c>
      <c r="P940" s="10" t="str">
        <f t="shared" si="87"/>
        <v>50</v>
      </c>
      <c r="Q940" s="10" t="str">
        <f t="shared" si="88"/>
        <v>ZSUM</v>
      </c>
      <c r="R940" s="10" t="str">
        <f t="shared" si="89"/>
        <v>31191501</v>
      </c>
    </row>
    <row r="941" spans="1:18" ht="25.5" hidden="1" x14ac:dyDescent="0.2">
      <c r="A941" s="21" t="s">
        <v>1893</v>
      </c>
      <c r="B941" s="8" t="s">
        <v>1892</v>
      </c>
      <c r="C941" s="8" t="s">
        <v>40</v>
      </c>
      <c r="D941" s="8" t="s">
        <v>1082</v>
      </c>
      <c r="E941" s="8" t="s">
        <v>40</v>
      </c>
      <c r="F941" s="8" t="s">
        <v>39</v>
      </c>
      <c r="G941" s="8" t="s">
        <v>60</v>
      </c>
      <c r="H941" s="8" t="s">
        <v>37</v>
      </c>
      <c r="I941" s="8" t="s">
        <v>53</v>
      </c>
      <c r="J941" s="8" t="s">
        <v>59</v>
      </c>
      <c r="K941" s="8" t="s">
        <v>1891</v>
      </c>
      <c r="L941" s="7">
        <v>7679</v>
      </c>
      <c r="M941" s="10" t="str">
        <f t="shared" si="84"/>
        <v>CMI02050500</v>
      </c>
      <c r="N941" s="10" t="str">
        <f t="shared" si="85"/>
        <v>SUM231200</v>
      </c>
      <c r="O941" s="10" t="str">
        <f t="shared" si="86"/>
        <v>E</v>
      </c>
      <c r="P941" s="10" t="str">
        <f t="shared" si="87"/>
        <v>50</v>
      </c>
      <c r="Q941" s="10" t="str">
        <f t="shared" si="88"/>
        <v>ZSUM</v>
      </c>
      <c r="R941" s="10" t="str">
        <f t="shared" si="89"/>
        <v>31162201</v>
      </c>
    </row>
    <row r="942" spans="1:18" ht="25.5" hidden="1" x14ac:dyDescent="0.2">
      <c r="A942" s="21" t="s">
        <v>1890</v>
      </c>
      <c r="B942" s="8" t="s">
        <v>1889</v>
      </c>
      <c r="C942" s="8" t="s">
        <v>40</v>
      </c>
      <c r="D942" s="8" t="s">
        <v>249</v>
      </c>
      <c r="E942" s="8" t="s">
        <v>40</v>
      </c>
      <c r="F942" s="8" t="s">
        <v>39</v>
      </c>
      <c r="G942" s="8" t="s">
        <v>60</v>
      </c>
      <c r="H942" s="8" t="s">
        <v>37</v>
      </c>
      <c r="I942" s="8" t="s">
        <v>53</v>
      </c>
      <c r="J942" s="8" t="s">
        <v>59</v>
      </c>
      <c r="K942" s="8" t="s">
        <v>1888</v>
      </c>
      <c r="L942" s="7">
        <v>7680</v>
      </c>
      <c r="M942" s="10" t="str">
        <f t="shared" si="84"/>
        <v>CMI02090700</v>
      </c>
      <c r="N942" s="10" t="str">
        <f t="shared" si="85"/>
        <v>SUM231200</v>
      </c>
      <c r="O942" s="10" t="str">
        <f t="shared" si="86"/>
        <v>E</v>
      </c>
      <c r="P942" s="10" t="str">
        <f t="shared" si="87"/>
        <v>50</v>
      </c>
      <c r="Q942" s="10" t="str">
        <f t="shared" si="88"/>
        <v>ZSUM</v>
      </c>
      <c r="R942" s="10" t="str">
        <f t="shared" si="89"/>
        <v>31161528</v>
      </c>
    </row>
    <row r="943" spans="1:18" ht="25.5" hidden="1" x14ac:dyDescent="0.2">
      <c r="A943" s="21" t="s">
        <v>1887</v>
      </c>
      <c r="B943" s="8" t="s">
        <v>1886</v>
      </c>
      <c r="C943" s="8" t="s">
        <v>40</v>
      </c>
      <c r="D943" s="8" t="s">
        <v>249</v>
      </c>
      <c r="E943" s="8" t="s">
        <v>40</v>
      </c>
      <c r="F943" s="8" t="s">
        <v>39</v>
      </c>
      <c r="G943" s="8" t="s">
        <v>60</v>
      </c>
      <c r="H943" s="8" t="s">
        <v>37</v>
      </c>
      <c r="I943" s="8" t="s">
        <v>53</v>
      </c>
      <c r="J943" s="8" t="s">
        <v>59</v>
      </c>
      <c r="K943" s="8" t="s">
        <v>1885</v>
      </c>
      <c r="L943" s="7">
        <v>7681</v>
      </c>
      <c r="M943" s="10" t="str">
        <f t="shared" si="84"/>
        <v>CMI02090700</v>
      </c>
      <c r="N943" s="10" t="str">
        <f t="shared" si="85"/>
        <v>SUM231200</v>
      </c>
      <c r="O943" s="10" t="str">
        <f t="shared" si="86"/>
        <v>E</v>
      </c>
      <c r="P943" s="10" t="str">
        <f t="shared" si="87"/>
        <v>50</v>
      </c>
      <c r="Q943" s="10" t="str">
        <f t="shared" si="88"/>
        <v>ZSUM</v>
      </c>
      <c r="R943" s="10" t="str">
        <f t="shared" si="89"/>
        <v>31161507</v>
      </c>
    </row>
    <row r="944" spans="1:18" ht="25.5" hidden="1" x14ac:dyDescent="0.2">
      <c r="A944" s="21" t="s">
        <v>1884</v>
      </c>
      <c r="B944" s="8" t="s">
        <v>1883</v>
      </c>
      <c r="C944" s="8" t="s">
        <v>40</v>
      </c>
      <c r="D944" s="8" t="s">
        <v>1082</v>
      </c>
      <c r="E944" s="8" t="s">
        <v>40</v>
      </c>
      <c r="F944" s="8" t="s">
        <v>39</v>
      </c>
      <c r="G944" s="8" t="s">
        <v>60</v>
      </c>
      <c r="H944" s="8" t="s">
        <v>37</v>
      </c>
      <c r="I944" s="8" t="s">
        <v>53</v>
      </c>
      <c r="J944" s="8" t="s">
        <v>59</v>
      </c>
      <c r="K944" s="8" t="s">
        <v>1882</v>
      </c>
      <c r="L944" s="7">
        <v>7682</v>
      </c>
      <c r="M944" s="10" t="str">
        <f t="shared" si="84"/>
        <v>CMI02050500</v>
      </c>
      <c r="N944" s="10" t="str">
        <f t="shared" si="85"/>
        <v>SUM231200</v>
      </c>
      <c r="O944" s="10" t="str">
        <f t="shared" si="86"/>
        <v>E</v>
      </c>
      <c r="P944" s="10" t="str">
        <f t="shared" si="87"/>
        <v>50</v>
      </c>
      <c r="Q944" s="10" t="str">
        <f t="shared" si="88"/>
        <v>ZSUM</v>
      </c>
      <c r="R944" s="10" t="str">
        <f t="shared" si="89"/>
        <v>31161522</v>
      </c>
    </row>
    <row r="945" spans="1:18" ht="25.5" hidden="1" x14ac:dyDescent="0.2">
      <c r="A945" s="21" t="s">
        <v>1881</v>
      </c>
      <c r="B945" s="8" t="s">
        <v>1880</v>
      </c>
      <c r="C945" s="8" t="s">
        <v>40</v>
      </c>
      <c r="D945" s="8" t="s">
        <v>1082</v>
      </c>
      <c r="E945" s="8" t="s">
        <v>40</v>
      </c>
      <c r="F945" s="8" t="s">
        <v>39</v>
      </c>
      <c r="G945" s="8" t="s">
        <v>60</v>
      </c>
      <c r="H945" s="8" t="s">
        <v>37</v>
      </c>
      <c r="I945" s="8" t="s">
        <v>53</v>
      </c>
      <c r="J945" s="8" t="s">
        <v>59</v>
      </c>
      <c r="K945" s="8" t="s">
        <v>1879</v>
      </c>
      <c r="L945" s="7">
        <v>7683</v>
      </c>
      <c r="M945" s="10" t="str">
        <f t="shared" si="84"/>
        <v>CMI02050500</v>
      </c>
      <c r="N945" s="10" t="str">
        <f t="shared" si="85"/>
        <v>SUM231200</v>
      </c>
      <c r="O945" s="10" t="str">
        <f t="shared" si="86"/>
        <v>E</v>
      </c>
      <c r="P945" s="10" t="str">
        <f t="shared" si="87"/>
        <v>50</v>
      </c>
      <c r="Q945" s="10" t="str">
        <f t="shared" si="88"/>
        <v>ZSUM</v>
      </c>
      <c r="R945" s="10" t="str">
        <f t="shared" si="89"/>
        <v>24141504</v>
      </c>
    </row>
    <row r="946" spans="1:18" ht="25.5" hidden="1" x14ac:dyDescent="0.2">
      <c r="A946" s="21" t="s">
        <v>1878</v>
      </c>
      <c r="B946" s="8" t="s">
        <v>1877</v>
      </c>
      <c r="C946" s="8" t="s">
        <v>40</v>
      </c>
      <c r="D946" s="8" t="s">
        <v>1456</v>
      </c>
      <c r="E946" s="8" t="s">
        <v>40</v>
      </c>
      <c r="F946" s="8" t="s">
        <v>39</v>
      </c>
      <c r="G946" s="8" t="s">
        <v>60</v>
      </c>
      <c r="H946" s="8" t="s">
        <v>37</v>
      </c>
      <c r="I946" s="8" t="s">
        <v>53</v>
      </c>
      <c r="J946" s="8" t="s">
        <v>59</v>
      </c>
      <c r="K946" s="8" t="s">
        <v>1876</v>
      </c>
      <c r="L946" s="7">
        <v>7684</v>
      </c>
      <c r="M946" s="10" t="str">
        <f t="shared" si="84"/>
        <v>CMI03010100</v>
      </c>
      <c r="N946" s="10" t="str">
        <f t="shared" si="85"/>
        <v>SUM231200</v>
      </c>
      <c r="O946" s="10" t="str">
        <f t="shared" si="86"/>
        <v>E</v>
      </c>
      <c r="P946" s="10" t="str">
        <f t="shared" si="87"/>
        <v>50</v>
      </c>
      <c r="Q946" s="10" t="str">
        <f t="shared" si="88"/>
        <v>ZSUM</v>
      </c>
      <c r="R946" s="10" t="str">
        <f t="shared" si="89"/>
        <v>31201612</v>
      </c>
    </row>
    <row r="947" spans="1:18" ht="25.5" hidden="1" x14ac:dyDescent="0.2">
      <c r="A947" s="21" t="s">
        <v>1875</v>
      </c>
      <c r="B947" s="8" t="s">
        <v>1874</v>
      </c>
      <c r="C947" s="8" t="s">
        <v>40</v>
      </c>
      <c r="D947" s="8" t="s">
        <v>249</v>
      </c>
      <c r="E947" s="8" t="s">
        <v>40</v>
      </c>
      <c r="F947" s="8" t="s">
        <v>39</v>
      </c>
      <c r="G947" s="8" t="s">
        <v>60</v>
      </c>
      <c r="H947" s="8" t="s">
        <v>37</v>
      </c>
      <c r="I947" s="8" t="s">
        <v>53</v>
      </c>
      <c r="J947" s="8" t="s">
        <v>59</v>
      </c>
      <c r="K947" s="8" t="s">
        <v>1873</v>
      </c>
      <c r="L947" s="7">
        <v>7685</v>
      </c>
      <c r="M947" s="10" t="str">
        <f t="shared" si="84"/>
        <v>CMI02090700</v>
      </c>
      <c r="N947" s="10" t="str">
        <f t="shared" si="85"/>
        <v>SUM231200</v>
      </c>
      <c r="O947" s="10" t="str">
        <f t="shared" si="86"/>
        <v>E</v>
      </c>
      <c r="P947" s="10" t="str">
        <f t="shared" si="87"/>
        <v>50</v>
      </c>
      <c r="Q947" s="10" t="str">
        <f t="shared" si="88"/>
        <v>ZSUM</v>
      </c>
      <c r="R947" s="10" t="str">
        <f t="shared" si="89"/>
        <v>31161505</v>
      </c>
    </row>
    <row r="948" spans="1:18" ht="25.5" hidden="1" x14ac:dyDescent="0.2">
      <c r="A948" s="21" t="s">
        <v>1872</v>
      </c>
      <c r="B948" s="8" t="s">
        <v>1871</v>
      </c>
      <c r="C948" s="8" t="s">
        <v>40</v>
      </c>
      <c r="D948" s="8" t="s">
        <v>1870</v>
      </c>
      <c r="E948" s="8" t="s">
        <v>40</v>
      </c>
      <c r="F948" s="8" t="s">
        <v>39</v>
      </c>
      <c r="G948" s="8" t="s">
        <v>60</v>
      </c>
      <c r="H948" s="8" t="s">
        <v>37</v>
      </c>
      <c r="I948" s="8" t="s">
        <v>53</v>
      </c>
      <c r="J948" s="8" t="s">
        <v>59</v>
      </c>
      <c r="K948" s="8" t="s">
        <v>1869</v>
      </c>
      <c r="L948" s="7">
        <v>7686</v>
      </c>
      <c r="M948" s="10" t="str">
        <f t="shared" si="84"/>
        <v>CMI03080400</v>
      </c>
      <c r="N948" s="10" t="str">
        <f t="shared" si="85"/>
        <v>SUM231200</v>
      </c>
      <c r="O948" s="10" t="str">
        <f t="shared" si="86"/>
        <v>E</v>
      </c>
      <c r="P948" s="10" t="str">
        <f t="shared" si="87"/>
        <v>50</v>
      </c>
      <c r="Q948" s="10" t="str">
        <f t="shared" si="88"/>
        <v>ZSUM</v>
      </c>
      <c r="R948" s="10" t="str">
        <f t="shared" si="89"/>
        <v>31161903</v>
      </c>
    </row>
    <row r="949" spans="1:18" ht="25.5" hidden="1" x14ac:dyDescent="0.2">
      <c r="A949" s="21" t="s">
        <v>1868</v>
      </c>
      <c r="B949" s="8" t="s">
        <v>1867</v>
      </c>
      <c r="C949" s="8" t="s">
        <v>40</v>
      </c>
      <c r="D949" s="8" t="s">
        <v>1082</v>
      </c>
      <c r="E949" s="8" t="s">
        <v>40</v>
      </c>
      <c r="F949" s="8" t="s">
        <v>39</v>
      </c>
      <c r="G949" s="8" t="s">
        <v>60</v>
      </c>
      <c r="H949" s="8" t="s">
        <v>37</v>
      </c>
      <c r="I949" s="8" t="s">
        <v>53</v>
      </c>
      <c r="J949" s="8" t="s">
        <v>59</v>
      </c>
      <c r="K949" s="8" t="s">
        <v>1866</v>
      </c>
      <c r="L949" s="7">
        <v>7687</v>
      </c>
      <c r="M949" s="10" t="str">
        <f t="shared" si="84"/>
        <v>CMI02050500</v>
      </c>
      <c r="N949" s="10" t="str">
        <f t="shared" si="85"/>
        <v>SUM231200</v>
      </c>
      <c r="O949" s="10" t="str">
        <f t="shared" si="86"/>
        <v>E</v>
      </c>
      <c r="P949" s="10" t="str">
        <f t="shared" si="87"/>
        <v>50</v>
      </c>
      <c r="Q949" s="10" t="str">
        <f t="shared" si="88"/>
        <v>ZSUM</v>
      </c>
      <c r="R949" s="10" t="str">
        <f t="shared" si="89"/>
        <v>31162404</v>
      </c>
    </row>
    <row r="950" spans="1:18" ht="25.5" hidden="1" x14ac:dyDescent="0.2">
      <c r="A950" s="21" t="s">
        <v>1865</v>
      </c>
      <c r="B950" s="8" t="s">
        <v>1864</v>
      </c>
      <c r="C950" s="8" t="s">
        <v>40</v>
      </c>
      <c r="D950" s="8" t="s">
        <v>216</v>
      </c>
      <c r="E950" s="8" t="s">
        <v>40</v>
      </c>
      <c r="F950" s="8" t="s">
        <v>39</v>
      </c>
      <c r="G950" s="8" t="s">
        <v>60</v>
      </c>
      <c r="H950" s="8" t="s">
        <v>37</v>
      </c>
      <c r="I950" s="8" t="s">
        <v>53</v>
      </c>
      <c r="J950" s="8" t="s">
        <v>59</v>
      </c>
      <c r="K950" s="8" t="s">
        <v>1863</v>
      </c>
      <c r="L950" s="7">
        <v>7688</v>
      </c>
      <c r="M950" s="10" t="str">
        <f t="shared" si="84"/>
        <v>CMI02140500</v>
      </c>
      <c r="N950" s="10" t="str">
        <f t="shared" si="85"/>
        <v>SUM231200</v>
      </c>
      <c r="O950" s="10" t="str">
        <f t="shared" si="86"/>
        <v>E</v>
      </c>
      <c r="P950" s="10" t="str">
        <f t="shared" si="87"/>
        <v>50</v>
      </c>
      <c r="Q950" s="10" t="str">
        <f t="shared" si="88"/>
        <v>ZSUM</v>
      </c>
      <c r="R950" s="10" t="str">
        <f t="shared" si="89"/>
        <v>31191510</v>
      </c>
    </row>
    <row r="951" spans="1:18" ht="25.5" hidden="1" x14ac:dyDescent="0.2">
      <c r="A951" s="21" t="s">
        <v>1862</v>
      </c>
      <c r="B951" s="8" t="s">
        <v>1861</v>
      </c>
      <c r="C951" s="8" t="s">
        <v>40</v>
      </c>
      <c r="D951" s="8" t="s">
        <v>249</v>
      </c>
      <c r="E951" s="8" t="s">
        <v>40</v>
      </c>
      <c r="F951" s="8" t="s">
        <v>39</v>
      </c>
      <c r="G951" s="8" t="s">
        <v>60</v>
      </c>
      <c r="H951" s="8" t="s">
        <v>37</v>
      </c>
      <c r="I951" s="8" t="s">
        <v>53</v>
      </c>
      <c r="J951" s="8" t="s">
        <v>59</v>
      </c>
      <c r="K951" s="8" t="s">
        <v>1860</v>
      </c>
      <c r="L951" s="7">
        <v>7689</v>
      </c>
      <c r="M951" s="10" t="str">
        <f t="shared" si="84"/>
        <v>CMI02090700</v>
      </c>
      <c r="N951" s="10" t="str">
        <f t="shared" si="85"/>
        <v>SUM231200</v>
      </c>
      <c r="O951" s="10" t="str">
        <f t="shared" si="86"/>
        <v>E</v>
      </c>
      <c r="P951" s="10" t="str">
        <f t="shared" si="87"/>
        <v>50</v>
      </c>
      <c r="Q951" s="10" t="str">
        <f t="shared" si="88"/>
        <v>ZSUM</v>
      </c>
      <c r="R951" s="10" t="str">
        <f t="shared" si="89"/>
        <v>31161619</v>
      </c>
    </row>
    <row r="952" spans="1:18" ht="25.5" hidden="1" x14ac:dyDescent="0.2">
      <c r="A952" s="21" t="s">
        <v>1859</v>
      </c>
      <c r="B952" s="8" t="s">
        <v>1858</v>
      </c>
      <c r="C952" s="8" t="s">
        <v>40</v>
      </c>
      <c r="D952" s="8" t="s">
        <v>249</v>
      </c>
      <c r="E952" s="7">
        <v>6</v>
      </c>
      <c r="F952" s="8" t="s">
        <v>39</v>
      </c>
      <c r="G952" s="8" t="s">
        <v>60</v>
      </c>
      <c r="H952" s="8" t="s">
        <v>37</v>
      </c>
      <c r="I952" s="8" t="s">
        <v>53</v>
      </c>
      <c r="J952" s="8" t="s">
        <v>59</v>
      </c>
      <c r="K952" s="8" t="s">
        <v>1108</v>
      </c>
      <c r="L952" s="7">
        <v>7690</v>
      </c>
      <c r="M952" s="10" t="str">
        <f t="shared" si="84"/>
        <v>CMI02090700</v>
      </c>
      <c r="N952" s="10" t="str">
        <f t="shared" si="85"/>
        <v>SUM231200</v>
      </c>
      <c r="O952" s="10" t="str">
        <f t="shared" si="86"/>
        <v>E</v>
      </c>
      <c r="P952" s="10" t="str">
        <f t="shared" si="87"/>
        <v>50</v>
      </c>
      <c r="Q952" s="10" t="str">
        <f t="shared" si="88"/>
        <v>ZSUM</v>
      </c>
      <c r="R952" s="10" t="str">
        <f t="shared" si="89"/>
        <v>31161618</v>
      </c>
    </row>
    <row r="953" spans="1:18" ht="25.5" hidden="1" x14ac:dyDescent="0.2">
      <c r="A953" s="21" t="s">
        <v>1857</v>
      </c>
      <c r="B953" s="8" t="s">
        <v>1856</v>
      </c>
      <c r="C953" s="8" t="s">
        <v>40</v>
      </c>
      <c r="D953" s="8" t="s">
        <v>249</v>
      </c>
      <c r="E953" s="8" t="s">
        <v>40</v>
      </c>
      <c r="F953" s="8" t="s">
        <v>39</v>
      </c>
      <c r="G953" s="8" t="s">
        <v>60</v>
      </c>
      <c r="H953" s="8" t="s">
        <v>37</v>
      </c>
      <c r="I953" s="8" t="s">
        <v>53</v>
      </c>
      <c r="J953" s="8" t="s">
        <v>59</v>
      </c>
      <c r="K953" s="8" t="s">
        <v>1855</v>
      </c>
      <c r="L953" s="7">
        <v>7691</v>
      </c>
      <c r="M953" s="10" t="str">
        <f t="shared" si="84"/>
        <v>CMI02090700</v>
      </c>
      <c r="N953" s="10" t="str">
        <f t="shared" si="85"/>
        <v>SUM231200</v>
      </c>
      <c r="O953" s="10" t="str">
        <f t="shared" si="86"/>
        <v>E</v>
      </c>
      <c r="P953" s="10" t="str">
        <f t="shared" si="87"/>
        <v>50</v>
      </c>
      <c r="Q953" s="10" t="str">
        <f t="shared" si="88"/>
        <v>ZSUM</v>
      </c>
      <c r="R953" s="10" t="str">
        <f t="shared" si="89"/>
        <v>31161811</v>
      </c>
    </row>
    <row r="954" spans="1:18" ht="25.5" hidden="1" x14ac:dyDescent="0.2">
      <c r="A954" s="21" t="s">
        <v>1854</v>
      </c>
      <c r="B954" s="8" t="s">
        <v>1853</v>
      </c>
      <c r="C954" s="8" t="s">
        <v>40</v>
      </c>
      <c r="D954" s="8" t="s">
        <v>216</v>
      </c>
      <c r="E954" s="8" t="s">
        <v>40</v>
      </c>
      <c r="F954" s="8" t="s">
        <v>39</v>
      </c>
      <c r="G954" s="8" t="s">
        <v>85</v>
      </c>
      <c r="H954" s="8" t="s">
        <v>37</v>
      </c>
      <c r="I954" s="8" t="s">
        <v>53</v>
      </c>
      <c r="J954" s="8" t="s">
        <v>59</v>
      </c>
      <c r="K954" s="8" t="s">
        <v>1848</v>
      </c>
      <c r="L954" s="7">
        <v>7692</v>
      </c>
      <c r="M954" s="10" t="str">
        <f t="shared" si="84"/>
        <v>CMI02140500</v>
      </c>
      <c r="N954" s="10" t="str">
        <f t="shared" si="85"/>
        <v>SUM231500</v>
      </c>
      <c r="O954" s="10" t="str">
        <f t="shared" si="86"/>
        <v>E</v>
      </c>
      <c r="P954" s="10" t="str">
        <f t="shared" si="87"/>
        <v>50</v>
      </c>
      <c r="Q954" s="10" t="str">
        <f t="shared" si="88"/>
        <v>ZSUM</v>
      </c>
      <c r="R954" s="10" t="str">
        <f t="shared" si="89"/>
        <v>30191501</v>
      </c>
    </row>
    <row r="955" spans="1:18" ht="25.5" hidden="1" x14ac:dyDescent="0.2">
      <c r="A955" s="21" t="s">
        <v>1852</v>
      </c>
      <c r="B955" s="8" t="s">
        <v>1851</v>
      </c>
      <c r="C955" s="8" t="s">
        <v>40</v>
      </c>
      <c r="D955" s="8" t="s">
        <v>216</v>
      </c>
      <c r="E955" s="8" t="s">
        <v>40</v>
      </c>
      <c r="F955" s="8" t="s">
        <v>39</v>
      </c>
      <c r="G955" s="8" t="s">
        <v>85</v>
      </c>
      <c r="H955" s="8" t="s">
        <v>37</v>
      </c>
      <c r="I955" s="8" t="s">
        <v>53</v>
      </c>
      <c r="J955" s="8" t="s">
        <v>59</v>
      </c>
      <c r="K955" s="8" t="s">
        <v>1848</v>
      </c>
      <c r="L955" s="7">
        <v>7693</v>
      </c>
      <c r="M955" s="10" t="str">
        <f t="shared" si="84"/>
        <v>CMI02140500</v>
      </c>
      <c r="N955" s="10" t="str">
        <f t="shared" si="85"/>
        <v>SUM231500</v>
      </c>
      <c r="O955" s="10" t="str">
        <f t="shared" si="86"/>
        <v>E</v>
      </c>
      <c r="P955" s="10" t="str">
        <f t="shared" si="87"/>
        <v>50</v>
      </c>
      <c r="Q955" s="10" t="str">
        <f t="shared" si="88"/>
        <v>ZSUM</v>
      </c>
      <c r="R955" s="10" t="str">
        <f t="shared" si="89"/>
        <v>30191501</v>
      </c>
    </row>
    <row r="956" spans="1:18" ht="25.5" hidden="1" x14ac:dyDescent="0.2">
      <c r="A956" s="21" t="s">
        <v>1850</v>
      </c>
      <c r="B956" s="8" t="s">
        <v>1849</v>
      </c>
      <c r="C956" s="8" t="s">
        <v>40</v>
      </c>
      <c r="D956" s="8" t="s">
        <v>216</v>
      </c>
      <c r="E956" s="8" t="s">
        <v>40</v>
      </c>
      <c r="F956" s="8" t="s">
        <v>39</v>
      </c>
      <c r="G956" s="8" t="s">
        <v>85</v>
      </c>
      <c r="H956" s="8" t="s">
        <v>37</v>
      </c>
      <c r="I956" s="8" t="s">
        <v>53</v>
      </c>
      <c r="J956" s="8" t="s">
        <v>59</v>
      </c>
      <c r="K956" s="8" t="s">
        <v>1848</v>
      </c>
      <c r="L956" s="7">
        <v>7694</v>
      </c>
      <c r="M956" s="10" t="str">
        <f t="shared" si="84"/>
        <v>CMI02140500</v>
      </c>
      <c r="N956" s="10" t="str">
        <f t="shared" si="85"/>
        <v>SUM231500</v>
      </c>
      <c r="O956" s="10" t="str">
        <f t="shared" si="86"/>
        <v>E</v>
      </c>
      <c r="P956" s="10" t="str">
        <f t="shared" si="87"/>
        <v>50</v>
      </c>
      <c r="Q956" s="10" t="str">
        <f t="shared" si="88"/>
        <v>ZSUM</v>
      </c>
      <c r="R956" s="10" t="str">
        <f t="shared" si="89"/>
        <v>30191501</v>
      </c>
    </row>
    <row r="957" spans="1:18" ht="25.5" hidden="1" x14ac:dyDescent="0.2">
      <c r="A957" s="21" t="s">
        <v>1847</v>
      </c>
      <c r="B957" s="8" t="s">
        <v>1846</v>
      </c>
      <c r="C957" s="8" t="s">
        <v>40</v>
      </c>
      <c r="D957" s="8" t="s">
        <v>363</v>
      </c>
      <c r="E957" s="8" t="s">
        <v>40</v>
      </c>
      <c r="F957" s="8" t="s">
        <v>39</v>
      </c>
      <c r="G957" s="8" t="s">
        <v>60</v>
      </c>
      <c r="H957" s="8" t="s">
        <v>37</v>
      </c>
      <c r="I957" s="8" t="s">
        <v>53</v>
      </c>
      <c r="J957" s="8" t="s">
        <v>59</v>
      </c>
      <c r="K957" s="8" t="s">
        <v>1845</v>
      </c>
      <c r="L957" s="7">
        <v>7695</v>
      </c>
      <c r="M957" s="10" t="str">
        <f t="shared" si="84"/>
        <v>CMI02051300</v>
      </c>
      <c r="N957" s="10" t="str">
        <f t="shared" si="85"/>
        <v>SUM231200</v>
      </c>
      <c r="O957" s="10" t="str">
        <f t="shared" si="86"/>
        <v>E</v>
      </c>
      <c r="P957" s="10" t="str">
        <f t="shared" si="87"/>
        <v>50</v>
      </c>
      <c r="Q957" s="10" t="str">
        <f t="shared" si="88"/>
        <v>ZSUM</v>
      </c>
      <c r="R957" s="10" t="str">
        <f t="shared" si="89"/>
        <v>31152002</v>
      </c>
    </row>
    <row r="958" spans="1:18" ht="25.5" hidden="1" x14ac:dyDescent="0.2">
      <c r="A958" s="21" t="s">
        <v>1844</v>
      </c>
      <c r="B958" s="8" t="s">
        <v>1843</v>
      </c>
      <c r="C958" s="8" t="s">
        <v>40</v>
      </c>
      <c r="D958" s="8" t="s">
        <v>363</v>
      </c>
      <c r="E958" s="8" t="s">
        <v>40</v>
      </c>
      <c r="F958" s="8" t="s">
        <v>39</v>
      </c>
      <c r="G958" s="8" t="s">
        <v>60</v>
      </c>
      <c r="H958" s="8" t="s">
        <v>37</v>
      </c>
      <c r="I958" s="8" t="s">
        <v>53</v>
      </c>
      <c r="J958" s="8" t="s">
        <v>59</v>
      </c>
      <c r="K958" s="8" t="s">
        <v>1842</v>
      </c>
      <c r="L958" s="7">
        <v>7696</v>
      </c>
      <c r="M958" s="10" t="str">
        <f t="shared" si="84"/>
        <v>CMI02051300</v>
      </c>
      <c r="N958" s="10" t="str">
        <f t="shared" si="85"/>
        <v>SUM231200</v>
      </c>
      <c r="O958" s="10" t="str">
        <f t="shared" si="86"/>
        <v>E</v>
      </c>
      <c r="P958" s="10" t="str">
        <f t="shared" si="87"/>
        <v>50</v>
      </c>
      <c r="Q958" s="10" t="str">
        <f t="shared" si="88"/>
        <v>ZSUM</v>
      </c>
      <c r="R958" s="10" t="str">
        <f t="shared" si="89"/>
        <v>30171507</v>
      </c>
    </row>
    <row r="959" spans="1:18" ht="25.5" hidden="1" x14ac:dyDescent="0.2">
      <c r="A959" s="21" t="s">
        <v>1841</v>
      </c>
      <c r="B959" s="8" t="s">
        <v>1840</v>
      </c>
      <c r="C959" s="8" t="s">
        <v>40</v>
      </c>
      <c r="D959" s="8" t="s">
        <v>363</v>
      </c>
      <c r="E959" s="8" t="s">
        <v>40</v>
      </c>
      <c r="F959" s="8" t="s">
        <v>39</v>
      </c>
      <c r="G959" s="8" t="s">
        <v>60</v>
      </c>
      <c r="H959" s="8" t="s">
        <v>37</v>
      </c>
      <c r="I959" s="8" t="s">
        <v>53</v>
      </c>
      <c r="J959" s="8" t="s">
        <v>59</v>
      </c>
      <c r="K959" s="8" t="s">
        <v>1839</v>
      </c>
      <c r="L959" s="7">
        <v>7697</v>
      </c>
      <c r="M959" s="10" t="str">
        <f t="shared" si="84"/>
        <v>CMI02051300</v>
      </c>
      <c r="N959" s="10" t="str">
        <f t="shared" si="85"/>
        <v>SUM231200</v>
      </c>
      <c r="O959" s="10" t="str">
        <f t="shared" si="86"/>
        <v>E</v>
      </c>
      <c r="P959" s="10" t="str">
        <f t="shared" si="87"/>
        <v>50</v>
      </c>
      <c r="Q959" s="10" t="str">
        <f t="shared" si="88"/>
        <v>ZSUM</v>
      </c>
      <c r="R959" s="10" t="str">
        <f t="shared" si="89"/>
        <v>30152001</v>
      </c>
    </row>
    <row r="960" spans="1:18" ht="25.5" hidden="1" x14ac:dyDescent="0.2">
      <c r="A960" s="21" t="s">
        <v>1838</v>
      </c>
      <c r="B960" s="8" t="s">
        <v>1837</v>
      </c>
      <c r="C960" s="8" t="s">
        <v>40</v>
      </c>
      <c r="D960" s="8" t="s">
        <v>1075</v>
      </c>
      <c r="E960" s="8" t="s">
        <v>40</v>
      </c>
      <c r="F960" s="8" t="s">
        <v>39</v>
      </c>
      <c r="G960" s="8" t="s">
        <v>60</v>
      </c>
      <c r="H960" s="8" t="s">
        <v>37</v>
      </c>
      <c r="I960" s="8" t="s">
        <v>53</v>
      </c>
      <c r="J960" s="8" t="s">
        <v>59</v>
      </c>
      <c r="K960" s="8" t="s">
        <v>1836</v>
      </c>
      <c r="L960" s="7">
        <v>7698</v>
      </c>
      <c r="M960" s="10" t="str">
        <f t="shared" si="84"/>
        <v>CMI02052300</v>
      </c>
      <c r="N960" s="10" t="str">
        <f t="shared" si="85"/>
        <v>SUM231200</v>
      </c>
      <c r="O960" s="10" t="str">
        <f t="shared" si="86"/>
        <v>E</v>
      </c>
      <c r="P960" s="10" t="str">
        <f t="shared" si="87"/>
        <v>50</v>
      </c>
      <c r="Q960" s="10" t="str">
        <f t="shared" si="88"/>
        <v>ZSUM</v>
      </c>
      <c r="R960" s="10" t="str">
        <f t="shared" si="89"/>
        <v>30171700</v>
      </c>
    </row>
    <row r="961" spans="1:18" ht="25.5" hidden="1" x14ac:dyDescent="0.2">
      <c r="A961" s="21" t="s">
        <v>1835</v>
      </c>
      <c r="B961" s="8" t="s">
        <v>1834</v>
      </c>
      <c r="C961" s="8" t="s">
        <v>40</v>
      </c>
      <c r="D961" s="8" t="s">
        <v>363</v>
      </c>
      <c r="E961" s="7">
        <v>6</v>
      </c>
      <c r="F961" s="8" t="s">
        <v>39</v>
      </c>
      <c r="G961" s="8" t="s">
        <v>60</v>
      </c>
      <c r="H961" s="8" t="s">
        <v>37</v>
      </c>
      <c r="I961" s="8" t="s">
        <v>53</v>
      </c>
      <c r="J961" s="8" t="s">
        <v>59</v>
      </c>
      <c r="K961" s="8" t="s">
        <v>1833</v>
      </c>
      <c r="L961" s="7">
        <v>7699</v>
      </c>
      <c r="M961" s="10" t="str">
        <f t="shared" si="84"/>
        <v>CMI02051300</v>
      </c>
      <c r="N961" s="10" t="str">
        <f t="shared" si="85"/>
        <v>SUM231200</v>
      </c>
      <c r="O961" s="10" t="str">
        <f t="shared" si="86"/>
        <v>E</v>
      </c>
      <c r="P961" s="10" t="str">
        <f t="shared" si="87"/>
        <v>50</v>
      </c>
      <c r="Q961" s="10" t="str">
        <f t="shared" si="88"/>
        <v>ZSUM</v>
      </c>
      <c r="R961" s="10" t="str">
        <f t="shared" si="89"/>
        <v>31201502</v>
      </c>
    </row>
    <row r="962" spans="1:18" ht="25.5" hidden="1" x14ac:dyDescent="0.2">
      <c r="A962" s="21" t="s">
        <v>1832</v>
      </c>
      <c r="B962" s="8" t="s">
        <v>1831</v>
      </c>
      <c r="C962" s="8" t="s">
        <v>40</v>
      </c>
      <c r="D962" s="8" t="s">
        <v>363</v>
      </c>
      <c r="E962" s="8" t="s">
        <v>40</v>
      </c>
      <c r="F962" s="8" t="s">
        <v>39</v>
      </c>
      <c r="G962" s="8" t="s">
        <v>60</v>
      </c>
      <c r="H962" s="8" t="s">
        <v>37</v>
      </c>
      <c r="I962" s="8" t="s">
        <v>53</v>
      </c>
      <c r="J962" s="8" t="s">
        <v>59</v>
      </c>
      <c r="K962" s="8" t="s">
        <v>1830</v>
      </c>
      <c r="L962" s="7">
        <v>7700</v>
      </c>
      <c r="M962" s="10" t="str">
        <f t="shared" si="84"/>
        <v>CMI02051300</v>
      </c>
      <c r="N962" s="10" t="str">
        <f t="shared" si="85"/>
        <v>SUM231200</v>
      </c>
      <c r="O962" s="10" t="str">
        <f t="shared" si="86"/>
        <v>E</v>
      </c>
      <c r="P962" s="10" t="str">
        <f t="shared" si="87"/>
        <v>50</v>
      </c>
      <c r="Q962" s="10" t="str">
        <f t="shared" si="88"/>
        <v>ZSUM</v>
      </c>
      <c r="R962" s="10" t="str">
        <f t="shared" si="89"/>
        <v>30151505</v>
      </c>
    </row>
    <row r="963" spans="1:18" ht="25.5" hidden="1" x14ac:dyDescent="0.2">
      <c r="A963" s="21" t="s">
        <v>1829</v>
      </c>
      <c r="B963" s="8" t="s">
        <v>1828</v>
      </c>
      <c r="C963" s="8" t="s">
        <v>40</v>
      </c>
      <c r="D963" s="8" t="s">
        <v>363</v>
      </c>
      <c r="E963" s="8" t="s">
        <v>40</v>
      </c>
      <c r="F963" s="8" t="s">
        <v>39</v>
      </c>
      <c r="G963" s="8" t="s">
        <v>60</v>
      </c>
      <c r="H963" s="8" t="s">
        <v>37</v>
      </c>
      <c r="I963" s="8" t="s">
        <v>53</v>
      </c>
      <c r="J963" s="8" t="s">
        <v>59</v>
      </c>
      <c r="K963" s="8" t="s">
        <v>1827</v>
      </c>
      <c r="L963" s="7">
        <v>7701</v>
      </c>
      <c r="M963" s="10" t="str">
        <f t="shared" ref="M963:M1026" si="90">+LEFT(D963,11)</f>
        <v>CMI02051300</v>
      </c>
      <c r="N963" s="10" t="str">
        <f t="shared" ref="N963:N1026" si="91">+LEFT(G963,9)</f>
        <v>SUM231200</v>
      </c>
      <c r="O963" s="10" t="str">
        <f t="shared" ref="O963:O1026" si="92">+LEFT(H963,1)</f>
        <v>E</v>
      </c>
      <c r="P963" s="10" t="str">
        <f t="shared" ref="P963:P1026" si="93">+LEFT(I963,2)</f>
        <v>50</v>
      </c>
      <c r="Q963" s="10" t="str">
        <f t="shared" ref="Q963:Q1026" si="94">+LEFT(J963,4)</f>
        <v>ZSUM</v>
      </c>
      <c r="R963" s="10" t="str">
        <f t="shared" ref="R963:R1026" si="95">+LEFT(K963,8)</f>
        <v>30161602</v>
      </c>
    </row>
    <row r="964" spans="1:18" ht="25.5" hidden="1" x14ac:dyDescent="0.2">
      <c r="A964" s="21" t="s">
        <v>1826</v>
      </c>
      <c r="B964" s="8" t="s">
        <v>1825</v>
      </c>
      <c r="C964" s="8" t="s">
        <v>40</v>
      </c>
      <c r="D964" s="8" t="s">
        <v>1824</v>
      </c>
      <c r="E964" s="8" t="s">
        <v>40</v>
      </c>
      <c r="F964" s="8" t="s">
        <v>39</v>
      </c>
      <c r="G964" s="8" t="s">
        <v>60</v>
      </c>
      <c r="H964" s="8" t="s">
        <v>37</v>
      </c>
      <c r="I964" s="8" t="s">
        <v>53</v>
      </c>
      <c r="J964" s="8" t="s">
        <v>59</v>
      </c>
      <c r="K964" s="8" t="s">
        <v>1823</v>
      </c>
      <c r="L964" s="7">
        <v>7702</v>
      </c>
      <c r="M964" s="10" t="str">
        <f t="shared" si="90"/>
        <v>CMI02051000</v>
      </c>
      <c r="N964" s="10" t="str">
        <f t="shared" si="91"/>
        <v>SUM231200</v>
      </c>
      <c r="O964" s="10" t="str">
        <f t="shared" si="92"/>
        <v>E</v>
      </c>
      <c r="P964" s="10" t="str">
        <f t="shared" si="93"/>
        <v>50</v>
      </c>
      <c r="Q964" s="10" t="str">
        <f t="shared" si="94"/>
        <v>ZSUM</v>
      </c>
      <c r="R964" s="10" t="str">
        <f t="shared" si="95"/>
        <v>30151500</v>
      </c>
    </row>
    <row r="965" spans="1:18" ht="25.5" hidden="1" x14ac:dyDescent="0.2">
      <c r="A965" s="21" t="s">
        <v>1822</v>
      </c>
      <c r="B965" s="8" t="s">
        <v>1821</v>
      </c>
      <c r="C965" s="8" t="s">
        <v>40</v>
      </c>
      <c r="D965" s="8" t="s">
        <v>947</v>
      </c>
      <c r="E965" s="8" t="s">
        <v>40</v>
      </c>
      <c r="F965" s="8" t="s">
        <v>39</v>
      </c>
      <c r="G965" s="8" t="s">
        <v>208</v>
      </c>
      <c r="H965" s="8" t="s">
        <v>37</v>
      </c>
      <c r="I965" s="8" t="s">
        <v>53</v>
      </c>
      <c r="J965" s="8" t="s">
        <v>59</v>
      </c>
      <c r="K965" s="8" t="s">
        <v>1820</v>
      </c>
      <c r="L965" s="7">
        <v>7703</v>
      </c>
      <c r="M965" s="10" t="str">
        <f t="shared" si="90"/>
        <v>CMI02160200</v>
      </c>
      <c r="N965" s="10" t="str">
        <f t="shared" si="91"/>
        <v>SUM301000</v>
      </c>
      <c r="O965" s="10" t="str">
        <f t="shared" si="92"/>
        <v>E</v>
      </c>
      <c r="P965" s="10" t="str">
        <f t="shared" si="93"/>
        <v>50</v>
      </c>
      <c r="Q965" s="10" t="str">
        <f t="shared" si="94"/>
        <v>ZSUM</v>
      </c>
      <c r="R965" s="10" t="str">
        <f t="shared" si="95"/>
        <v>39121444</v>
      </c>
    </row>
    <row r="966" spans="1:18" ht="25.5" hidden="1" x14ac:dyDescent="0.2">
      <c r="A966" s="21" t="s">
        <v>1819</v>
      </c>
      <c r="B966" s="8" t="s">
        <v>1818</v>
      </c>
      <c r="C966" s="8" t="s">
        <v>40</v>
      </c>
      <c r="D966" s="8" t="s">
        <v>947</v>
      </c>
      <c r="E966" s="8" t="s">
        <v>40</v>
      </c>
      <c r="F966" s="8" t="s">
        <v>39</v>
      </c>
      <c r="G966" s="8" t="s">
        <v>885</v>
      </c>
      <c r="H966" s="8" t="s">
        <v>37</v>
      </c>
      <c r="I966" s="8" t="s">
        <v>53</v>
      </c>
      <c r="J966" s="8" t="s">
        <v>59</v>
      </c>
      <c r="K966" s="8" t="s">
        <v>1817</v>
      </c>
      <c r="L966" s="7">
        <v>7704</v>
      </c>
      <c r="M966" s="10" t="str">
        <f t="shared" si="90"/>
        <v>CMI02160200</v>
      </c>
      <c r="N966" s="10" t="str">
        <f t="shared" si="91"/>
        <v>SUM231000</v>
      </c>
      <c r="O966" s="10" t="str">
        <f t="shared" si="92"/>
        <v>E</v>
      </c>
      <c r="P966" s="10" t="str">
        <f t="shared" si="93"/>
        <v>50</v>
      </c>
      <c r="Q966" s="10" t="str">
        <f t="shared" si="94"/>
        <v>ZSUM</v>
      </c>
      <c r="R966" s="10" t="str">
        <f t="shared" si="95"/>
        <v>39121000</v>
      </c>
    </row>
    <row r="967" spans="1:18" ht="38.25" hidden="1" x14ac:dyDescent="0.2">
      <c r="A967" s="21" t="s">
        <v>1816</v>
      </c>
      <c r="B967" s="8" t="s">
        <v>1815</v>
      </c>
      <c r="C967" s="8" t="s">
        <v>40</v>
      </c>
      <c r="D967" s="8" t="s">
        <v>86</v>
      </c>
      <c r="E967" s="8" t="s">
        <v>40</v>
      </c>
      <c r="F967" s="8" t="s">
        <v>39</v>
      </c>
      <c r="G967" s="8" t="s">
        <v>60</v>
      </c>
      <c r="H967" s="8" t="s">
        <v>37</v>
      </c>
      <c r="I967" s="8" t="s">
        <v>53</v>
      </c>
      <c r="J967" s="8" t="s">
        <v>59</v>
      </c>
      <c r="K967" s="8" t="s">
        <v>1814</v>
      </c>
      <c r="L967" s="7">
        <v>7705</v>
      </c>
      <c r="M967" s="10" t="str">
        <f t="shared" si="90"/>
        <v>CMI02160300</v>
      </c>
      <c r="N967" s="10" t="str">
        <f t="shared" si="91"/>
        <v>SUM231200</v>
      </c>
      <c r="O967" s="10" t="str">
        <f t="shared" si="92"/>
        <v>E</v>
      </c>
      <c r="P967" s="10" t="str">
        <f t="shared" si="93"/>
        <v>50</v>
      </c>
      <c r="Q967" s="10" t="str">
        <f t="shared" si="94"/>
        <v>ZSUM</v>
      </c>
      <c r="R967" s="10" t="str">
        <f t="shared" si="95"/>
        <v>45111802</v>
      </c>
    </row>
    <row r="968" spans="1:18" ht="25.5" hidden="1" x14ac:dyDescent="0.2">
      <c r="A968" s="21" t="s">
        <v>1813</v>
      </c>
      <c r="B968" s="8" t="s">
        <v>1812</v>
      </c>
      <c r="C968" s="8" t="s">
        <v>40</v>
      </c>
      <c r="D968" s="8" t="s">
        <v>947</v>
      </c>
      <c r="E968" s="8" t="s">
        <v>40</v>
      </c>
      <c r="F968" s="8" t="s">
        <v>39</v>
      </c>
      <c r="G968" s="8" t="s">
        <v>208</v>
      </c>
      <c r="H968" s="8" t="s">
        <v>37</v>
      </c>
      <c r="I968" s="8" t="s">
        <v>53</v>
      </c>
      <c r="J968" s="8" t="s">
        <v>59</v>
      </c>
      <c r="K968" s="8" t="s">
        <v>1811</v>
      </c>
      <c r="L968" s="7">
        <v>7706</v>
      </c>
      <c r="M968" s="10" t="str">
        <f t="shared" si="90"/>
        <v>CMI02160200</v>
      </c>
      <c r="N968" s="10" t="str">
        <f t="shared" si="91"/>
        <v>SUM301000</v>
      </c>
      <c r="O968" s="10" t="str">
        <f t="shared" si="92"/>
        <v>E</v>
      </c>
      <c r="P968" s="10" t="str">
        <f t="shared" si="93"/>
        <v>50</v>
      </c>
      <c r="Q968" s="10" t="str">
        <f t="shared" si="94"/>
        <v>ZSUM</v>
      </c>
      <c r="R968" s="10" t="str">
        <f t="shared" si="95"/>
        <v>43221700</v>
      </c>
    </row>
    <row r="969" spans="1:18" ht="25.5" hidden="1" x14ac:dyDescent="0.2">
      <c r="A969" s="21" t="s">
        <v>1810</v>
      </c>
      <c r="B969" s="8" t="s">
        <v>1809</v>
      </c>
      <c r="C969" s="8" t="s">
        <v>40</v>
      </c>
      <c r="D969" s="8" t="s">
        <v>947</v>
      </c>
      <c r="E969" s="8" t="s">
        <v>40</v>
      </c>
      <c r="F969" s="8" t="s">
        <v>39</v>
      </c>
      <c r="G969" s="8" t="s">
        <v>60</v>
      </c>
      <c r="H969" s="8" t="s">
        <v>37</v>
      </c>
      <c r="I969" s="8" t="s">
        <v>53</v>
      </c>
      <c r="J969" s="8" t="s">
        <v>59</v>
      </c>
      <c r="K969" s="8" t="s">
        <v>1808</v>
      </c>
      <c r="L969" s="7">
        <v>7707</v>
      </c>
      <c r="M969" s="10" t="str">
        <f t="shared" si="90"/>
        <v>CMI02160200</v>
      </c>
      <c r="N969" s="10" t="str">
        <f t="shared" si="91"/>
        <v>SUM231200</v>
      </c>
      <c r="O969" s="10" t="str">
        <f t="shared" si="92"/>
        <v>E</v>
      </c>
      <c r="P969" s="10" t="str">
        <f t="shared" si="93"/>
        <v>50</v>
      </c>
      <c r="Q969" s="10" t="str">
        <f t="shared" si="94"/>
        <v>ZSUM</v>
      </c>
      <c r="R969" s="10" t="str">
        <f t="shared" si="95"/>
        <v>52161500</v>
      </c>
    </row>
    <row r="970" spans="1:18" ht="25.5" hidden="1" x14ac:dyDescent="0.2">
      <c r="A970" s="21" t="s">
        <v>1807</v>
      </c>
      <c r="B970" s="8" t="s">
        <v>1806</v>
      </c>
      <c r="C970" s="8" t="s">
        <v>40</v>
      </c>
      <c r="D970" s="8" t="s">
        <v>78</v>
      </c>
      <c r="E970" s="8" t="s">
        <v>40</v>
      </c>
      <c r="F970" s="8" t="s">
        <v>39</v>
      </c>
      <c r="G970" s="8" t="s">
        <v>631</v>
      </c>
      <c r="H970" s="8" t="s">
        <v>37</v>
      </c>
      <c r="I970" s="8" t="s">
        <v>53</v>
      </c>
      <c r="J970" s="8" t="s">
        <v>59</v>
      </c>
      <c r="K970" s="8" t="s">
        <v>1805</v>
      </c>
      <c r="L970" s="7">
        <v>7708</v>
      </c>
      <c r="M970" s="10" t="str">
        <f t="shared" si="90"/>
        <v>CMI02090400</v>
      </c>
      <c r="N970" s="10" t="str">
        <f t="shared" si="91"/>
        <v>SUM231300</v>
      </c>
      <c r="O970" s="10" t="str">
        <f t="shared" si="92"/>
        <v>E</v>
      </c>
      <c r="P970" s="10" t="str">
        <f t="shared" si="93"/>
        <v>50</v>
      </c>
      <c r="Q970" s="10" t="str">
        <f t="shared" si="94"/>
        <v>ZSUM</v>
      </c>
      <c r="R970" s="10" t="str">
        <f t="shared" si="95"/>
        <v>41115200</v>
      </c>
    </row>
    <row r="971" spans="1:18" ht="25.5" hidden="1" x14ac:dyDescent="0.2">
      <c r="A971" s="21" t="s">
        <v>1804</v>
      </c>
      <c r="B971" s="8" t="s">
        <v>1803</v>
      </c>
      <c r="C971" s="8" t="s">
        <v>40</v>
      </c>
      <c r="D971" s="8" t="s">
        <v>78</v>
      </c>
      <c r="E971" s="8" t="s">
        <v>40</v>
      </c>
      <c r="F971" s="8" t="s">
        <v>39</v>
      </c>
      <c r="G971" s="8" t="s">
        <v>631</v>
      </c>
      <c r="H971" s="8" t="s">
        <v>37</v>
      </c>
      <c r="I971" s="8" t="s">
        <v>53</v>
      </c>
      <c r="J971" s="8" t="s">
        <v>59</v>
      </c>
      <c r="K971" s="8" t="s">
        <v>1802</v>
      </c>
      <c r="L971" s="7">
        <v>7709</v>
      </c>
      <c r="M971" s="10" t="str">
        <f t="shared" si="90"/>
        <v>CMI02090400</v>
      </c>
      <c r="N971" s="10" t="str">
        <f t="shared" si="91"/>
        <v>SUM231300</v>
      </c>
      <c r="O971" s="10" t="str">
        <f t="shared" si="92"/>
        <v>E</v>
      </c>
      <c r="P971" s="10" t="str">
        <f t="shared" si="93"/>
        <v>50</v>
      </c>
      <c r="Q971" s="10" t="str">
        <f t="shared" si="94"/>
        <v>ZSUM</v>
      </c>
      <c r="R971" s="10" t="str">
        <f t="shared" si="95"/>
        <v>41115502</v>
      </c>
    </row>
    <row r="972" spans="1:18" ht="25.5" hidden="1" x14ac:dyDescent="0.2">
      <c r="A972" s="21" t="s">
        <v>1801</v>
      </c>
      <c r="B972" s="8" t="s">
        <v>1800</v>
      </c>
      <c r="C972" s="8" t="s">
        <v>40</v>
      </c>
      <c r="D972" s="8" t="s">
        <v>669</v>
      </c>
      <c r="E972" s="8" t="s">
        <v>40</v>
      </c>
      <c r="F972" s="8" t="s">
        <v>39</v>
      </c>
      <c r="G972" s="8" t="s">
        <v>885</v>
      </c>
      <c r="H972" s="8" t="s">
        <v>37</v>
      </c>
      <c r="I972" s="8" t="s">
        <v>53</v>
      </c>
      <c r="J972" s="8" t="s">
        <v>59</v>
      </c>
      <c r="K972" s="8" t="s">
        <v>1799</v>
      </c>
      <c r="L972" s="7">
        <v>7710</v>
      </c>
      <c r="M972" s="10" t="str">
        <f t="shared" si="90"/>
        <v>CMI02140700</v>
      </c>
      <c r="N972" s="10" t="str">
        <f t="shared" si="91"/>
        <v>SUM231000</v>
      </c>
      <c r="O972" s="10" t="str">
        <f t="shared" si="92"/>
        <v>E</v>
      </c>
      <c r="P972" s="10" t="str">
        <f t="shared" si="93"/>
        <v>50</v>
      </c>
      <c r="Q972" s="10" t="str">
        <f t="shared" si="94"/>
        <v>ZSUM</v>
      </c>
      <c r="R972" s="10" t="str">
        <f t="shared" si="95"/>
        <v>39121718</v>
      </c>
    </row>
    <row r="973" spans="1:18" ht="25.5" hidden="1" x14ac:dyDescent="0.2">
      <c r="A973" s="21" t="s">
        <v>1798</v>
      </c>
      <c r="B973" s="8" t="s">
        <v>1797</v>
      </c>
      <c r="C973" s="8" t="s">
        <v>40</v>
      </c>
      <c r="D973" s="8" t="s">
        <v>78</v>
      </c>
      <c r="E973" s="8" t="s">
        <v>40</v>
      </c>
      <c r="F973" s="8" t="s">
        <v>39</v>
      </c>
      <c r="G973" s="8" t="s">
        <v>885</v>
      </c>
      <c r="H973" s="8" t="s">
        <v>37</v>
      </c>
      <c r="I973" s="8" t="s">
        <v>53</v>
      </c>
      <c r="J973" s="8" t="s">
        <v>59</v>
      </c>
      <c r="K973" s="8" t="s">
        <v>1796</v>
      </c>
      <c r="L973" s="7">
        <v>7711</v>
      </c>
      <c r="M973" s="10" t="str">
        <f t="shared" si="90"/>
        <v>CMI02090400</v>
      </c>
      <c r="N973" s="10" t="str">
        <f t="shared" si="91"/>
        <v>SUM231000</v>
      </c>
      <c r="O973" s="10" t="str">
        <f t="shared" si="92"/>
        <v>E</v>
      </c>
      <c r="P973" s="10" t="str">
        <f t="shared" si="93"/>
        <v>50</v>
      </c>
      <c r="Q973" s="10" t="str">
        <f t="shared" si="94"/>
        <v>ZSUM</v>
      </c>
      <c r="R973" s="10" t="str">
        <f t="shared" si="95"/>
        <v>43191501</v>
      </c>
    </row>
    <row r="974" spans="1:18" ht="38.25" hidden="1" x14ac:dyDescent="0.2">
      <c r="A974" s="21" t="s">
        <v>1795</v>
      </c>
      <c r="B974" s="8" t="s">
        <v>1794</v>
      </c>
      <c r="C974" s="8" t="s">
        <v>40</v>
      </c>
      <c r="D974" s="8" t="s">
        <v>78</v>
      </c>
      <c r="E974" s="8" t="s">
        <v>40</v>
      </c>
      <c r="F974" s="8" t="s">
        <v>39</v>
      </c>
      <c r="G974" s="8" t="s">
        <v>60</v>
      </c>
      <c r="H974" s="8" t="s">
        <v>37</v>
      </c>
      <c r="I974" s="8" t="s">
        <v>53</v>
      </c>
      <c r="J974" s="8" t="s">
        <v>59</v>
      </c>
      <c r="K974" s="8" t="s">
        <v>1208</v>
      </c>
      <c r="L974" s="7">
        <v>7712</v>
      </c>
      <c r="M974" s="10" t="str">
        <f t="shared" si="90"/>
        <v>CMI02090400</v>
      </c>
      <c r="N974" s="10" t="str">
        <f t="shared" si="91"/>
        <v>SUM231200</v>
      </c>
      <c r="O974" s="10" t="str">
        <f t="shared" si="92"/>
        <v>E</v>
      </c>
      <c r="P974" s="10" t="str">
        <f t="shared" si="93"/>
        <v>50</v>
      </c>
      <c r="Q974" s="10" t="str">
        <f t="shared" si="94"/>
        <v>ZSUM</v>
      </c>
      <c r="R974" s="10" t="str">
        <f t="shared" si="95"/>
        <v>39121400</v>
      </c>
    </row>
    <row r="975" spans="1:18" ht="25.5" hidden="1" x14ac:dyDescent="0.2">
      <c r="A975" s="21" t="s">
        <v>1793</v>
      </c>
      <c r="B975" s="8" t="s">
        <v>1792</v>
      </c>
      <c r="C975" s="8" t="s">
        <v>40</v>
      </c>
      <c r="D975" s="8" t="s">
        <v>78</v>
      </c>
      <c r="E975" s="8" t="s">
        <v>40</v>
      </c>
      <c r="F975" s="8" t="s">
        <v>39</v>
      </c>
      <c r="G975" s="8" t="s">
        <v>885</v>
      </c>
      <c r="H975" s="8" t="s">
        <v>37</v>
      </c>
      <c r="I975" s="8" t="s">
        <v>53</v>
      </c>
      <c r="J975" s="8" t="s">
        <v>59</v>
      </c>
      <c r="K975" s="8" t="s">
        <v>1791</v>
      </c>
      <c r="L975" s="7">
        <v>7713</v>
      </c>
      <c r="M975" s="10" t="str">
        <f t="shared" si="90"/>
        <v>CMI02090400</v>
      </c>
      <c r="N975" s="10" t="str">
        <f t="shared" si="91"/>
        <v>SUM231000</v>
      </c>
      <c r="O975" s="10" t="str">
        <f t="shared" si="92"/>
        <v>E</v>
      </c>
      <c r="P975" s="10" t="str">
        <f t="shared" si="93"/>
        <v>50</v>
      </c>
      <c r="Q975" s="10" t="str">
        <f t="shared" si="94"/>
        <v>ZSUM</v>
      </c>
      <c r="R975" s="10" t="str">
        <f t="shared" si="95"/>
        <v>43221706</v>
      </c>
    </row>
    <row r="976" spans="1:18" ht="25.5" hidden="1" x14ac:dyDescent="0.2">
      <c r="A976" s="21" t="s">
        <v>1790</v>
      </c>
      <c r="B976" s="8" t="s">
        <v>1789</v>
      </c>
      <c r="C976" s="8" t="s">
        <v>40</v>
      </c>
      <c r="D976" s="8" t="s">
        <v>241</v>
      </c>
      <c r="E976" s="8" t="s">
        <v>40</v>
      </c>
      <c r="F976" s="8" t="s">
        <v>39</v>
      </c>
      <c r="G976" s="8" t="s">
        <v>885</v>
      </c>
      <c r="H976" s="8" t="s">
        <v>37</v>
      </c>
      <c r="I976" s="8" t="s">
        <v>53</v>
      </c>
      <c r="J976" s="8" t="s">
        <v>59</v>
      </c>
      <c r="K976" s="8" t="s">
        <v>1788</v>
      </c>
      <c r="L976" s="7">
        <v>7714</v>
      </c>
      <c r="M976" s="10" t="str">
        <f t="shared" si="90"/>
        <v>CMI02090300</v>
      </c>
      <c r="N976" s="10" t="str">
        <f t="shared" si="91"/>
        <v>SUM231000</v>
      </c>
      <c r="O976" s="10" t="str">
        <f t="shared" si="92"/>
        <v>E</v>
      </c>
      <c r="P976" s="10" t="str">
        <f t="shared" si="93"/>
        <v>50</v>
      </c>
      <c r="Q976" s="10" t="str">
        <f t="shared" si="94"/>
        <v>ZSUM</v>
      </c>
      <c r="R976" s="10" t="str">
        <f t="shared" si="95"/>
        <v>26101404</v>
      </c>
    </row>
    <row r="977" spans="1:18" ht="25.5" hidden="1" x14ac:dyDescent="0.2">
      <c r="A977" s="21" t="s">
        <v>1787</v>
      </c>
      <c r="B977" s="8" t="s">
        <v>1786</v>
      </c>
      <c r="C977" s="8" t="s">
        <v>40</v>
      </c>
      <c r="D977" s="8" t="s">
        <v>947</v>
      </c>
      <c r="E977" s="8" t="s">
        <v>40</v>
      </c>
      <c r="F977" s="8" t="s">
        <v>39</v>
      </c>
      <c r="G977" s="8" t="s">
        <v>208</v>
      </c>
      <c r="H977" s="8" t="s">
        <v>37</v>
      </c>
      <c r="I977" s="8" t="s">
        <v>53</v>
      </c>
      <c r="J977" s="8" t="s">
        <v>59</v>
      </c>
      <c r="K977" s="8" t="s">
        <v>1785</v>
      </c>
      <c r="L977" s="7">
        <v>7715</v>
      </c>
      <c r="M977" s="10" t="str">
        <f t="shared" si="90"/>
        <v>CMI02160200</v>
      </c>
      <c r="N977" s="10" t="str">
        <f t="shared" si="91"/>
        <v>SUM301000</v>
      </c>
      <c r="O977" s="10" t="str">
        <f t="shared" si="92"/>
        <v>E</v>
      </c>
      <c r="P977" s="10" t="str">
        <f t="shared" si="93"/>
        <v>50</v>
      </c>
      <c r="Q977" s="10" t="str">
        <f t="shared" si="94"/>
        <v>ZSUM</v>
      </c>
      <c r="R977" s="10" t="str">
        <f t="shared" si="95"/>
        <v>26121609</v>
      </c>
    </row>
    <row r="978" spans="1:18" ht="25.5" hidden="1" x14ac:dyDescent="0.2">
      <c r="A978" s="21" t="s">
        <v>1784</v>
      </c>
      <c r="B978" s="8" t="s">
        <v>1783</v>
      </c>
      <c r="C978" s="8" t="s">
        <v>40</v>
      </c>
      <c r="D978" s="8" t="s">
        <v>969</v>
      </c>
      <c r="E978" s="8" t="s">
        <v>40</v>
      </c>
      <c r="F978" s="8" t="s">
        <v>39</v>
      </c>
      <c r="G978" s="8" t="s">
        <v>885</v>
      </c>
      <c r="H978" s="8" t="s">
        <v>37</v>
      </c>
      <c r="I978" s="8" t="s">
        <v>53</v>
      </c>
      <c r="J978" s="8" t="s">
        <v>59</v>
      </c>
      <c r="K978" s="8" t="s">
        <v>1782</v>
      </c>
      <c r="L978" s="7">
        <v>7716</v>
      </c>
      <c r="M978" s="10" t="str">
        <f t="shared" si="90"/>
        <v>CMI02051200</v>
      </c>
      <c r="N978" s="10" t="str">
        <f t="shared" si="91"/>
        <v>SUM231000</v>
      </c>
      <c r="O978" s="10" t="str">
        <f t="shared" si="92"/>
        <v>E</v>
      </c>
      <c r="P978" s="10" t="str">
        <f t="shared" si="93"/>
        <v>50</v>
      </c>
      <c r="Q978" s="10" t="str">
        <f t="shared" si="94"/>
        <v>ZSUM</v>
      </c>
      <c r="R978" s="10" t="str">
        <f t="shared" si="95"/>
        <v>26121612</v>
      </c>
    </row>
    <row r="979" spans="1:18" ht="25.5" hidden="1" x14ac:dyDescent="0.2">
      <c r="A979" s="21" t="s">
        <v>1781</v>
      </c>
      <c r="B979" s="8" t="s">
        <v>1780</v>
      </c>
      <c r="C979" s="8" t="s">
        <v>40</v>
      </c>
      <c r="D979" s="8" t="s">
        <v>969</v>
      </c>
      <c r="E979" s="8" t="s">
        <v>40</v>
      </c>
      <c r="F979" s="8" t="s">
        <v>39</v>
      </c>
      <c r="G979" s="8" t="s">
        <v>885</v>
      </c>
      <c r="H979" s="8" t="s">
        <v>37</v>
      </c>
      <c r="I979" s="8" t="s">
        <v>53</v>
      </c>
      <c r="J979" s="8" t="s">
        <v>59</v>
      </c>
      <c r="K979" s="8" t="s">
        <v>1779</v>
      </c>
      <c r="L979" s="7">
        <v>7717</v>
      </c>
      <c r="M979" s="10" t="str">
        <f t="shared" si="90"/>
        <v>CMI02051200</v>
      </c>
      <c r="N979" s="10" t="str">
        <f t="shared" si="91"/>
        <v>SUM231000</v>
      </c>
      <c r="O979" s="10" t="str">
        <f t="shared" si="92"/>
        <v>E</v>
      </c>
      <c r="P979" s="10" t="str">
        <f t="shared" si="93"/>
        <v>50</v>
      </c>
      <c r="Q979" s="10" t="str">
        <f t="shared" si="94"/>
        <v>ZSUM</v>
      </c>
      <c r="R979" s="10" t="str">
        <f t="shared" si="95"/>
        <v>26121613</v>
      </c>
    </row>
    <row r="980" spans="1:18" ht="25.5" hidden="1" x14ac:dyDescent="0.2">
      <c r="A980" s="21" t="s">
        <v>1778</v>
      </c>
      <c r="B980" s="8" t="s">
        <v>1777</v>
      </c>
      <c r="C980" s="8" t="s">
        <v>40</v>
      </c>
      <c r="D980" s="8" t="s">
        <v>947</v>
      </c>
      <c r="E980" s="8" t="s">
        <v>40</v>
      </c>
      <c r="F980" s="8" t="s">
        <v>39</v>
      </c>
      <c r="G980" s="8" t="s">
        <v>885</v>
      </c>
      <c r="H980" s="8" t="s">
        <v>37</v>
      </c>
      <c r="I980" s="8" t="s">
        <v>53</v>
      </c>
      <c r="J980" s="8" t="s">
        <v>59</v>
      </c>
      <c r="K980" s="8" t="s">
        <v>1776</v>
      </c>
      <c r="L980" s="7">
        <v>7718</v>
      </c>
      <c r="M980" s="10" t="str">
        <f t="shared" si="90"/>
        <v>CMI02160200</v>
      </c>
      <c r="N980" s="10" t="str">
        <f t="shared" si="91"/>
        <v>SUM231000</v>
      </c>
      <c r="O980" s="10" t="str">
        <f t="shared" si="92"/>
        <v>E</v>
      </c>
      <c r="P980" s="10" t="str">
        <f t="shared" si="93"/>
        <v>50</v>
      </c>
      <c r="Q980" s="10" t="str">
        <f t="shared" si="94"/>
        <v>ZSUM</v>
      </c>
      <c r="R980" s="10" t="str">
        <f t="shared" si="95"/>
        <v>26121628</v>
      </c>
    </row>
    <row r="981" spans="1:18" ht="25.5" hidden="1" x14ac:dyDescent="0.2">
      <c r="A981" s="21" t="s">
        <v>1775</v>
      </c>
      <c r="B981" s="8" t="s">
        <v>1774</v>
      </c>
      <c r="C981" s="8" t="s">
        <v>40</v>
      </c>
      <c r="D981" s="8" t="s">
        <v>947</v>
      </c>
      <c r="E981" s="8" t="s">
        <v>40</v>
      </c>
      <c r="F981" s="8" t="s">
        <v>39</v>
      </c>
      <c r="G981" s="8" t="s">
        <v>885</v>
      </c>
      <c r="H981" s="8" t="s">
        <v>37</v>
      </c>
      <c r="I981" s="8" t="s">
        <v>53</v>
      </c>
      <c r="J981" s="8" t="s">
        <v>59</v>
      </c>
      <c r="K981" s="8" t="s">
        <v>1773</v>
      </c>
      <c r="L981" s="7">
        <v>7719</v>
      </c>
      <c r="M981" s="10" t="str">
        <f t="shared" si="90"/>
        <v>CMI02160200</v>
      </c>
      <c r="N981" s="10" t="str">
        <f t="shared" si="91"/>
        <v>SUM231000</v>
      </c>
      <c r="O981" s="10" t="str">
        <f t="shared" si="92"/>
        <v>E</v>
      </c>
      <c r="P981" s="10" t="str">
        <f t="shared" si="93"/>
        <v>50</v>
      </c>
      <c r="Q981" s="10" t="str">
        <f t="shared" si="94"/>
        <v>ZSUM</v>
      </c>
      <c r="R981" s="10" t="str">
        <f t="shared" si="95"/>
        <v>26121606</v>
      </c>
    </row>
    <row r="982" spans="1:18" ht="25.5" hidden="1" x14ac:dyDescent="0.2">
      <c r="A982" s="21" t="s">
        <v>1772</v>
      </c>
      <c r="B982" s="8" t="s">
        <v>1771</v>
      </c>
      <c r="C982" s="8" t="s">
        <v>40</v>
      </c>
      <c r="D982" s="8" t="s">
        <v>1082</v>
      </c>
      <c r="E982" s="8" t="s">
        <v>40</v>
      </c>
      <c r="F982" s="8" t="s">
        <v>39</v>
      </c>
      <c r="G982" s="8" t="s">
        <v>60</v>
      </c>
      <c r="H982" s="8" t="s">
        <v>37</v>
      </c>
      <c r="I982" s="8" t="s">
        <v>53</v>
      </c>
      <c r="J982" s="8" t="s">
        <v>59</v>
      </c>
      <c r="K982" s="8" t="s">
        <v>1770</v>
      </c>
      <c r="L982" s="7">
        <v>7720</v>
      </c>
      <c r="M982" s="10" t="str">
        <f t="shared" si="90"/>
        <v>CMI02050500</v>
      </c>
      <c r="N982" s="10" t="str">
        <f t="shared" si="91"/>
        <v>SUM231200</v>
      </c>
      <c r="O982" s="10" t="str">
        <f t="shared" si="92"/>
        <v>E</v>
      </c>
      <c r="P982" s="10" t="str">
        <f t="shared" si="93"/>
        <v>50</v>
      </c>
      <c r="Q982" s="10" t="str">
        <f t="shared" si="94"/>
        <v>ZSUM</v>
      </c>
      <c r="R982" s="10" t="str">
        <f t="shared" si="95"/>
        <v>26121603</v>
      </c>
    </row>
    <row r="983" spans="1:18" ht="25.5" hidden="1" x14ac:dyDescent="0.2">
      <c r="A983" s="21" t="s">
        <v>1769</v>
      </c>
      <c r="B983" s="8" t="s">
        <v>1768</v>
      </c>
      <c r="C983" s="8" t="s">
        <v>40</v>
      </c>
      <c r="D983" s="8" t="s">
        <v>241</v>
      </c>
      <c r="E983" s="8" t="s">
        <v>40</v>
      </c>
      <c r="F983" s="8" t="s">
        <v>39</v>
      </c>
      <c r="G983" s="8" t="s">
        <v>60</v>
      </c>
      <c r="H983" s="8" t="s">
        <v>37</v>
      </c>
      <c r="I983" s="8" t="s">
        <v>53</v>
      </c>
      <c r="J983" s="8" t="s">
        <v>59</v>
      </c>
      <c r="K983" s="8" t="s">
        <v>1767</v>
      </c>
      <c r="L983" s="7">
        <v>7721</v>
      </c>
      <c r="M983" s="10" t="str">
        <f t="shared" si="90"/>
        <v>CMI02090300</v>
      </c>
      <c r="N983" s="10" t="str">
        <f t="shared" si="91"/>
        <v>SUM231200</v>
      </c>
      <c r="O983" s="10" t="str">
        <f t="shared" si="92"/>
        <v>E</v>
      </c>
      <c r="P983" s="10" t="str">
        <f t="shared" si="93"/>
        <v>50</v>
      </c>
      <c r="Q983" s="10" t="str">
        <f t="shared" si="94"/>
        <v>ZSUM</v>
      </c>
      <c r="R983" s="10" t="str">
        <f t="shared" si="95"/>
        <v>39121705</v>
      </c>
    </row>
    <row r="984" spans="1:18" ht="25.5" hidden="1" x14ac:dyDescent="0.2">
      <c r="A984" s="21" t="s">
        <v>1766</v>
      </c>
      <c r="B984" s="8" t="s">
        <v>1765</v>
      </c>
      <c r="C984" s="8" t="s">
        <v>40</v>
      </c>
      <c r="D984" s="8" t="s">
        <v>241</v>
      </c>
      <c r="E984" s="8" t="s">
        <v>40</v>
      </c>
      <c r="F984" s="8" t="s">
        <v>39</v>
      </c>
      <c r="G984" s="8" t="s">
        <v>885</v>
      </c>
      <c r="H984" s="8" t="s">
        <v>37</v>
      </c>
      <c r="I984" s="8" t="s">
        <v>53</v>
      </c>
      <c r="J984" s="8" t="s">
        <v>59</v>
      </c>
      <c r="K984" s="8" t="s">
        <v>1764</v>
      </c>
      <c r="L984" s="7">
        <v>7722</v>
      </c>
      <c r="M984" s="10" t="str">
        <f t="shared" si="90"/>
        <v>CMI02090300</v>
      </c>
      <c r="N984" s="10" t="str">
        <f t="shared" si="91"/>
        <v>SUM231000</v>
      </c>
      <c r="O984" s="10" t="str">
        <f t="shared" si="92"/>
        <v>E</v>
      </c>
      <c r="P984" s="10" t="str">
        <f t="shared" si="93"/>
        <v>50</v>
      </c>
      <c r="Q984" s="10" t="str">
        <f t="shared" si="94"/>
        <v>ZSUM</v>
      </c>
      <c r="R984" s="10" t="str">
        <f t="shared" si="95"/>
        <v>39121303</v>
      </c>
    </row>
    <row r="985" spans="1:18" ht="25.5" hidden="1" x14ac:dyDescent="0.2">
      <c r="A985" s="21" t="s">
        <v>1763</v>
      </c>
      <c r="B985" s="8" t="s">
        <v>1762</v>
      </c>
      <c r="C985" s="8" t="s">
        <v>40</v>
      </c>
      <c r="D985" s="8" t="s">
        <v>241</v>
      </c>
      <c r="E985" s="8" t="s">
        <v>40</v>
      </c>
      <c r="F985" s="8" t="s">
        <v>39</v>
      </c>
      <c r="G985" s="8" t="s">
        <v>208</v>
      </c>
      <c r="H985" s="8" t="s">
        <v>37</v>
      </c>
      <c r="I985" s="8" t="s">
        <v>53</v>
      </c>
      <c r="J985" s="8" t="s">
        <v>59</v>
      </c>
      <c r="K985" s="8" t="s">
        <v>1761</v>
      </c>
      <c r="L985" s="7">
        <v>7723</v>
      </c>
      <c r="M985" s="10" t="str">
        <f t="shared" si="90"/>
        <v>CMI02090300</v>
      </c>
      <c r="N985" s="10" t="str">
        <f t="shared" si="91"/>
        <v>SUM301000</v>
      </c>
      <c r="O985" s="10" t="str">
        <f t="shared" si="92"/>
        <v>E</v>
      </c>
      <c r="P985" s="10" t="str">
        <f t="shared" si="93"/>
        <v>50</v>
      </c>
      <c r="Q985" s="10" t="str">
        <f t="shared" si="94"/>
        <v>ZSUM</v>
      </c>
      <c r="R985" s="10" t="str">
        <f t="shared" si="95"/>
        <v>39121414</v>
      </c>
    </row>
    <row r="986" spans="1:18" ht="25.5" hidden="1" x14ac:dyDescent="0.2">
      <c r="A986" s="21" t="s">
        <v>1760</v>
      </c>
      <c r="B986" s="8" t="s">
        <v>1759</v>
      </c>
      <c r="C986" s="8" t="s">
        <v>40</v>
      </c>
      <c r="D986" s="8" t="s">
        <v>241</v>
      </c>
      <c r="E986" s="8" t="s">
        <v>40</v>
      </c>
      <c r="F986" s="8" t="s">
        <v>39</v>
      </c>
      <c r="G986" s="8" t="s">
        <v>885</v>
      </c>
      <c r="H986" s="8" t="s">
        <v>37</v>
      </c>
      <c r="I986" s="8" t="s">
        <v>53</v>
      </c>
      <c r="J986" s="8" t="s">
        <v>59</v>
      </c>
      <c r="K986" s="8" t="s">
        <v>1758</v>
      </c>
      <c r="L986" s="7">
        <v>7724</v>
      </c>
      <c r="M986" s="10" t="str">
        <f t="shared" si="90"/>
        <v>CMI02090300</v>
      </c>
      <c r="N986" s="10" t="str">
        <f t="shared" si="91"/>
        <v>SUM231000</v>
      </c>
      <c r="O986" s="10" t="str">
        <f t="shared" si="92"/>
        <v>E</v>
      </c>
      <c r="P986" s="10" t="str">
        <f t="shared" si="93"/>
        <v>50</v>
      </c>
      <c r="Q986" s="10" t="str">
        <f t="shared" si="94"/>
        <v>ZSUM</v>
      </c>
      <c r="R986" s="10" t="str">
        <f t="shared" si="95"/>
        <v>39121420</v>
      </c>
    </row>
    <row r="987" spans="1:18" ht="25.5" hidden="1" x14ac:dyDescent="0.2">
      <c r="A987" s="21" t="s">
        <v>1757</v>
      </c>
      <c r="B987" s="8" t="s">
        <v>1756</v>
      </c>
      <c r="C987" s="8" t="s">
        <v>40</v>
      </c>
      <c r="D987" s="8" t="s">
        <v>241</v>
      </c>
      <c r="E987" s="8" t="s">
        <v>40</v>
      </c>
      <c r="F987" s="8" t="s">
        <v>39</v>
      </c>
      <c r="G987" s="8" t="s">
        <v>60</v>
      </c>
      <c r="H987" s="8" t="s">
        <v>37</v>
      </c>
      <c r="I987" s="8" t="s">
        <v>53</v>
      </c>
      <c r="J987" s="8" t="s">
        <v>59</v>
      </c>
      <c r="K987" s="8" t="s">
        <v>1707</v>
      </c>
      <c r="L987" s="7">
        <v>7725</v>
      </c>
      <c r="M987" s="10" t="str">
        <f t="shared" si="90"/>
        <v>CMI02090300</v>
      </c>
      <c r="N987" s="10" t="str">
        <f t="shared" si="91"/>
        <v>SUM231200</v>
      </c>
      <c r="O987" s="10" t="str">
        <f t="shared" si="92"/>
        <v>E</v>
      </c>
      <c r="P987" s="10" t="str">
        <f t="shared" si="93"/>
        <v>50</v>
      </c>
      <c r="Q987" s="10" t="str">
        <f t="shared" si="94"/>
        <v>ZSUM</v>
      </c>
      <c r="R987" s="10" t="str">
        <f t="shared" si="95"/>
        <v>39121311</v>
      </c>
    </row>
    <row r="988" spans="1:18" ht="25.5" hidden="1" x14ac:dyDescent="0.2">
      <c r="A988" s="21" t="s">
        <v>1755</v>
      </c>
      <c r="B988" s="8" t="s">
        <v>1754</v>
      </c>
      <c r="C988" s="8" t="s">
        <v>40</v>
      </c>
      <c r="D988" s="8" t="s">
        <v>969</v>
      </c>
      <c r="E988" s="8" t="s">
        <v>40</v>
      </c>
      <c r="F988" s="8" t="s">
        <v>39</v>
      </c>
      <c r="G988" s="8" t="s">
        <v>885</v>
      </c>
      <c r="H988" s="8" t="s">
        <v>37</v>
      </c>
      <c r="I988" s="8" t="s">
        <v>53</v>
      </c>
      <c r="J988" s="8" t="s">
        <v>59</v>
      </c>
      <c r="K988" s="8" t="s">
        <v>1753</v>
      </c>
      <c r="L988" s="7">
        <v>7726</v>
      </c>
      <c r="M988" s="10" t="str">
        <f t="shared" si="90"/>
        <v>CMI02051200</v>
      </c>
      <c r="N988" s="10" t="str">
        <f t="shared" si="91"/>
        <v>SUM231000</v>
      </c>
      <c r="O988" s="10" t="str">
        <f t="shared" si="92"/>
        <v>E</v>
      </c>
      <c r="P988" s="10" t="str">
        <f t="shared" si="93"/>
        <v>50</v>
      </c>
      <c r="Q988" s="10" t="str">
        <f t="shared" si="94"/>
        <v>ZSUM</v>
      </c>
      <c r="R988" s="10" t="str">
        <f t="shared" si="95"/>
        <v>39131706</v>
      </c>
    </row>
    <row r="989" spans="1:18" ht="25.5" hidden="1" x14ac:dyDescent="0.2">
      <c r="A989" s="21" t="s">
        <v>1752</v>
      </c>
      <c r="B989" s="8" t="s">
        <v>1751</v>
      </c>
      <c r="C989" s="8" t="s">
        <v>40</v>
      </c>
      <c r="D989" s="8" t="s">
        <v>969</v>
      </c>
      <c r="E989" s="8" t="s">
        <v>40</v>
      </c>
      <c r="F989" s="8" t="s">
        <v>39</v>
      </c>
      <c r="G989" s="8" t="s">
        <v>60</v>
      </c>
      <c r="H989" s="8" t="s">
        <v>37</v>
      </c>
      <c r="I989" s="8" t="s">
        <v>53</v>
      </c>
      <c r="J989" s="8" t="s">
        <v>59</v>
      </c>
      <c r="K989" s="8" t="s">
        <v>1750</v>
      </c>
      <c r="L989" s="7">
        <v>7727</v>
      </c>
      <c r="M989" s="10" t="str">
        <f t="shared" si="90"/>
        <v>CMI02051200</v>
      </c>
      <c r="N989" s="10" t="str">
        <f t="shared" si="91"/>
        <v>SUM231200</v>
      </c>
      <c r="O989" s="10" t="str">
        <f t="shared" si="92"/>
        <v>E</v>
      </c>
      <c r="P989" s="10" t="str">
        <f t="shared" si="93"/>
        <v>50</v>
      </c>
      <c r="Q989" s="10" t="str">
        <f t="shared" si="94"/>
        <v>ZSUM</v>
      </c>
      <c r="R989" s="10" t="str">
        <f t="shared" si="95"/>
        <v>39121302</v>
      </c>
    </row>
    <row r="990" spans="1:18" ht="25.5" hidden="1" x14ac:dyDescent="0.2">
      <c r="A990" s="21" t="s">
        <v>1749</v>
      </c>
      <c r="B990" s="8" t="s">
        <v>1748</v>
      </c>
      <c r="C990" s="8" t="s">
        <v>40</v>
      </c>
      <c r="D990" s="8" t="s">
        <v>969</v>
      </c>
      <c r="E990" s="8" t="s">
        <v>40</v>
      </c>
      <c r="F990" s="8" t="s">
        <v>39</v>
      </c>
      <c r="G990" s="8" t="s">
        <v>885</v>
      </c>
      <c r="H990" s="8" t="s">
        <v>37</v>
      </c>
      <c r="I990" s="8" t="s">
        <v>53</v>
      </c>
      <c r="J990" s="8" t="s">
        <v>59</v>
      </c>
      <c r="K990" s="8" t="s">
        <v>1205</v>
      </c>
      <c r="L990" s="7">
        <v>7728</v>
      </c>
      <c r="M990" s="10" t="str">
        <f t="shared" si="90"/>
        <v>CMI02051200</v>
      </c>
      <c r="N990" s="10" t="str">
        <f t="shared" si="91"/>
        <v>SUM231000</v>
      </c>
      <c r="O990" s="10" t="str">
        <f t="shared" si="92"/>
        <v>E</v>
      </c>
      <c r="P990" s="10" t="str">
        <f t="shared" si="93"/>
        <v>50</v>
      </c>
      <c r="Q990" s="10" t="str">
        <f t="shared" si="94"/>
        <v>ZSUM</v>
      </c>
      <c r="R990" s="10" t="str">
        <f t="shared" si="95"/>
        <v>39121440</v>
      </c>
    </row>
    <row r="991" spans="1:18" ht="25.5" hidden="1" x14ac:dyDescent="0.2">
      <c r="A991" s="21" t="s">
        <v>1747</v>
      </c>
      <c r="B991" s="8" t="s">
        <v>1746</v>
      </c>
      <c r="C991" s="8" t="s">
        <v>40</v>
      </c>
      <c r="D991" s="8" t="s">
        <v>969</v>
      </c>
      <c r="E991" s="8" t="s">
        <v>40</v>
      </c>
      <c r="F991" s="8" t="s">
        <v>39</v>
      </c>
      <c r="G991" s="8" t="s">
        <v>885</v>
      </c>
      <c r="H991" s="8" t="s">
        <v>37</v>
      </c>
      <c r="I991" s="8" t="s">
        <v>53</v>
      </c>
      <c r="J991" s="8" t="s">
        <v>59</v>
      </c>
      <c r="K991" s="8" t="s">
        <v>265</v>
      </c>
      <c r="L991" s="7">
        <v>7729</v>
      </c>
      <c r="M991" s="10" t="str">
        <f t="shared" si="90"/>
        <v>CMI02051200</v>
      </c>
      <c r="N991" s="10" t="str">
        <f t="shared" si="91"/>
        <v>SUM231000</v>
      </c>
      <c r="O991" s="10" t="str">
        <f t="shared" si="92"/>
        <v>E</v>
      </c>
      <c r="P991" s="10" t="str">
        <f t="shared" si="93"/>
        <v>50</v>
      </c>
      <c r="Q991" s="10" t="str">
        <f t="shared" si="94"/>
        <v>ZSUM</v>
      </c>
      <c r="R991" s="10" t="str">
        <f t="shared" si="95"/>
        <v>39121600</v>
      </c>
    </row>
    <row r="992" spans="1:18" ht="25.5" hidden="1" x14ac:dyDescent="0.2">
      <c r="A992" s="21" t="s">
        <v>1745</v>
      </c>
      <c r="B992" s="8" t="s">
        <v>1744</v>
      </c>
      <c r="C992" s="8" t="s">
        <v>40</v>
      </c>
      <c r="D992" s="8" t="s">
        <v>969</v>
      </c>
      <c r="E992" s="7">
        <v>6</v>
      </c>
      <c r="F992" s="8" t="s">
        <v>39</v>
      </c>
      <c r="G992" s="8" t="s">
        <v>885</v>
      </c>
      <c r="H992" s="8" t="s">
        <v>37</v>
      </c>
      <c r="I992" s="8" t="s">
        <v>53</v>
      </c>
      <c r="J992" s="8" t="s">
        <v>59</v>
      </c>
      <c r="K992" s="8" t="s">
        <v>1743</v>
      </c>
      <c r="L992" s="7">
        <v>7730</v>
      </c>
      <c r="M992" s="10" t="str">
        <f t="shared" si="90"/>
        <v>CMI02051200</v>
      </c>
      <c r="N992" s="10" t="str">
        <f t="shared" si="91"/>
        <v>SUM231000</v>
      </c>
      <c r="O992" s="10" t="str">
        <f t="shared" si="92"/>
        <v>E</v>
      </c>
      <c r="P992" s="10" t="str">
        <f t="shared" si="93"/>
        <v>50</v>
      </c>
      <c r="Q992" s="10" t="str">
        <f t="shared" si="94"/>
        <v>ZSUM</v>
      </c>
      <c r="R992" s="10" t="str">
        <f t="shared" si="95"/>
        <v>39121300</v>
      </c>
    </row>
    <row r="993" spans="1:18" ht="38.25" hidden="1" x14ac:dyDescent="0.2">
      <c r="A993" s="21" t="s">
        <v>1742</v>
      </c>
      <c r="B993" s="8" t="s">
        <v>1741</v>
      </c>
      <c r="C993" s="8" t="s">
        <v>40</v>
      </c>
      <c r="D993" s="8" t="s">
        <v>969</v>
      </c>
      <c r="E993" s="8" t="s">
        <v>40</v>
      </c>
      <c r="F993" s="8" t="s">
        <v>39</v>
      </c>
      <c r="G993" s="8" t="s">
        <v>885</v>
      </c>
      <c r="H993" s="8" t="s">
        <v>37</v>
      </c>
      <c r="I993" s="8" t="s">
        <v>53</v>
      </c>
      <c r="J993" s="8" t="s">
        <v>59</v>
      </c>
      <c r="K993" s="8" t="s">
        <v>1208</v>
      </c>
      <c r="L993" s="7">
        <v>7731</v>
      </c>
      <c r="M993" s="10" t="str">
        <f t="shared" si="90"/>
        <v>CMI02051200</v>
      </c>
      <c r="N993" s="10" t="str">
        <f t="shared" si="91"/>
        <v>SUM231000</v>
      </c>
      <c r="O993" s="10" t="str">
        <f t="shared" si="92"/>
        <v>E</v>
      </c>
      <c r="P993" s="10" t="str">
        <f t="shared" si="93"/>
        <v>50</v>
      </c>
      <c r="Q993" s="10" t="str">
        <f t="shared" si="94"/>
        <v>ZSUM</v>
      </c>
      <c r="R993" s="10" t="str">
        <f t="shared" si="95"/>
        <v>39121400</v>
      </c>
    </row>
    <row r="994" spans="1:18" ht="25.5" hidden="1" x14ac:dyDescent="0.2">
      <c r="A994" s="21" t="s">
        <v>1740</v>
      </c>
      <c r="B994" s="8" t="s">
        <v>1739</v>
      </c>
      <c r="C994" s="8" t="s">
        <v>40</v>
      </c>
      <c r="D994" s="8" t="s">
        <v>969</v>
      </c>
      <c r="E994" s="8" t="s">
        <v>40</v>
      </c>
      <c r="F994" s="8" t="s">
        <v>39</v>
      </c>
      <c r="G994" s="8" t="s">
        <v>885</v>
      </c>
      <c r="H994" s="8" t="s">
        <v>37</v>
      </c>
      <c r="I994" s="8" t="s">
        <v>53</v>
      </c>
      <c r="J994" s="8" t="s">
        <v>59</v>
      </c>
      <c r="K994" s="8" t="s">
        <v>1738</v>
      </c>
      <c r="L994" s="7">
        <v>7732</v>
      </c>
      <c r="M994" s="10" t="str">
        <f t="shared" si="90"/>
        <v>CMI02051200</v>
      </c>
      <c r="N994" s="10" t="str">
        <f t="shared" si="91"/>
        <v>SUM231000</v>
      </c>
      <c r="O994" s="10" t="str">
        <f t="shared" si="92"/>
        <v>E</v>
      </c>
      <c r="P994" s="10" t="str">
        <f t="shared" si="93"/>
        <v>50</v>
      </c>
      <c r="Q994" s="10" t="str">
        <f t="shared" si="94"/>
        <v>ZSUM</v>
      </c>
      <c r="R994" s="10" t="str">
        <f t="shared" si="95"/>
        <v>39131718</v>
      </c>
    </row>
    <row r="995" spans="1:18" ht="25.5" hidden="1" x14ac:dyDescent="0.2">
      <c r="A995" s="21" t="s">
        <v>1737</v>
      </c>
      <c r="B995" s="8" t="s">
        <v>1736</v>
      </c>
      <c r="C995" s="8" t="s">
        <v>40</v>
      </c>
      <c r="D995" s="8" t="s">
        <v>969</v>
      </c>
      <c r="E995" s="8" t="s">
        <v>40</v>
      </c>
      <c r="F995" s="8" t="s">
        <v>39</v>
      </c>
      <c r="G995" s="8" t="s">
        <v>885</v>
      </c>
      <c r="H995" s="8" t="s">
        <v>37</v>
      </c>
      <c r="I995" s="8" t="s">
        <v>53</v>
      </c>
      <c r="J995" s="8" t="s">
        <v>59</v>
      </c>
      <c r="K995" s="8" t="s">
        <v>1735</v>
      </c>
      <c r="L995" s="7">
        <v>7733</v>
      </c>
      <c r="M995" s="10" t="str">
        <f t="shared" si="90"/>
        <v>CMI02051200</v>
      </c>
      <c r="N995" s="10" t="str">
        <f t="shared" si="91"/>
        <v>SUM231000</v>
      </c>
      <c r="O995" s="10" t="str">
        <f t="shared" si="92"/>
        <v>E</v>
      </c>
      <c r="P995" s="10" t="str">
        <f t="shared" si="93"/>
        <v>50</v>
      </c>
      <c r="Q995" s="10" t="str">
        <f t="shared" si="94"/>
        <v>ZSUM</v>
      </c>
      <c r="R995" s="10" t="str">
        <f t="shared" si="95"/>
        <v>31161728</v>
      </c>
    </row>
    <row r="996" spans="1:18" ht="25.5" hidden="1" x14ac:dyDescent="0.2">
      <c r="A996" s="21" t="s">
        <v>1734</v>
      </c>
      <c r="B996" s="8" t="s">
        <v>1733</v>
      </c>
      <c r="C996" s="8" t="s">
        <v>40</v>
      </c>
      <c r="D996" s="8" t="s">
        <v>969</v>
      </c>
      <c r="E996" s="8" t="s">
        <v>40</v>
      </c>
      <c r="F996" s="8" t="s">
        <v>39</v>
      </c>
      <c r="G996" s="8" t="s">
        <v>885</v>
      </c>
      <c r="H996" s="8" t="s">
        <v>37</v>
      </c>
      <c r="I996" s="8" t="s">
        <v>53</v>
      </c>
      <c r="J996" s="8" t="s">
        <v>59</v>
      </c>
      <c r="K996" s="8" t="s">
        <v>1732</v>
      </c>
      <c r="L996" s="7">
        <v>7734</v>
      </c>
      <c r="M996" s="10" t="str">
        <f t="shared" si="90"/>
        <v>CMI02051200</v>
      </c>
      <c r="N996" s="10" t="str">
        <f t="shared" si="91"/>
        <v>SUM231000</v>
      </c>
      <c r="O996" s="10" t="str">
        <f t="shared" si="92"/>
        <v>E</v>
      </c>
      <c r="P996" s="10" t="str">
        <f t="shared" si="93"/>
        <v>50</v>
      </c>
      <c r="Q996" s="10" t="str">
        <f t="shared" si="94"/>
        <v>ZSUM</v>
      </c>
      <c r="R996" s="10" t="str">
        <f t="shared" si="95"/>
        <v>39121402</v>
      </c>
    </row>
    <row r="997" spans="1:18" ht="38.25" hidden="1" x14ac:dyDescent="0.2">
      <c r="A997" s="21" t="s">
        <v>1731</v>
      </c>
      <c r="B997" s="8" t="s">
        <v>1730</v>
      </c>
      <c r="C997" s="8" t="s">
        <v>40</v>
      </c>
      <c r="D997" s="8" t="s">
        <v>969</v>
      </c>
      <c r="E997" s="8" t="s">
        <v>40</v>
      </c>
      <c r="F997" s="8" t="s">
        <v>39</v>
      </c>
      <c r="G997" s="8" t="s">
        <v>208</v>
      </c>
      <c r="H997" s="8" t="s">
        <v>37</v>
      </c>
      <c r="I997" s="8" t="s">
        <v>36</v>
      </c>
      <c r="J997" s="8" t="s">
        <v>59</v>
      </c>
      <c r="K997" s="8" t="s">
        <v>1208</v>
      </c>
      <c r="L997" s="7">
        <v>7735</v>
      </c>
      <c r="M997" s="10" t="str">
        <f t="shared" si="90"/>
        <v>CMI02051200</v>
      </c>
      <c r="N997" s="10" t="str">
        <f t="shared" si="91"/>
        <v>SUM301000</v>
      </c>
      <c r="O997" s="10" t="str">
        <f t="shared" si="92"/>
        <v>E</v>
      </c>
      <c r="P997" s="10" t="str">
        <f t="shared" si="93"/>
        <v>10</v>
      </c>
      <c r="Q997" s="10" t="str">
        <f t="shared" si="94"/>
        <v>ZSUM</v>
      </c>
      <c r="R997" s="10" t="str">
        <f t="shared" si="95"/>
        <v>39121400</v>
      </c>
    </row>
    <row r="998" spans="1:18" ht="25.5" hidden="1" x14ac:dyDescent="0.2">
      <c r="A998" s="21" t="s">
        <v>1729</v>
      </c>
      <c r="B998" s="8" t="s">
        <v>1728</v>
      </c>
      <c r="C998" s="8" t="s">
        <v>40</v>
      </c>
      <c r="D998" s="8" t="s">
        <v>969</v>
      </c>
      <c r="E998" s="8" t="s">
        <v>40</v>
      </c>
      <c r="F998" s="8" t="s">
        <v>39</v>
      </c>
      <c r="G998" s="8" t="s">
        <v>885</v>
      </c>
      <c r="H998" s="8" t="s">
        <v>37</v>
      </c>
      <c r="I998" s="8" t="s">
        <v>53</v>
      </c>
      <c r="J998" s="8" t="s">
        <v>59</v>
      </c>
      <c r="K998" s="8" t="s">
        <v>1727</v>
      </c>
      <c r="L998" s="7">
        <v>7736</v>
      </c>
      <c r="M998" s="10" t="str">
        <f t="shared" si="90"/>
        <v>CMI02051200</v>
      </c>
      <c r="N998" s="10" t="str">
        <f t="shared" si="91"/>
        <v>SUM231000</v>
      </c>
      <c r="O998" s="10" t="str">
        <f t="shared" si="92"/>
        <v>E</v>
      </c>
      <c r="P998" s="10" t="str">
        <f t="shared" si="93"/>
        <v>50</v>
      </c>
      <c r="Q998" s="10" t="str">
        <f t="shared" si="94"/>
        <v>ZSUM</v>
      </c>
      <c r="R998" s="10" t="str">
        <f t="shared" si="95"/>
        <v>39121306</v>
      </c>
    </row>
    <row r="999" spans="1:18" ht="25.5" hidden="1" x14ac:dyDescent="0.2">
      <c r="A999" s="21" t="s">
        <v>1726</v>
      </c>
      <c r="B999" s="8" t="s">
        <v>1725</v>
      </c>
      <c r="C999" s="8" t="s">
        <v>40</v>
      </c>
      <c r="D999" s="8" t="s">
        <v>969</v>
      </c>
      <c r="E999" s="8" t="s">
        <v>40</v>
      </c>
      <c r="F999" s="8" t="s">
        <v>39</v>
      </c>
      <c r="G999" s="8" t="s">
        <v>885</v>
      </c>
      <c r="H999" s="8" t="s">
        <v>37</v>
      </c>
      <c r="I999" s="8" t="s">
        <v>53</v>
      </c>
      <c r="J999" s="8" t="s">
        <v>59</v>
      </c>
      <c r="K999" s="8" t="s">
        <v>1724</v>
      </c>
      <c r="L999" s="7">
        <v>7737</v>
      </c>
      <c r="M999" s="10" t="str">
        <f t="shared" si="90"/>
        <v>CMI02051200</v>
      </c>
      <c r="N999" s="10" t="str">
        <f t="shared" si="91"/>
        <v>SUM231000</v>
      </c>
      <c r="O999" s="10" t="str">
        <f t="shared" si="92"/>
        <v>E</v>
      </c>
      <c r="P999" s="10" t="str">
        <f t="shared" si="93"/>
        <v>50</v>
      </c>
      <c r="Q999" s="10" t="str">
        <f t="shared" si="94"/>
        <v>ZSUM</v>
      </c>
      <c r="R999" s="10" t="str">
        <f t="shared" si="95"/>
        <v>39122200</v>
      </c>
    </row>
    <row r="1000" spans="1:18" ht="25.5" hidden="1" x14ac:dyDescent="0.2">
      <c r="A1000" s="21" t="s">
        <v>1723</v>
      </c>
      <c r="B1000" s="8" t="s">
        <v>1722</v>
      </c>
      <c r="C1000" s="8" t="s">
        <v>40</v>
      </c>
      <c r="D1000" s="8" t="s">
        <v>969</v>
      </c>
      <c r="E1000" s="8" t="s">
        <v>40</v>
      </c>
      <c r="F1000" s="8" t="s">
        <v>39</v>
      </c>
      <c r="G1000" s="8" t="s">
        <v>885</v>
      </c>
      <c r="H1000" s="8" t="s">
        <v>37</v>
      </c>
      <c r="I1000" s="8" t="s">
        <v>53</v>
      </c>
      <c r="J1000" s="8" t="s">
        <v>59</v>
      </c>
      <c r="K1000" s="8" t="s">
        <v>1713</v>
      </c>
      <c r="L1000" s="7">
        <v>7738</v>
      </c>
      <c r="M1000" s="10" t="str">
        <f t="shared" si="90"/>
        <v>CMI02051200</v>
      </c>
      <c r="N1000" s="10" t="str">
        <f t="shared" si="91"/>
        <v>SUM231000</v>
      </c>
      <c r="O1000" s="10" t="str">
        <f t="shared" si="92"/>
        <v>E</v>
      </c>
      <c r="P1000" s="10" t="str">
        <f t="shared" si="93"/>
        <v>50</v>
      </c>
      <c r="Q1000" s="10" t="str">
        <f t="shared" si="94"/>
        <v>ZSUM</v>
      </c>
      <c r="R1000" s="10" t="str">
        <f t="shared" si="95"/>
        <v>39121432</v>
      </c>
    </row>
    <row r="1001" spans="1:18" ht="25.5" hidden="1" x14ac:dyDescent="0.2">
      <c r="A1001" s="21" t="s">
        <v>1721</v>
      </c>
      <c r="B1001" s="8" t="s">
        <v>1720</v>
      </c>
      <c r="C1001" s="8" t="s">
        <v>40</v>
      </c>
      <c r="D1001" s="8" t="s">
        <v>969</v>
      </c>
      <c r="E1001" s="8" t="s">
        <v>40</v>
      </c>
      <c r="F1001" s="8" t="s">
        <v>39</v>
      </c>
      <c r="G1001" s="8" t="s">
        <v>885</v>
      </c>
      <c r="H1001" s="8" t="s">
        <v>37</v>
      </c>
      <c r="I1001" s="8" t="s">
        <v>53</v>
      </c>
      <c r="J1001" s="8" t="s">
        <v>59</v>
      </c>
      <c r="K1001" s="8" t="s">
        <v>1713</v>
      </c>
      <c r="L1001" s="7">
        <v>7739</v>
      </c>
      <c r="M1001" s="10" t="str">
        <f t="shared" si="90"/>
        <v>CMI02051200</v>
      </c>
      <c r="N1001" s="10" t="str">
        <f t="shared" si="91"/>
        <v>SUM231000</v>
      </c>
      <c r="O1001" s="10" t="str">
        <f t="shared" si="92"/>
        <v>E</v>
      </c>
      <c r="P1001" s="10" t="str">
        <f t="shared" si="93"/>
        <v>50</v>
      </c>
      <c r="Q1001" s="10" t="str">
        <f t="shared" si="94"/>
        <v>ZSUM</v>
      </c>
      <c r="R1001" s="10" t="str">
        <f t="shared" si="95"/>
        <v>39121432</v>
      </c>
    </row>
    <row r="1002" spans="1:18" ht="25.5" hidden="1" x14ac:dyDescent="0.2">
      <c r="A1002" s="21" t="s">
        <v>1719</v>
      </c>
      <c r="B1002" s="8" t="s">
        <v>1718</v>
      </c>
      <c r="C1002" s="8" t="s">
        <v>40</v>
      </c>
      <c r="D1002" s="8" t="s">
        <v>969</v>
      </c>
      <c r="E1002" s="8" t="s">
        <v>40</v>
      </c>
      <c r="F1002" s="8" t="s">
        <v>39</v>
      </c>
      <c r="G1002" s="8" t="s">
        <v>885</v>
      </c>
      <c r="H1002" s="8" t="s">
        <v>37</v>
      </c>
      <c r="I1002" s="8" t="s">
        <v>36</v>
      </c>
      <c r="J1002" s="8" t="s">
        <v>59</v>
      </c>
      <c r="K1002" s="8" t="s">
        <v>1202</v>
      </c>
      <c r="L1002" s="7">
        <v>7740</v>
      </c>
      <c r="M1002" s="10" t="str">
        <f t="shared" si="90"/>
        <v>CMI02051200</v>
      </c>
      <c r="N1002" s="10" t="str">
        <f t="shared" si="91"/>
        <v>SUM231000</v>
      </c>
      <c r="O1002" s="10" t="str">
        <f t="shared" si="92"/>
        <v>E</v>
      </c>
      <c r="P1002" s="10" t="str">
        <f t="shared" si="93"/>
        <v>10</v>
      </c>
      <c r="Q1002" s="10" t="str">
        <f t="shared" si="94"/>
        <v>ZSUM</v>
      </c>
      <c r="R1002" s="10" t="str">
        <f t="shared" si="95"/>
        <v>40141734</v>
      </c>
    </row>
    <row r="1003" spans="1:18" ht="25.5" hidden="1" x14ac:dyDescent="0.2">
      <c r="A1003" s="21" t="s">
        <v>1717</v>
      </c>
      <c r="B1003" s="8" t="s">
        <v>1716</v>
      </c>
      <c r="C1003" s="8" t="s">
        <v>40</v>
      </c>
      <c r="D1003" s="8" t="s">
        <v>969</v>
      </c>
      <c r="E1003" s="8" t="s">
        <v>40</v>
      </c>
      <c r="F1003" s="8" t="s">
        <v>39</v>
      </c>
      <c r="G1003" s="8" t="s">
        <v>885</v>
      </c>
      <c r="H1003" s="8" t="s">
        <v>37</v>
      </c>
      <c r="I1003" s="8" t="s">
        <v>53</v>
      </c>
      <c r="J1003" s="8" t="s">
        <v>59</v>
      </c>
      <c r="K1003" s="8" t="s">
        <v>1713</v>
      </c>
      <c r="L1003" s="7">
        <v>7741</v>
      </c>
      <c r="M1003" s="10" t="str">
        <f t="shared" si="90"/>
        <v>CMI02051200</v>
      </c>
      <c r="N1003" s="10" t="str">
        <f t="shared" si="91"/>
        <v>SUM231000</v>
      </c>
      <c r="O1003" s="10" t="str">
        <f t="shared" si="92"/>
        <v>E</v>
      </c>
      <c r="P1003" s="10" t="str">
        <f t="shared" si="93"/>
        <v>50</v>
      </c>
      <c r="Q1003" s="10" t="str">
        <f t="shared" si="94"/>
        <v>ZSUM</v>
      </c>
      <c r="R1003" s="10" t="str">
        <f t="shared" si="95"/>
        <v>39121432</v>
      </c>
    </row>
    <row r="1004" spans="1:18" ht="25.5" hidden="1" x14ac:dyDescent="0.2">
      <c r="A1004" s="21" t="s">
        <v>1715</v>
      </c>
      <c r="B1004" s="8" t="s">
        <v>1714</v>
      </c>
      <c r="C1004" s="8" t="s">
        <v>40</v>
      </c>
      <c r="D1004" s="8" t="s">
        <v>969</v>
      </c>
      <c r="E1004" s="8" t="s">
        <v>40</v>
      </c>
      <c r="F1004" s="8" t="s">
        <v>39</v>
      </c>
      <c r="G1004" s="8" t="s">
        <v>885</v>
      </c>
      <c r="H1004" s="8" t="s">
        <v>37</v>
      </c>
      <c r="I1004" s="8" t="s">
        <v>53</v>
      </c>
      <c r="J1004" s="8" t="s">
        <v>59</v>
      </c>
      <c r="K1004" s="8" t="s">
        <v>1713</v>
      </c>
      <c r="L1004" s="7">
        <v>7742</v>
      </c>
      <c r="M1004" s="10" t="str">
        <f t="shared" si="90"/>
        <v>CMI02051200</v>
      </c>
      <c r="N1004" s="10" t="str">
        <f t="shared" si="91"/>
        <v>SUM231000</v>
      </c>
      <c r="O1004" s="10" t="str">
        <f t="shared" si="92"/>
        <v>E</v>
      </c>
      <c r="P1004" s="10" t="str">
        <f t="shared" si="93"/>
        <v>50</v>
      </c>
      <c r="Q1004" s="10" t="str">
        <f t="shared" si="94"/>
        <v>ZSUM</v>
      </c>
      <c r="R1004" s="10" t="str">
        <f t="shared" si="95"/>
        <v>39121432</v>
      </c>
    </row>
    <row r="1005" spans="1:18" ht="25.5" hidden="1" x14ac:dyDescent="0.2">
      <c r="A1005" s="21" t="s">
        <v>1712</v>
      </c>
      <c r="B1005" s="8" t="s">
        <v>1711</v>
      </c>
      <c r="C1005" s="8" t="s">
        <v>40</v>
      </c>
      <c r="D1005" s="8" t="s">
        <v>969</v>
      </c>
      <c r="E1005" s="8" t="s">
        <v>40</v>
      </c>
      <c r="F1005" s="8" t="s">
        <v>39</v>
      </c>
      <c r="G1005" s="8" t="s">
        <v>885</v>
      </c>
      <c r="H1005" s="8" t="s">
        <v>37</v>
      </c>
      <c r="I1005" s="8" t="s">
        <v>53</v>
      </c>
      <c r="J1005" s="8" t="s">
        <v>59</v>
      </c>
      <c r="K1005" s="8" t="s">
        <v>1710</v>
      </c>
      <c r="L1005" s="7">
        <v>7743</v>
      </c>
      <c r="M1005" s="10" t="str">
        <f t="shared" si="90"/>
        <v>CMI02051200</v>
      </c>
      <c r="N1005" s="10" t="str">
        <f t="shared" si="91"/>
        <v>SUM231000</v>
      </c>
      <c r="O1005" s="10" t="str">
        <f t="shared" si="92"/>
        <v>E</v>
      </c>
      <c r="P1005" s="10" t="str">
        <f t="shared" si="93"/>
        <v>50</v>
      </c>
      <c r="Q1005" s="10" t="str">
        <f t="shared" si="94"/>
        <v>ZSUM</v>
      </c>
      <c r="R1005" s="10" t="str">
        <f t="shared" si="95"/>
        <v>40183006</v>
      </c>
    </row>
    <row r="1006" spans="1:18" ht="25.5" hidden="1" x14ac:dyDescent="0.2">
      <c r="A1006" s="21" t="s">
        <v>1709</v>
      </c>
      <c r="B1006" s="8" t="s">
        <v>1708</v>
      </c>
      <c r="C1006" s="8" t="s">
        <v>40</v>
      </c>
      <c r="D1006" s="8" t="s">
        <v>969</v>
      </c>
      <c r="E1006" s="8" t="s">
        <v>40</v>
      </c>
      <c r="F1006" s="8" t="s">
        <v>39</v>
      </c>
      <c r="G1006" s="8" t="s">
        <v>885</v>
      </c>
      <c r="H1006" s="8" t="s">
        <v>37</v>
      </c>
      <c r="I1006" s="8" t="s">
        <v>53</v>
      </c>
      <c r="J1006" s="8" t="s">
        <v>59</v>
      </c>
      <c r="K1006" s="8" t="s">
        <v>1707</v>
      </c>
      <c r="L1006" s="7">
        <v>7744</v>
      </c>
      <c r="M1006" s="10" t="str">
        <f t="shared" si="90"/>
        <v>CMI02051200</v>
      </c>
      <c r="N1006" s="10" t="str">
        <f t="shared" si="91"/>
        <v>SUM231000</v>
      </c>
      <c r="O1006" s="10" t="str">
        <f t="shared" si="92"/>
        <v>E</v>
      </c>
      <c r="P1006" s="10" t="str">
        <f t="shared" si="93"/>
        <v>50</v>
      </c>
      <c r="Q1006" s="10" t="str">
        <f t="shared" si="94"/>
        <v>ZSUM</v>
      </c>
      <c r="R1006" s="10" t="str">
        <f t="shared" si="95"/>
        <v>39121311</v>
      </c>
    </row>
    <row r="1007" spans="1:18" ht="25.5" hidden="1" x14ac:dyDescent="0.2">
      <c r="A1007" s="21" t="s">
        <v>1706</v>
      </c>
      <c r="B1007" s="8" t="s">
        <v>1705</v>
      </c>
      <c r="C1007" s="8" t="s">
        <v>40</v>
      </c>
      <c r="D1007" s="8" t="s">
        <v>947</v>
      </c>
      <c r="E1007" s="8" t="s">
        <v>40</v>
      </c>
      <c r="F1007" s="8" t="s">
        <v>39</v>
      </c>
      <c r="G1007" s="8" t="s">
        <v>885</v>
      </c>
      <c r="H1007" s="8" t="s">
        <v>37</v>
      </c>
      <c r="I1007" s="8" t="s">
        <v>53</v>
      </c>
      <c r="J1007" s="8" t="s">
        <v>59</v>
      </c>
      <c r="K1007" s="8" t="s">
        <v>1704</v>
      </c>
      <c r="L1007" s="7">
        <v>7745</v>
      </c>
      <c r="M1007" s="10" t="str">
        <f t="shared" si="90"/>
        <v>CMI02160200</v>
      </c>
      <c r="N1007" s="10" t="str">
        <f t="shared" si="91"/>
        <v>SUM231000</v>
      </c>
      <c r="O1007" s="10" t="str">
        <f t="shared" si="92"/>
        <v>E</v>
      </c>
      <c r="P1007" s="10" t="str">
        <f t="shared" si="93"/>
        <v>50</v>
      </c>
      <c r="Q1007" s="10" t="str">
        <f t="shared" si="94"/>
        <v>ZSUM</v>
      </c>
      <c r="R1007" s="10" t="str">
        <f t="shared" si="95"/>
        <v>26111702</v>
      </c>
    </row>
    <row r="1008" spans="1:18" ht="25.5" hidden="1" x14ac:dyDescent="0.2">
      <c r="A1008" s="21" t="s">
        <v>1703</v>
      </c>
      <c r="B1008" s="8" t="s">
        <v>1702</v>
      </c>
      <c r="C1008" s="8" t="s">
        <v>40</v>
      </c>
      <c r="D1008" s="8" t="s">
        <v>947</v>
      </c>
      <c r="E1008" s="8" t="s">
        <v>40</v>
      </c>
      <c r="F1008" s="8" t="s">
        <v>39</v>
      </c>
      <c r="G1008" s="8" t="s">
        <v>885</v>
      </c>
      <c r="H1008" s="8" t="s">
        <v>37</v>
      </c>
      <c r="I1008" s="8" t="s">
        <v>53</v>
      </c>
      <c r="J1008" s="8" t="s">
        <v>59</v>
      </c>
      <c r="K1008" s="8" t="s">
        <v>1701</v>
      </c>
      <c r="L1008" s="7">
        <v>7746</v>
      </c>
      <c r="M1008" s="10" t="str">
        <f t="shared" si="90"/>
        <v>CMI02160200</v>
      </c>
      <c r="N1008" s="10" t="str">
        <f t="shared" si="91"/>
        <v>SUM231000</v>
      </c>
      <c r="O1008" s="10" t="str">
        <f t="shared" si="92"/>
        <v>E</v>
      </c>
      <c r="P1008" s="10" t="str">
        <f t="shared" si="93"/>
        <v>50</v>
      </c>
      <c r="Q1008" s="10" t="str">
        <f t="shared" si="94"/>
        <v>ZSUM</v>
      </c>
      <c r="R1008" s="10" t="str">
        <f t="shared" si="95"/>
        <v>26121616</v>
      </c>
    </row>
    <row r="1009" spans="1:18" ht="25.5" hidden="1" x14ac:dyDescent="0.2">
      <c r="A1009" s="21" t="s">
        <v>1700</v>
      </c>
      <c r="B1009" s="8" t="s">
        <v>1699</v>
      </c>
      <c r="C1009" s="8" t="s">
        <v>40</v>
      </c>
      <c r="D1009" s="8" t="s">
        <v>947</v>
      </c>
      <c r="E1009" s="8" t="s">
        <v>40</v>
      </c>
      <c r="F1009" s="8" t="s">
        <v>39</v>
      </c>
      <c r="G1009" s="8" t="s">
        <v>624</v>
      </c>
      <c r="H1009" s="8" t="s">
        <v>37</v>
      </c>
      <c r="I1009" s="8" t="s">
        <v>53</v>
      </c>
      <c r="J1009" s="8" t="s">
        <v>59</v>
      </c>
      <c r="K1009" s="8" t="s">
        <v>1698</v>
      </c>
      <c r="L1009" s="7">
        <v>7747</v>
      </c>
      <c r="M1009" s="10" t="str">
        <f t="shared" si="90"/>
        <v>CMI02160200</v>
      </c>
      <c r="N1009" s="10" t="str">
        <f t="shared" si="91"/>
        <v>SUM231400</v>
      </c>
      <c r="O1009" s="10" t="str">
        <f t="shared" si="92"/>
        <v>E</v>
      </c>
      <c r="P1009" s="10" t="str">
        <f t="shared" si="93"/>
        <v>50</v>
      </c>
      <c r="Q1009" s="10" t="str">
        <f t="shared" si="94"/>
        <v>ZSUM</v>
      </c>
      <c r="R1009" s="10" t="str">
        <f t="shared" si="95"/>
        <v>26111704</v>
      </c>
    </row>
    <row r="1010" spans="1:18" ht="25.5" hidden="1" x14ac:dyDescent="0.2">
      <c r="A1010" s="21" t="s">
        <v>1697</v>
      </c>
      <c r="B1010" s="8" t="s">
        <v>1696</v>
      </c>
      <c r="C1010" s="8" t="s">
        <v>40</v>
      </c>
      <c r="D1010" s="8" t="s">
        <v>969</v>
      </c>
      <c r="E1010" s="8" t="s">
        <v>40</v>
      </c>
      <c r="F1010" s="8" t="s">
        <v>39</v>
      </c>
      <c r="G1010" s="8" t="s">
        <v>624</v>
      </c>
      <c r="H1010" s="8" t="s">
        <v>37</v>
      </c>
      <c r="I1010" s="8" t="s">
        <v>53</v>
      </c>
      <c r="J1010" s="8" t="s">
        <v>59</v>
      </c>
      <c r="K1010" s="8" t="s">
        <v>1695</v>
      </c>
      <c r="L1010" s="7">
        <v>7748</v>
      </c>
      <c r="M1010" s="10" t="str">
        <f t="shared" si="90"/>
        <v>CMI02051200</v>
      </c>
      <c r="N1010" s="10" t="str">
        <f t="shared" si="91"/>
        <v>SUM231400</v>
      </c>
      <c r="O1010" s="10" t="str">
        <f t="shared" si="92"/>
        <v>E</v>
      </c>
      <c r="P1010" s="10" t="str">
        <f t="shared" si="93"/>
        <v>50</v>
      </c>
      <c r="Q1010" s="10" t="str">
        <f t="shared" si="94"/>
        <v>ZSUM</v>
      </c>
      <c r="R1010" s="10" t="str">
        <f t="shared" si="95"/>
        <v>39121101</v>
      </c>
    </row>
    <row r="1011" spans="1:18" ht="38.25" hidden="1" x14ac:dyDescent="0.2">
      <c r="A1011" s="21" t="s">
        <v>1694</v>
      </c>
      <c r="B1011" s="8" t="s">
        <v>1693</v>
      </c>
      <c r="C1011" s="8" t="s">
        <v>40</v>
      </c>
      <c r="D1011" s="8" t="s">
        <v>241</v>
      </c>
      <c r="E1011" s="8" t="s">
        <v>40</v>
      </c>
      <c r="F1011" s="8" t="s">
        <v>39</v>
      </c>
      <c r="G1011" s="8" t="s">
        <v>60</v>
      </c>
      <c r="H1011" s="8" t="s">
        <v>37</v>
      </c>
      <c r="I1011" s="8" t="s">
        <v>53</v>
      </c>
      <c r="J1011" s="8" t="s">
        <v>59</v>
      </c>
      <c r="K1011" s="8" t="s">
        <v>1692</v>
      </c>
      <c r="L1011" s="7">
        <v>7749</v>
      </c>
      <c r="M1011" s="10" t="str">
        <f t="shared" si="90"/>
        <v>CMI02090300</v>
      </c>
      <c r="N1011" s="10" t="str">
        <f t="shared" si="91"/>
        <v>SUM231200</v>
      </c>
      <c r="O1011" s="10" t="str">
        <f t="shared" si="92"/>
        <v>E</v>
      </c>
      <c r="P1011" s="10" t="str">
        <f t="shared" si="93"/>
        <v>50</v>
      </c>
      <c r="Q1011" s="10" t="str">
        <f t="shared" si="94"/>
        <v>ZSUM</v>
      </c>
      <c r="R1011" s="10" t="str">
        <f t="shared" si="95"/>
        <v>39121009</v>
      </c>
    </row>
    <row r="1012" spans="1:18" ht="25.5" hidden="1" x14ac:dyDescent="0.2">
      <c r="A1012" s="21" t="s">
        <v>1691</v>
      </c>
      <c r="B1012" s="8" t="s">
        <v>1690</v>
      </c>
      <c r="C1012" s="8" t="s">
        <v>40</v>
      </c>
      <c r="D1012" s="8" t="s">
        <v>363</v>
      </c>
      <c r="E1012" s="8" t="s">
        <v>40</v>
      </c>
      <c r="F1012" s="8" t="s">
        <v>39</v>
      </c>
      <c r="G1012" s="8" t="s">
        <v>60</v>
      </c>
      <c r="H1012" s="8" t="s">
        <v>37</v>
      </c>
      <c r="I1012" s="8" t="s">
        <v>53</v>
      </c>
      <c r="J1012" s="8" t="s">
        <v>59</v>
      </c>
      <c r="K1012" s="8" t="s">
        <v>1689</v>
      </c>
      <c r="L1012" s="7">
        <v>7750</v>
      </c>
      <c r="M1012" s="10" t="str">
        <f t="shared" si="90"/>
        <v>CMI02051300</v>
      </c>
      <c r="N1012" s="10" t="str">
        <f t="shared" si="91"/>
        <v>SUM231200</v>
      </c>
      <c r="O1012" s="10" t="str">
        <f t="shared" si="92"/>
        <v>E</v>
      </c>
      <c r="P1012" s="10" t="str">
        <f t="shared" si="93"/>
        <v>50</v>
      </c>
      <c r="Q1012" s="10" t="str">
        <f t="shared" si="94"/>
        <v>ZSUM</v>
      </c>
      <c r="R1012" s="10" t="str">
        <f t="shared" si="95"/>
        <v>30264305</v>
      </c>
    </row>
    <row r="1013" spans="1:18" ht="25.5" hidden="1" x14ac:dyDescent="0.2">
      <c r="A1013" s="21" t="s">
        <v>1688</v>
      </c>
      <c r="B1013" s="8" t="s">
        <v>1687</v>
      </c>
      <c r="C1013" s="8" t="s">
        <v>40</v>
      </c>
      <c r="D1013" s="8" t="s">
        <v>969</v>
      </c>
      <c r="E1013" s="8" t="s">
        <v>40</v>
      </c>
      <c r="F1013" s="8" t="s">
        <v>39</v>
      </c>
      <c r="G1013" s="8" t="s">
        <v>885</v>
      </c>
      <c r="H1013" s="8" t="s">
        <v>37</v>
      </c>
      <c r="I1013" s="8" t="s">
        <v>53</v>
      </c>
      <c r="J1013" s="8" t="s">
        <v>59</v>
      </c>
      <c r="K1013" s="8" t="s">
        <v>1686</v>
      </c>
      <c r="L1013" s="7">
        <v>7751</v>
      </c>
      <c r="M1013" s="10" t="str">
        <f t="shared" si="90"/>
        <v>CMI02051200</v>
      </c>
      <c r="N1013" s="10" t="str">
        <f t="shared" si="91"/>
        <v>SUM231000</v>
      </c>
      <c r="O1013" s="10" t="str">
        <f t="shared" si="92"/>
        <v>E</v>
      </c>
      <c r="P1013" s="10" t="str">
        <f t="shared" si="93"/>
        <v>50</v>
      </c>
      <c r="Q1013" s="10" t="str">
        <f t="shared" si="94"/>
        <v>ZSUM</v>
      </c>
      <c r="R1013" s="10" t="str">
        <f t="shared" si="95"/>
        <v>39111813</v>
      </c>
    </row>
    <row r="1014" spans="1:18" ht="25.5" hidden="1" x14ac:dyDescent="0.2">
      <c r="A1014" s="21" t="s">
        <v>1685</v>
      </c>
      <c r="B1014" s="8" t="s">
        <v>1684</v>
      </c>
      <c r="C1014" s="8" t="s">
        <v>40</v>
      </c>
      <c r="D1014" s="8" t="s">
        <v>969</v>
      </c>
      <c r="E1014" s="8" t="s">
        <v>40</v>
      </c>
      <c r="F1014" s="8" t="s">
        <v>39</v>
      </c>
      <c r="G1014" s="8" t="s">
        <v>885</v>
      </c>
      <c r="H1014" s="8" t="s">
        <v>37</v>
      </c>
      <c r="I1014" s="8" t="s">
        <v>53</v>
      </c>
      <c r="J1014" s="8" t="s">
        <v>59</v>
      </c>
      <c r="K1014" s="8" t="s">
        <v>1683</v>
      </c>
      <c r="L1014" s="7">
        <v>7752</v>
      </c>
      <c r="M1014" s="10" t="str">
        <f t="shared" si="90"/>
        <v>CMI02051200</v>
      </c>
      <c r="N1014" s="10" t="str">
        <f t="shared" si="91"/>
        <v>SUM231000</v>
      </c>
      <c r="O1014" s="10" t="str">
        <f t="shared" si="92"/>
        <v>E</v>
      </c>
      <c r="P1014" s="10" t="str">
        <f t="shared" si="93"/>
        <v>50</v>
      </c>
      <c r="Q1014" s="10" t="str">
        <f t="shared" si="94"/>
        <v>ZSUM</v>
      </c>
      <c r="R1014" s="10" t="str">
        <f t="shared" si="95"/>
        <v>39111801</v>
      </c>
    </row>
    <row r="1015" spans="1:18" ht="25.5" hidden="1" x14ac:dyDescent="0.2">
      <c r="A1015" s="21" t="s">
        <v>1682</v>
      </c>
      <c r="B1015" s="8" t="s">
        <v>1681</v>
      </c>
      <c r="C1015" s="8" t="s">
        <v>40</v>
      </c>
      <c r="D1015" s="8" t="s">
        <v>969</v>
      </c>
      <c r="E1015" s="8" t="s">
        <v>40</v>
      </c>
      <c r="F1015" s="8" t="s">
        <v>39</v>
      </c>
      <c r="G1015" s="8" t="s">
        <v>885</v>
      </c>
      <c r="H1015" s="8" t="s">
        <v>37</v>
      </c>
      <c r="I1015" s="8" t="s">
        <v>53</v>
      </c>
      <c r="J1015" s="8" t="s">
        <v>59</v>
      </c>
      <c r="K1015" s="8" t="s">
        <v>1680</v>
      </c>
      <c r="L1015" s="7">
        <v>7753</v>
      </c>
      <c r="M1015" s="10" t="str">
        <f t="shared" si="90"/>
        <v>CMI02051200</v>
      </c>
      <c r="N1015" s="10" t="str">
        <f t="shared" si="91"/>
        <v>SUM231000</v>
      </c>
      <c r="O1015" s="10" t="str">
        <f t="shared" si="92"/>
        <v>E</v>
      </c>
      <c r="P1015" s="10" t="str">
        <f t="shared" si="93"/>
        <v>50</v>
      </c>
      <c r="Q1015" s="10" t="str">
        <f t="shared" si="94"/>
        <v>ZSUM</v>
      </c>
      <c r="R1015" s="10" t="str">
        <f t="shared" si="95"/>
        <v>39112501</v>
      </c>
    </row>
    <row r="1016" spans="1:18" ht="25.5" hidden="1" x14ac:dyDescent="0.2">
      <c r="A1016" s="21" t="s">
        <v>1679</v>
      </c>
      <c r="B1016" s="8" t="s">
        <v>1678</v>
      </c>
      <c r="C1016" s="8" t="s">
        <v>40</v>
      </c>
      <c r="D1016" s="8" t="s">
        <v>969</v>
      </c>
      <c r="E1016" s="8" t="s">
        <v>40</v>
      </c>
      <c r="F1016" s="8" t="s">
        <v>39</v>
      </c>
      <c r="G1016" s="8" t="s">
        <v>885</v>
      </c>
      <c r="H1016" s="8" t="s">
        <v>37</v>
      </c>
      <c r="I1016" s="8" t="s">
        <v>53</v>
      </c>
      <c r="J1016" s="8" t="s">
        <v>59</v>
      </c>
      <c r="K1016" s="8" t="s">
        <v>1677</v>
      </c>
      <c r="L1016" s="7">
        <v>7754</v>
      </c>
      <c r="M1016" s="10" t="str">
        <f t="shared" si="90"/>
        <v>CMI02051200</v>
      </c>
      <c r="N1016" s="10" t="str">
        <f t="shared" si="91"/>
        <v>SUM231000</v>
      </c>
      <c r="O1016" s="10" t="str">
        <f t="shared" si="92"/>
        <v>E</v>
      </c>
      <c r="P1016" s="10" t="str">
        <f t="shared" si="93"/>
        <v>50</v>
      </c>
      <c r="Q1016" s="10" t="str">
        <f t="shared" si="94"/>
        <v>ZSUM</v>
      </c>
      <c r="R1016" s="10" t="str">
        <f t="shared" si="95"/>
        <v>39101614</v>
      </c>
    </row>
    <row r="1017" spans="1:18" ht="25.5" hidden="1" x14ac:dyDescent="0.2">
      <c r="A1017" s="21" t="s">
        <v>1676</v>
      </c>
      <c r="B1017" s="8" t="s">
        <v>1675</v>
      </c>
      <c r="C1017" s="8" t="s">
        <v>40</v>
      </c>
      <c r="D1017" s="8" t="s">
        <v>969</v>
      </c>
      <c r="E1017" s="8" t="s">
        <v>40</v>
      </c>
      <c r="F1017" s="8" t="s">
        <v>39</v>
      </c>
      <c r="G1017" s="8" t="s">
        <v>885</v>
      </c>
      <c r="H1017" s="8" t="s">
        <v>37</v>
      </c>
      <c r="I1017" s="8" t="s">
        <v>53</v>
      </c>
      <c r="J1017" s="8" t="s">
        <v>59</v>
      </c>
      <c r="K1017" s="8" t="s">
        <v>1674</v>
      </c>
      <c r="L1017" s="7">
        <v>7755</v>
      </c>
      <c r="M1017" s="10" t="str">
        <f t="shared" si="90"/>
        <v>CMI02051200</v>
      </c>
      <c r="N1017" s="10" t="str">
        <f t="shared" si="91"/>
        <v>SUM231000</v>
      </c>
      <c r="O1017" s="10" t="str">
        <f t="shared" si="92"/>
        <v>E</v>
      </c>
      <c r="P1017" s="10" t="str">
        <f t="shared" si="93"/>
        <v>50</v>
      </c>
      <c r="Q1017" s="10" t="str">
        <f t="shared" si="94"/>
        <v>ZSUM</v>
      </c>
      <c r="R1017" s="10" t="str">
        <f t="shared" si="95"/>
        <v>39101615</v>
      </c>
    </row>
    <row r="1018" spans="1:18" ht="25.5" hidden="1" x14ac:dyDescent="0.2">
      <c r="A1018" s="21" t="s">
        <v>1673</v>
      </c>
      <c r="B1018" s="8" t="s">
        <v>1672</v>
      </c>
      <c r="C1018" s="8" t="s">
        <v>40</v>
      </c>
      <c r="D1018" s="8" t="s">
        <v>969</v>
      </c>
      <c r="E1018" s="8" t="s">
        <v>40</v>
      </c>
      <c r="F1018" s="8" t="s">
        <v>39</v>
      </c>
      <c r="G1018" s="8" t="s">
        <v>885</v>
      </c>
      <c r="H1018" s="8" t="s">
        <v>37</v>
      </c>
      <c r="I1018" s="8" t="s">
        <v>53</v>
      </c>
      <c r="J1018" s="8" t="s">
        <v>59</v>
      </c>
      <c r="K1018" s="8" t="s">
        <v>1660</v>
      </c>
      <c r="L1018" s="7">
        <v>7756</v>
      </c>
      <c r="M1018" s="10" t="str">
        <f t="shared" si="90"/>
        <v>CMI02051200</v>
      </c>
      <c r="N1018" s="10" t="str">
        <f t="shared" si="91"/>
        <v>SUM231000</v>
      </c>
      <c r="O1018" s="10" t="str">
        <f t="shared" si="92"/>
        <v>E</v>
      </c>
      <c r="P1018" s="10" t="str">
        <f t="shared" si="93"/>
        <v>50</v>
      </c>
      <c r="Q1018" s="10" t="str">
        <f t="shared" si="94"/>
        <v>ZSUM</v>
      </c>
      <c r="R1018" s="10" t="str">
        <f t="shared" si="95"/>
        <v>39101605</v>
      </c>
    </row>
    <row r="1019" spans="1:18" ht="25.5" hidden="1" x14ac:dyDescent="0.2">
      <c r="A1019" s="21" t="s">
        <v>1671</v>
      </c>
      <c r="B1019" s="8" t="s">
        <v>1670</v>
      </c>
      <c r="C1019" s="8" t="s">
        <v>40</v>
      </c>
      <c r="D1019" s="8" t="s">
        <v>969</v>
      </c>
      <c r="E1019" s="8" t="s">
        <v>40</v>
      </c>
      <c r="F1019" s="8" t="s">
        <v>39</v>
      </c>
      <c r="G1019" s="8" t="s">
        <v>885</v>
      </c>
      <c r="H1019" s="8" t="s">
        <v>37</v>
      </c>
      <c r="I1019" s="8" t="s">
        <v>53</v>
      </c>
      <c r="J1019" s="8" t="s">
        <v>59</v>
      </c>
      <c r="K1019" s="8" t="s">
        <v>1669</v>
      </c>
      <c r="L1019" s="7">
        <v>7757</v>
      </c>
      <c r="M1019" s="10" t="str">
        <f t="shared" si="90"/>
        <v>CMI02051200</v>
      </c>
      <c r="N1019" s="10" t="str">
        <f t="shared" si="91"/>
        <v>SUM231000</v>
      </c>
      <c r="O1019" s="10" t="str">
        <f t="shared" si="92"/>
        <v>E</v>
      </c>
      <c r="P1019" s="10" t="str">
        <f t="shared" si="93"/>
        <v>50</v>
      </c>
      <c r="Q1019" s="10" t="str">
        <f t="shared" si="94"/>
        <v>ZSUM</v>
      </c>
      <c r="R1019" s="10" t="str">
        <f t="shared" si="95"/>
        <v>39101601</v>
      </c>
    </row>
    <row r="1020" spans="1:18" ht="25.5" hidden="1" x14ac:dyDescent="0.2">
      <c r="A1020" s="21" t="s">
        <v>1668</v>
      </c>
      <c r="B1020" s="8" t="s">
        <v>1667</v>
      </c>
      <c r="C1020" s="8" t="s">
        <v>40</v>
      </c>
      <c r="D1020" s="8" t="s">
        <v>969</v>
      </c>
      <c r="E1020" s="8" t="s">
        <v>40</v>
      </c>
      <c r="F1020" s="8" t="s">
        <v>39</v>
      </c>
      <c r="G1020" s="8" t="s">
        <v>885</v>
      </c>
      <c r="H1020" s="8" t="s">
        <v>37</v>
      </c>
      <c r="I1020" s="8" t="s">
        <v>53</v>
      </c>
      <c r="J1020" s="8" t="s">
        <v>59</v>
      </c>
      <c r="K1020" s="8" t="s">
        <v>1666</v>
      </c>
      <c r="L1020" s="7">
        <v>7758</v>
      </c>
      <c r="M1020" s="10" t="str">
        <f t="shared" si="90"/>
        <v>CMI02051200</v>
      </c>
      <c r="N1020" s="10" t="str">
        <f t="shared" si="91"/>
        <v>SUM231000</v>
      </c>
      <c r="O1020" s="10" t="str">
        <f t="shared" si="92"/>
        <v>E</v>
      </c>
      <c r="P1020" s="10" t="str">
        <f t="shared" si="93"/>
        <v>50</v>
      </c>
      <c r="Q1020" s="10" t="str">
        <f t="shared" si="94"/>
        <v>ZSUM</v>
      </c>
      <c r="R1020" s="10" t="str">
        <f t="shared" si="95"/>
        <v>39111709</v>
      </c>
    </row>
    <row r="1021" spans="1:18" ht="25.5" hidden="1" x14ac:dyDescent="0.2">
      <c r="A1021" s="21" t="s">
        <v>1665</v>
      </c>
      <c r="B1021" s="8" t="s">
        <v>1664</v>
      </c>
      <c r="C1021" s="8" t="s">
        <v>40</v>
      </c>
      <c r="D1021" s="8" t="s">
        <v>241</v>
      </c>
      <c r="E1021" s="8" t="s">
        <v>40</v>
      </c>
      <c r="F1021" s="8" t="s">
        <v>39</v>
      </c>
      <c r="G1021" s="8" t="s">
        <v>885</v>
      </c>
      <c r="H1021" s="8" t="s">
        <v>37</v>
      </c>
      <c r="I1021" s="8" t="s">
        <v>53</v>
      </c>
      <c r="J1021" s="8" t="s">
        <v>59</v>
      </c>
      <c r="K1021" s="8" t="s">
        <v>1663</v>
      </c>
      <c r="L1021" s="7">
        <v>7759</v>
      </c>
      <c r="M1021" s="10" t="str">
        <f t="shared" si="90"/>
        <v>CMI02090300</v>
      </c>
      <c r="N1021" s="10" t="str">
        <f t="shared" si="91"/>
        <v>SUM231000</v>
      </c>
      <c r="O1021" s="10" t="str">
        <f t="shared" si="92"/>
        <v>E</v>
      </c>
      <c r="P1021" s="10" t="str">
        <f t="shared" si="93"/>
        <v>50</v>
      </c>
      <c r="Q1021" s="10" t="str">
        <f t="shared" si="94"/>
        <v>ZSUM</v>
      </c>
      <c r="R1021" s="10" t="str">
        <f t="shared" si="95"/>
        <v>39121534</v>
      </c>
    </row>
    <row r="1022" spans="1:18" ht="25.5" hidden="1" x14ac:dyDescent="0.2">
      <c r="A1022" s="21" t="s">
        <v>1662</v>
      </c>
      <c r="B1022" s="8" t="s">
        <v>1661</v>
      </c>
      <c r="C1022" s="8" t="s">
        <v>40</v>
      </c>
      <c r="D1022" s="8" t="s">
        <v>969</v>
      </c>
      <c r="E1022" s="8" t="s">
        <v>40</v>
      </c>
      <c r="F1022" s="8" t="s">
        <v>39</v>
      </c>
      <c r="G1022" s="8" t="s">
        <v>885</v>
      </c>
      <c r="H1022" s="8" t="s">
        <v>37</v>
      </c>
      <c r="I1022" s="8" t="s">
        <v>53</v>
      </c>
      <c r="J1022" s="8" t="s">
        <v>59</v>
      </c>
      <c r="K1022" s="8" t="s">
        <v>1660</v>
      </c>
      <c r="L1022" s="7">
        <v>7760</v>
      </c>
      <c r="M1022" s="10" t="str">
        <f t="shared" si="90"/>
        <v>CMI02051200</v>
      </c>
      <c r="N1022" s="10" t="str">
        <f t="shared" si="91"/>
        <v>SUM231000</v>
      </c>
      <c r="O1022" s="10" t="str">
        <f t="shared" si="92"/>
        <v>E</v>
      </c>
      <c r="P1022" s="10" t="str">
        <f t="shared" si="93"/>
        <v>50</v>
      </c>
      <c r="Q1022" s="10" t="str">
        <f t="shared" si="94"/>
        <v>ZSUM</v>
      </c>
      <c r="R1022" s="10" t="str">
        <f t="shared" si="95"/>
        <v>39101605</v>
      </c>
    </row>
    <row r="1023" spans="1:18" ht="25.5" hidden="1" x14ac:dyDescent="0.2">
      <c r="A1023" s="21" t="s">
        <v>1659</v>
      </c>
      <c r="B1023" s="8" t="s">
        <v>1658</v>
      </c>
      <c r="C1023" s="8" t="s">
        <v>40</v>
      </c>
      <c r="D1023" s="8" t="s">
        <v>969</v>
      </c>
      <c r="E1023" s="8" t="s">
        <v>40</v>
      </c>
      <c r="F1023" s="8" t="s">
        <v>39</v>
      </c>
      <c r="G1023" s="8" t="s">
        <v>885</v>
      </c>
      <c r="H1023" s="8" t="s">
        <v>37</v>
      </c>
      <c r="I1023" s="8" t="s">
        <v>53</v>
      </c>
      <c r="J1023" s="8" t="s">
        <v>59</v>
      </c>
      <c r="K1023" s="8" t="s">
        <v>1657</v>
      </c>
      <c r="L1023" s="7">
        <v>7761</v>
      </c>
      <c r="M1023" s="10" t="str">
        <f t="shared" si="90"/>
        <v>CMI02051200</v>
      </c>
      <c r="N1023" s="10" t="str">
        <f t="shared" si="91"/>
        <v>SUM231000</v>
      </c>
      <c r="O1023" s="10" t="str">
        <f t="shared" si="92"/>
        <v>E</v>
      </c>
      <c r="P1023" s="10" t="str">
        <f t="shared" si="93"/>
        <v>50</v>
      </c>
      <c r="Q1023" s="10" t="str">
        <f t="shared" si="94"/>
        <v>ZSUM</v>
      </c>
      <c r="R1023" s="10" t="str">
        <f t="shared" si="95"/>
        <v>46171605</v>
      </c>
    </row>
    <row r="1024" spans="1:18" ht="25.5" hidden="1" x14ac:dyDescent="0.2">
      <c r="A1024" s="21" t="s">
        <v>1656</v>
      </c>
      <c r="B1024" s="8" t="s">
        <v>1655</v>
      </c>
      <c r="C1024" s="8" t="s">
        <v>40</v>
      </c>
      <c r="D1024" s="8" t="s">
        <v>224</v>
      </c>
      <c r="E1024" s="8" t="s">
        <v>40</v>
      </c>
      <c r="F1024" s="8" t="s">
        <v>39</v>
      </c>
      <c r="G1024" s="8" t="s">
        <v>60</v>
      </c>
      <c r="H1024" s="8" t="s">
        <v>37</v>
      </c>
      <c r="I1024" s="8" t="s">
        <v>53</v>
      </c>
      <c r="J1024" s="8" t="s">
        <v>59</v>
      </c>
      <c r="K1024" s="8" t="s">
        <v>1654</v>
      </c>
      <c r="L1024" s="7">
        <v>7762</v>
      </c>
      <c r="M1024" s="10" t="str">
        <f t="shared" si="90"/>
        <v>CMI02170100</v>
      </c>
      <c r="N1024" s="10" t="str">
        <f t="shared" si="91"/>
        <v>SUM231200</v>
      </c>
      <c r="O1024" s="10" t="str">
        <f t="shared" si="92"/>
        <v>E</v>
      </c>
      <c r="P1024" s="10" t="str">
        <f t="shared" si="93"/>
        <v>50</v>
      </c>
      <c r="Q1024" s="10" t="str">
        <f t="shared" si="94"/>
        <v>ZSUM</v>
      </c>
      <c r="R1024" s="10" t="str">
        <f t="shared" si="95"/>
        <v>42152400</v>
      </c>
    </row>
    <row r="1025" spans="1:18" ht="25.5" hidden="1" x14ac:dyDescent="0.2">
      <c r="A1025" s="21" t="s">
        <v>1653</v>
      </c>
      <c r="B1025" s="8" t="s">
        <v>1652</v>
      </c>
      <c r="C1025" s="8" t="s">
        <v>40</v>
      </c>
      <c r="D1025" s="8" t="s">
        <v>224</v>
      </c>
      <c r="E1025" s="8" t="s">
        <v>40</v>
      </c>
      <c r="F1025" s="8" t="s">
        <v>39</v>
      </c>
      <c r="G1025" s="8" t="s">
        <v>60</v>
      </c>
      <c r="H1025" s="8" t="s">
        <v>37</v>
      </c>
      <c r="I1025" s="8" t="s">
        <v>53</v>
      </c>
      <c r="J1025" s="8" t="s">
        <v>59</v>
      </c>
      <c r="K1025" s="8" t="s">
        <v>1651</v>
      </c>
      <c r="L1025" s="7">
        <v>7763</v>
      </c>
      <c r="M1025" s="10" t="str">
        <f t="shared" si="90"/>
        <v>CMI02170100</v>
      </c>
      <c r="N1025" s="10" t="str">
        <f t="shared" si="91"/>
        <v>SUM231200</v>
      </c>
      <c r="O1025" s="10" t="str">
        <f t="shared" si="92"/>
        <v>E</v>
      </c>
      <c r="P1025" s="10" t="str">
        <f t="shared" si="93"/>
        <v>50</v>
      </c>
      <c r="Q1025" s="10" t="str">
        <f t="shared" si="94"/>
        <v>ZSUM</v>
      </c>
      <c r="R1025" s="10" t="str">
        <f t="shared" si="95"/>
        <v>42142606</v>
      </c>
    </row>
    <row r="1026" spans="1:18" ht="25.5" hidden="1" x14ac:dyDescent="0.2">
      <c r="A1026" s="21" t="s">
        <v>1650</v>
      </c>
      <c r="B1026" s="8" t="s">
        <v>1649</v>
      </c>
      <c r="C1026" s="8" t="s">
        <v>40</v>
      </c>
      <c r="D1026" s="8" t="s">
        <v>1648</v>
      </c>
      <c r="E1026" s="8" t="s">
        <v>40</v>
      </c>
      <c r="F1026" s="8" t="s">
        <v>39</v>
      </c>
      <c r="G1026" s="8" t="s">
        <v>885</v>
      </c>
      <c r="H1026" s="8" t="s">
        <v>37</v>
      </c>
      <c r="I1026" s="8" t="s">
        <v>53</v>
      </c>
      <c r="J1026" s="8" t="s">
        <v>59</v>
      </c>
      <c r="K1026" s="8" t="s">
        <v>1647</v>
      </c>
      <c r="L1026" s="7">
        <v>7764</v>
      </c>
      <c r="M1026" s="10" t="str">
        <f t="shared" si="90"/>
        <v>CMI02070100</v>
      </c>
      <c r="N1026" s="10" t="str">
        <f t="shared" si="91"/>
        <v>SUM231000</v>
      </c>
      <c r="O1026" s="10" t="str">
        <f t="shared" si="92"/>
        <v>E</v>
      </c>
      <c r="P1026" s="10" t="str">
        <f t="shared" si="93"/>
        <v>50</v>
      </c>
      <c r="Q1026" s="10" t="str">
        <f t="shared" si="94"/>
        <v>ZSUM</v>
      </c>
      <c r="R1026" s="10" t="str">
        <f t="shared" si="95"/>
        <v>51102702</v>
      </c>
    </row>
    <row r="1027" spans="1:18" ht="38.25" hidden="1" x14ac:dyDescent="0.2">
      <c r="A1027" s="21" t="s">
        <v>1646</v>
      </c>
      <c r="B1027" s="8" t="s">
        <v>1645</v>
      </c>
      <c r="C1027" s="8" t="s">
        <v>40</v>
      </c>
      <c r="D1027" s="8" t="s">
        <v>55</v>
      </c>
      <c r="E1027" s="8" t="s">
        <v>40</v>
      </c>
      <c r="F1027" s="8" t="s">
        <v>39</v>
      </c>
      <c r="G1027" s="8" t="s">
        <v>631</v>
      </c>
      <c r="H1027" s="8" t="s">
        <v>37</v>
      </c>
      <c r="I1027" s="8" t="s">
        <v>53</v>
      </c>
      <c r="J1027" s="8" t="s">
        <v>59</v>
      </c>
      <c r="K1027" s="8" t="s">
        <v>1644</v>
      </c>
      <c r="L1027" s="7">
        <v>7765</v>
      </c>
      <c r="M1027" s="10" t="str">
        <f t="shared" ref="M1027:M1090" si="96">+LEFT(D1027,11)</f>
        <v>CMI02140300</v>
      </c>
      <c r="N1027" s="10" t="str">
        <f t="shared" ref="N1027:N1090" si="97">+LEFT(G1027,9)</f>
        <v>SUM231300</v>
      </c>
      <c r="O1027" s="10" t="str">
        <f t="shared" ref="O1027:O1090" si="98">+LEFT(H1027,1)</f>
        <v>E</v>
      </c>
      <c r="P1027" s="10" t="str">
        <f t="shared" ref="P1027:P1090" si="99">+LEFT(I1027,2)</f>
        <v>50</v>
      </c>
      <c r="Q1027" s="10" t="str">
        <f t="shared" ref="Q1027:Q1090" si="100">+LEFT(J1027,4)</f>
        <v>ZSUM</v>
      </c>
      <c r="R1027" s="10" t="str">
        <f t="shared" ref="R1027:R1090" si="101">+LEFT(K1027,8)</f>
        <v>41113601</v>
      </c>
    </row>
    <row r="1028" spans="1:18" ht="38.25" hidden="1" x14ac:dyDescent="0.2">
      <c r="A1028" s="21" t="s">
        <v>1643</v>
      </c>
      <c r="B1028" s="8" t="s">
        <v>1642</v>
      </c>
      <c r="C1028" s="8" t="s">
        <v>40</v>
      </c>
      <c r="D1028" s="8" t="s">
        <v>55</v>
      </c>
      <c r="E1028" s="8" t="s">
        <v>40</v>
      </c>
      <c r="F1028" s="8" t="s">
        <v>39</v>
      </c>
      <c r="G1028" s="8" t="s">
        <v>631</v>
      </c>
      <c r="H1028" s="8" t="s">
        <v>37</v>
      </c>
      <c r="I1028" s="8" t="s">
        <v>53</v>
      </c>
      <c r="J1028" s="8" t="s">
        <v>59</v>
      </c>
      <c r="K1028" s="8" t="s">
        <v>1641</v>
      </c>
      <c r="L1028" s="7">
        <v>7766</v>
      </c>
      <c r="M1028" s="10" t="str">
        <f t="shared" si="96"/>
        <v>CMI02140300</v>
      </c>
      <c r="N1028" s="10" t="str">
        <f t="shared" si="97"/>
        <v>SUM231300</v>
      </c>
      <c r="O1028" s="10" t="str">
        <f t="shared" si="98"/>
        <v>E</v>
      </c>
      <c r="P1028" s="10" t="str">
        <f t="shared" si="99"/>
        <v>50</v>
      </c>
      <c r="Q1028" s="10" t="str">
        <f t="shared" si="100"/>
        <v>ZSUM</v>
      </c>
      <c r="R1028" s="10" t="str">
        <f t="shared" si="101"/>
        <v>41111716</v>
      </c>
    </row>
    <row r="1029" spans="1:18" ht="38.25" hidden="1" x14ac:dyDescent="0.2">
      <c r="A1029" s="21" t="s">
        <v>1640</v>
      </c>
      <c r="B1029" s="8" t="s">
        <v>1639</v>
      </c>
      <c r="C1029" s="8" t="s">
        <v>40</v>
      </c>
      <c r="D1029" s="8" t="s">
        <v>55</v>
      </c>
      <c r="E1029" s="8" t="s">
        <v>40</v>
      </c>
      <c r="F1029" s="8" t="s">
        <v>39</v>
      </c>
      <c r="G1029" s="8" t="s">
        <v>985</v>
      </c>
      <c r="H1029" s="8" t="s">
        <v>37</v>
      </c>
      <c r="I1029" s="8" t="s">
        <v>53</v>
      </c>
      <c r="J1029" s="8" t="s">
        <v>59</v>
      </c>
      <c r="K1029" s="8" t="s">
        <v>1638</v>
      </c>
      <c r="L1029" s="7">
        <v>7767</v>
      </c>
      <c r="M1029" s="10" t="str">
        <f t="shared" si="96"/>
        <v>CMI02140300</v>
      </c>
      <c r="N1029" s="10" t="str">
        <f t="shared" si="97"/>
        <v>SUM231600</v>
      </c>
      <c r="O1029" s="10" t="str">
        <f t="shared" si="98"/>
        <v>E</v>
      </c>
      <c r="P1029" s="10" t="str">
        <f t="shared" si="99"/>
        <v>50</v>
      </c>
      <c r="Q1029" s="10" t="str">
        <f t="shared" si="100"/>
        <v>ZSUM</v>
      </c>
      <c r="R1029" s="10" t="str">
        <f t="shared" si="101"/>
        <v>41111949</v>
      </c>
    </row>
    <row r="1030" spans="1:18" ht="38.25" hidden="1" x14ac:dyDescent="0.2">
      <c r="A1030" s="21" t="s">
        <v>1637</v>
      </c>
      <c r="B1030" s="8" t="s">
        <v>1636</v>
      </c>
      <c r="C1030" s="8" t="s">
        <v>40</v>
      </c>
      <c r="D1030" s="8" t="s">
        <v>55</v>
      </c>
      <c r="E1030" s="8" t="s">
        <v>40</v>
      </c>
      <c r="F1030" s="8" t="s">
        <v>39</v>
      </c>
      <c r="G1030" s="8" t="s">
        <v>85</v>
      </c>
      <c r="H1030" s="8" t="s">
        <v>37</v>
      </c>
      <c r="I1030" s="8" t="s">
        <v>53</v>
      </c>
      <c r="J1030" s="8" t="s">
        <v>59</v>
      </c>
      <c r="K1030" s="8" t="s">
        <v>1633</v>
      </c>
      <c r="L1030" s="7">
        <v>7768</v>
      </c>
      <c r="M1030" s="10" t="str">
        <f t="shared" si="96"/>
        <v>CMI02140300</v>
      </c>
      <c r="N1030" s="10" t="str">
        <f t="shared" si="97"/>
        <v>SUM231500</v>
      </c>
      <c r="O1030" s="10" t="str">
        <f t="shared" si="98"/>
        <v>E</v>
      </c>
      <c r="P1030" s="10" t="str">
        <f t="shared" si="99"/>
        <v>50</v>
      </c>
      <c r="Q1030" s="10" t="str">
        <f t="shared" si="100"/>
        <v>ZSUM</v>
      </c>
      <c r="R1030" s="10" t="str">
        <f t="shared" si="101"/>
        <v>41114001</v>
      </c>
    </row>
    <row r="1031" spans="1:18" ht="38.25" hidden="1" x14ac:dyDescent="0.2">
      <c r="A1031" s="21" t="s">
        <v>1635</v>
      </c>
      <c r="B1031" s="8" t="s">
        <v>1634</v>
      </c>
      <c r="C1031" s="8" t="s">
        <v>40</v>
      </c>
      <c r="D1031" s="8" t="s">
        <v>55</v>
      </c>
      <c r="E1031" s="8" t="s">
        <v>40</v>
      </c>
      <c r="F1031" s="8" t="s">
        <v>39</v>
      </c>
      <c r="G1031" s="8" t="s">
        <v>85</v>
      </c>
      <c r="H1031" s="8" t="s">
        <v>37</v>
      </c>
      <c r="I1031" s="8" t="s">
        <v>53</v>
      </c>
      <c r="J1031" s="8" t="s">
        <v>59</v>
      </c>
      <c r="K1031" s="8" t="s">
        <v>1633</v>
      </c>
      <c r="L1031" s="7">
        <v>7769</v>
      </c>
      <c r="M1031" s="10" t="str">
        <f t="shared" si="96"/>
        <v>CMI02140300</v>
      </c>
      <c r="N1031" s="10" t="str">
        <f t="shared" si="97"/>
        <v>SUM231500</v>
      </c>
      <c r="O1031" s="10" t="str">
        <f t="shared" si="98"/>
        <v>E</v>
      </c>
      <c r="P1031" s="10" t="str">
        <f t="shared" si="99"/>
        <v>50</v>
      </c>
      <c r="Q1031" s="10" t="str">
        <f t="shared" si="100"/>
        <v>ZSUM</v>
      </c>
      <c r="R1031" s="10" t="str">
        <f t="shared" si="101"/>
        <v>41114001</v>
      </c>
    </row>
    <row r="1032" spans="1:18" ht="38.25" hidden="1" x14ac:dyDescent="0.2">
      <c r="A1032" s="21" t="s">
        <v>1632</v>
      </c>
      <c r="B1032" s="8" t="s">
        <v>1631</v>
      </c>
      <c r="C1032" s="8" t="s">
        <v>40</v>
      </c>
      <c r="D1032" s="8" t="s">
        <v>1630</v>
      </c>
      <c r="E1032" s="8" t="s">
        <v>40</v>
      </c>
      <c r="F1032" s="8" t="s">
        <v>39</v>
      </c>
      <c r="G1032" s="8" t="s">
        <v>60</v>
      </c>
      <c r="H1032" s="8" t="s">
        <v>37</v>
      </c>
      <c r="I1032" s="8" t="s">
        <v>53</v>
      </c>
      <c r="J1032" s="8" t="s">
        <v>59</v>
      </c>
      <c r="K1032" s="8" t="s">
        <v>1629</v>
      </c>
      <c r="L1032" s="7">
        <v>7770</v>
      </c>
      <c r="M1032" s="10" t="str">
        <f t="shared" si="96"/>
        <v>CMI02120100</v>
      </c>
      <c r="N1032" s="10" t="str">
        <f t="shared" si="97"/>
        <v>SUM231200</v>
      </c>
      <c r="O1032" s="10" t="str">
        <f t="shared" si="98"/>
        <v>E</v>
      </c>
      <c r="P1032" s="10" t="str">
        <f t="shared" si="99"/>
        <v>50</v>
      </c>
      <c r="Q1032" s="10" t="str">
        <f t="shared" si="100"/>
        <v>ZSUM</v>
      </c>
      <c r="R1032" s="10" t="str">
        <f t="shared" si="101"/>
        <v>41121805</v>
      </c>
    </row>
    <row r="1033" spans="1:18" ht="38.25" hidden="1" x14ac:dyDescent="0.2">
      <c r="A1033" s="21" t="s">
        <v>1628</v>
      </c>
      <c r="B1033" s="8" t="s">
        <v>1627</v>
      </c>
      <c r="C1033" s="8" t="s">
        <v>40</v>
      </c>
      <c r="D1033" s="8" t="s">
        <v>990</v>
      </c>
      <c r="E1033" s="8" t="s">
        <v>40</v>
      </c>
      <c r="F1033" s="8" t="s">
        <v>39</v>
      </c>
      <c r="G1033" s="8" t="s">
        <v>631</v>
      </c>
      <c r="H1033" s="8" t="s">
        <v>37</v>
      </c>
      <c r="I1033" s="8" t="s">
        <v>53</v>
      </c>
      <c r="J1033" s="8" t="s">
        <v>59</v>
      </c>
      <c r="K1033" s="8" t="s">
        <v>1626</v>
      </c>
      <c r="L1033" s="7">
        <v>7771</v>
      </c>
      <c r="M1033" s="10" t="str">
        <f t="shared" si="96"/>
        <v>CMI02090500</v>
      </c>
      <c r="N1033" s="10" t="str">
        <f t="shared" si="97"/>
        <v>SUM231300</v>
      </c>
      <c r="O1033" s="10" t="str">
        <f t="shared" si="98"/>
        <v>E</v>
      </c>
      <c r="P1033" s="10" t="str">
        <f t="shared" si="99"/>
        <v>50</v>
      </c>
      <c r="Q1033" s="10" t="str">
        <f t="shared" si="100"/>
        <v>ZSUM</v>
      </c>
      <c r="R1033" s="10" t="str">
        <f t="shared" si="101"/>
        <v>46171613</v>
      </c>
    </row>
    <row r="1034" spans="1:18" ht="38.25" hidden="1" x14ac:dyDescent="0.2">
      <c r="A1034" s="21" t="s">
        <v>1625</v>
      </c>
      <c r="B1034" s="8" t="s">
        <v>1624</v>
      </c>
      <c r="C1034" s="8" t="s">
        <v>40</v>
      </c>
      <c r="D1034" s="8" t="s">
        <v>55</v>
      </c>
      <c r="E1034" s="8" t="s">
        <v>40</v>
      </c>
      <c r="F1034" s="8" t="s">
        <v>39</v>
      </c>
      <c r="G1034" s="8" t="s">
        <v>631</v>
      </c>
      <c r="H1034" s="8" t="s">
        <v>37</v>
      </c>
      <c r="I1034" s="8" t="s">
        <v>53</v>
      </c>
      <c r="J1034" s="8" t="s">
        <v>59</v>
      </c>
      <c r="K1034" s="8" t="s">
        <v>1623</v>
      </c>
      <c r="L1034" s="7">
        <v>7772</v>
      </c>
      <c r="M1034" s="10" t="str">
        <f t="shared" si="96"/>
        <v>CMI02140300</v>
      </c>
      <c r="N1034" s="10" t="str">
        <f t="shared" si="97"/>
        <v>SUM231300</v>
      </c>
      <c r="O1034" s="10" t="str">
        <f t="shared" si="98"/>
        <v>E</v>
      </c>
      <c r="P1034" s="10" t="str">
        <f t="shared" si="99"/>
        <v>50</v>
      </c>
      <c r="Q1034" s="10" t="str">
        <f t="shared" si="100"/>
        <v>ZSUM</v>
      </c>
      <c r="R1034" s="10" t="str">
        <f t="shared" si="101"/>
        <v>41112508</v>
      </c>
    </row>
    <row r="1035" spans="1:18" ht="38.25" hidden="1" x14ac:dyDescent="0.2">
      <c r="A1035" s="21" t="s">
        <v>1622</v>
      </c>
      <c r="B1035" s="8" t="s">
        <v>1621</v>
      </c>
      <c r="C1035" s="8" t="s">
        <v>40</v>
      </c>
      <c r="D1035" s="8" t="s">
        <v>55</v>
      </c>
      <c r="E1035" s="8" t="s">
        <v>40</v>
      </c>
      <c r="F1035" s="8" t="s">
        <v>39</v>
      </c>
      <c r="G1035" s="8" t="s">
        <v>631</v>
      </c>
      <c r="H1035" s="8" t="s">
        <v>37</v>
      </c>
      <c r="I1035" s="8" t="s">
        <v>53</v>
      </c>
      <c r="J1035" s="8" t="s">
        <v>59</v>
      </c>
      <c r="K1035" s="8" t="s">
        <v>1620</v>
      </c>
      <c r="L1035" s="7">
        <v>7773</v>
      </c>
      <c r="M1035" s="10" t="str">
        <f t="shared" si="96"/>
        <v>CMI02140300</v>
      </c>
      <c r="N1035" s="10" t="str">
        <f t="shared" si="97"/>
        <v>SUM231300</v>
      </c>
      <c r="O1035" s="10" t="str">
        <f t="shared" si="98"/>
        <v>E</v>
      </c>
      <c r="P1035" s="10" t="str">
        <f t="shared" si="99"/>
        <v>50</v>
      </c>
      <c r="Q1035" s="10" t="str">
        <f t="shared" si="100"/>
        <v>ZSUM</v>
      </c>
      <c r="R1035" s="10" t="str">
        <f t="shared" si="101"/>
        <v>41114422</v>
      </c>
    </row>
    <row r="1036" spans="1:18" ht="38.25" hidden="1" x14ac:dyDescent="0.2">
      <c r="A1036" s="21" t="s">
        <v>1619</v>
      </c>
      <c r="B1036" s="8" t="s">
        <v>1618</v>
      </c>
      <c r="C1036" s="8" t="s">
        <v>40</v>
      </c>
      <c r="D1036" s="8" t="s">
        <v>55</v>
      </c>
      <c r="E1036" s="8" t="s">
        <v>40</v>
      </c>
      <c r="F1036" s="8" t="s">
        <v>39</v>
      </c>
      <c r="G1036" s="8" t="s">
        <v>631</v>
      </c>
      <c r="H1036" s="8" t="s">
        <v>37</v>
      </c>
      <c r="I1036" s="8" t="s">
        <v>53</v>
      </c>
      <c r="J1036" s="8" t="s">
        <v>59</v>
      </c>
      <c r="K1036" s="8" t="s">
        <v>1617</v>
      </c>
      <c r="L1036" s="7">
        <v>7774</v>
      </c>
      <c r="M1036" s="10" t="str">
        <f t="shared" si="96"/>
        <v>CMI02140300</v>
      </c>
      <c r="N1036" s="10" t="str">
        <f t="shared" si="97"/>
        <v>SUM231300</v>
      </c>
      <c r="O1036" s="10" t="str">
        <f t="shared" si="98"/>
        <v>E</v>
      </c>
      <c r="P1036" s="10" t="str">
        <f t="shared" si="99"/>
        <v>50</v>
      </c>
      <c r="Q1036" s="10" t="str">
        <f t="shared" si="100"/>
        <v>ZSUM</v>
      </c>
      <c r="R1036" s="10" t="str">
        <f t="shared" si="101"/>
        <v>41113623</v>
      </c>
    </row>
    <row r="1037" spans="1:18" ht="38.25" hidden="1" x14ac:dyDescent="0.2">
      <c r="A1037" s="21" t="s">
        <v>1616</v>
      </c>
      <c r="B1037" s="8" t="s">
        <v>1615</v>
      </c>
      <c r="C1037" s="8" t="s">
        <v>40</v>
      </c>
      <c r="D1037" s="8" t="s">
        <v>55</v>
      </c>
      <c r="E1037" s="8" t="s">
        <v>40</v>
      </c>
      <c r="F1037" s="8" t="s">
        <v>39</v>
      </c>
      <c r="G1037" s="8" t="s">
        <v>631</v>
      </c>
      <c r="H1037" s="8" t="s">
        <v>37</v>
      </c>
      <c r="I1037" s="8" t="s">
        <v>53</v>
      </c>
      <c r="J1037" s="8" t="s">
        <v>59</v>
      </c>
      <c r="K1037" s="8" t="s">
        <v>1614</v>
      </c>
      <c r="L1037" s="7">
        <v>7775</v>
      </c>
      <c r="M1037" s="10" t="str">
        <f t="shared" si="96"/>
        <v>CMI02140300</v>
      </c>
      <c r="N1037" s="10" t="str">
        <f t="shared" si="97"/>
        <v>SUM231300</v>
      </c>
      <c r="O1037" s="10" t="str">
        <f t="shared" si="98"/>
        <v>E</v>
      </c>
      <c r="P1037" s="10" t="str">
        <f t="shared" si="99"/>
        <v>50</v>
      </c>
      <c r="Q1037" s="10" t="str">
        <f t="shared" si="100"/>
        <v>ZSUM</v>
      </c>
      <c r="R1037" s="10" t="str">
        <f t="shared" si="101"/>
        <v>41113630</v>
      </c>
    </row>
    <row r="1038" spans="1:18" ht="38.25" hidden="1" x14ac:dyDescent="0.2">
      <c r="A1038" s="21" t="s">
        <v>1613</v>
      </c>
      <c r="B1038" s="8" t="s">
        <v>1612</v>
      </c>
      <c r="C1038" s="8" t="s">
        <v>40</v>
      </c>
      <c r="D1038" s="8" t="s">
        <v>55</v>
      </c>
      <c r="E1038" s="8" t="s">
        <v>40</v>
      </c>
      <c r="F1038" s="8" t="s">
        <v>39</v>
      </c>
      <c r="G1038" s="8" t="s">
        <v>631</v>
      </c>
      <c r="H1038" s="8" t="s">
        <v>37</v>
      </c>
      <c r="I1038" s="8" t="s">
        <v>53</v>
      </c>
      <c r="J1038" s="8" t="s">
        <v>59</v>
      </c>
      <c r="K1038" s="8" t="s">
        <v>1611</v>
      </c>
      <c r="L1038" s="7">
        <v>7776</v>
      </c>
      <c r="M1038" s="10" t="str">
        <f t="shared" si="96"/>
        <v>CMI02140300</v>
      </c>
      <c r="N1038" s="10" t="str">
        <f t="shared" si="97"/>
        <v>SUM231300</v>
      </c>
      <c r="O1038" s="10" t="str">
        <f t="shared" si="98"/>
        <v>E</v>
      </c>
      <c r="P1038" s="10" t="str">
        <f t="shared" si="99"/>
        <v>50</v>
      </c>
      <c r="Q1038" s="10" t="str">
        <f t="shared" si="100"/>
        <v>ZSUM</v>
      </c>
      <c r="R1038" s="10" t="str">
        <f t="shared" si="101"/>
        <v>41113638</v>
      </c>
    </row>
    <row r="1039" spans="1:18" ht="38.25" hidden="1" x14ac:dyDescent="0.2">
      <c r="A1039" s="21" t="s">
        <v>1610</v>
      </c>
      <c r="B1039" s="8" t="s">
        <v>1609</v>
      </c>
      <c r="C1039" s="8" t="s">
        <v>40</v>
      </c>
      <c r="D1039" s="8" t="s">
        <v>55</v>
      </c>
      <c r="E1039" s="8" t="s">
        <v>40</v>
      </c>
      <c r="F1039" s="8" t="s">
        <v>39</v>
      </c>
      <c r="G1039" s="8" t="s">
        <v>975</v>
      </c>
      <c r="H1039" s="8" t="s">
        <v>37</v>
      </c>
      <c r="I1039" s="8" t="s">
        <v>53</v>
      </c>
      <c r="J1039" s="8" t="s">
        <v>59</v>
      </c>
      <c r="K1039" s="8" t="s">
        <v>1608</v>
      </c>
      <c r="L1039" s="7">
        <v>7777</v>
      </c>
      <c r="M1039" s="10" t="str">
        <f t="shared" si="96"/>
        <v>CMI02140300</v>
      </c>
      <c r="N1039" s="10" t="str">
        <f t="shared" si="97"/>
        <v>SUM231100</v>
      </c>
      <c r="O1039" s="10" t="str">
        <f t="shared" si="98"/>
        <v>E</v>
      </c>
      <c r="P1039" s="10" t="str">
        <f t="shared" si="99"/>
        <v>50</v>
      </c>
      <c r="Q1039" s="10" t="str">
        <f t="shared" si="100"/>
        <v>ZSUM</v>
      </c>
      <c r="R1039" s="10" t="str">
        <f t="shared" si="101"/>
        <v>41112404</v>
      </c>
    </row>
    <row r="1040" spans="1:18" ht="38.25" hidden="1" x14ac:dyDescent="0.2">
      <c r="A1040" s="21" t="s">
        <v>1607</v>
      </c>
      <c r="B1040" s="8" t="s">
        <v>1606</v>
      </c>
      <c r="C1040" s="8" t="s">
        <v>40</v>
      </c>
      <c r="D1040" s="8" t="s">
        <v>55</v>
      </c>
      <c r="E1040" s="8" t="s">
        <v>40</v>
      </c>
      <c r="F1040" s="8" t="s">
        <v>39</v>
      </c>
      <c r="G1040" s="8" t="s">
        <v>85</v>
      </c>
      <c r="H1040" s="8" t="s">
        <v>37</v>
      </c>
      <c r="I1040" s="8" t="s">
        <v>53</v>
      </c>
      <c r="J1040" s="8" t="s">
        <v>59</v>
      </c>
      <c r="K1040" s="8" t="s">
        <v>1605</v>
      </c>
      <c r="L1040" s="7">
        <v>7778</v>
      </c>
      <c r="M1040" s="10" t="str">
        <f t="shared" si="96"/>
        <v>CMI02140300</v>
      </c>
      <c r="N1040" s="10" t="str">
        <f t="shared" si="97"/>
        <v>SUM231500</v>
      </c>
      <c r="O1040" s="10" t="str">
        <f t="shared" si="98"/>
        <v>E</v>
      </c>
      <c r="P1040" s="10" t="str">
        <f t="shared" si="99"/>
        <v>50</v>
      </c>
      <c r="Q1040" s="10" t="str">
        <f t="shared" si="100"/>
        <v>ZSUM</v>
      </c>
      <c r="R1040" s="10" t="str">
        <f t="shared" si="101"/>
        <v>41111500</v>
      </c>
    </row>
    <row r="1041" spans="1:18" ht="25.5" hidden="1" x14ac:dyDescent="0.2">
      <c r="A1041" s="21" t="s">
        <v>1604</v>
      </c>
      <c r="B1041" s="8" t="s">
        <v>1603</v>
      </c>
      <c r="C1041" s="8" t="s">
        <v>40</v>
      </c>
      <c r="D1041" s="8" t="s">
        <v>245</v>
      </c>
      <c r="E1041" s="8" t="s">
        <v>40</v>
      </c>
      <c r="F1041" s="8" t="s">
        <v>39</v>
      </c>
      <c r="G1041" s="8" t="s">
        <v>631</v>
      </c>
      <c r="H1041" s="8" t="s">
        <v>37</v>
      </c>
      <c r="I1041" s="8" t="s">
        <v>53</v>
      </c>
      <c r="J1041" s="8" t="s">
        <v>59</v>
      </c>
      <c r="K1041" s="8" t="s">
        <v>1602</v>
      </c>
      <c r="L1041" s="7">
        <v>7779</v>
      </c>
      <c r="M1041" s="10" t="str">
        <f t="shared" si="96"/>
        <v>CMI01020300</v>
      </c>
      <c r="N1041" s="10" t="str">
        <f t="shared" si="97"/>
        <v>SUM231300</v>
      </c>
      <c r="O1041" s="10" t="str">
        <f t="shared" si="98"/>
        <v>E</v>
      </c>
      <c r="P1041" s="10" t="str">
        <f t="shared" si="99"/>
        <v>50</v>
      </c>
      <c r="Q1041" s="10" t="str">
        <f t="shared" si="100"/>
        <v>ZSUM</v>
      </c>
      <c r="R1041" s="10" t="str">
        <f t="shared" si="101"/>
        <v>41113300</v>
      </c>
    </row>
    <row r="1042" spans="1:18" ht="38.25" hidden="1" x14ac:dyDescent="0.2">
      <c r="A1042" s="21" t="s">
        <v>1601</v>
      </c>
      <c r="B1042" s="8" t="s">
        <v>1600</v>
      </c>
      <c r="C1042" s="8" t="s">
        <v>40</v>
      </c>
      <c r="D1042" s="8" t="s">
        <v>55</v>
      </c>
      <c r="E1042" s="8" t="s">
        <v>40</v>
      </c>
      <c r="F1042" s="8" t="s">
        <v>39</v>
      </c>
      <c r="G1042" s="8" t="s">
        <v>631</v>
      </c>
      <c r="H1042" s="8" t="s">
        <v>37</v>
      </c>
      <c r="I1042" s="8" t="s">
        <v>53</v>
      </c>
      <c r="J1042" s="8" t="s">
        <v>59</v>
      </c>
      <c r="K1042" s="8" t="s">
        <v>1599</v>
      </c>
      <c r="L1042" s="7">
        <v>7780</v>
      </c>
      <c r="M1042" s="10" t="str">
        <f t="shared" si="96"/>
        <v>CMI02140300</v>
      </c>
      <c r="N1042" s="10" t="str">
        <f t="shared" si="97"/>
        <v>SUM231300</v>
      </c>
      <c r="O1042" s="10" t="str">
        <f t="shared" si="98"/>
        <v>E</v>
      </c>
      <c r="P1042" s="10" t="str">
        <f t="shared" si="99"/>
        <v>50</v>
      </c>
      <c r="Q1042" s="10" t="str">
        <f t="shared" si="100"/>
        <v>ZSUM</v>
      </c>
      <c r="R1042" s="10" t="str">
        <f t="shared" si="101"/>
        <v>41114100</v>
      </c>
    </row>
    <row r="1043" spans="1:18" ht="38.25" hidden="1" x14ac:dyDescent="0.2">
      <c r="A1043" s="21" t="s">
        <v>1598</v>
      </c>
      <c r="B1043" s="8" t="s">
        <v>1597</v>
      </c>
      <c r="C1043" s="8" t="s">
        <v>40</v>
      </c>
      <c r="D1043" s="8" t="s">
        <v>55</v>
      </c>
      <c r="E1043" s="8" t="s">
        <v>40</v>
      </c>
      <c r="F1043" s="8" t="s">
        <v>39</v>
      </c>
      <c r="G1043" s="8" t="s">
        <v>631</v>
      </c>
      <c r="H1043" s="8" t="s">
        <v>37</v>
      </c>
      <c r="I1043" s="8" t="s">
        <v>53</v>
      </c>
      <c r="J1043" s="8" t="s">
        <v>59</v>
      </c>
      <c r="K1043" s="8" t="s">
        <v>1596</v>
      </c>
      <c r="L1043" s="7">
        <v>7781</v>
      </c>
      <c r="M1043" s="10" t="str">
        <f t="shared" si="96"/>
        <v>CMI02140300</v>
      </c>
      <c r="N1043" s="10" t="str">
        <f t="shared" si="97"/>
        <v>SUM231300</v>
      </c>
      <c r="O1043" s="10" t="str">
        <f t="shared" si="98"/>
        <v>E</v>
      </c>
      <c r="P1043" s="10" t="str">
        <f t="shared" si="99"/>
        <v>50</v>
      </c>
      <c r="Q1043" s="10" t="str">
        <f t="shared" si="100"/>
        <v>ZSUM</v>
      </c>
      <c r="R1043" s="10" t="str">
        <f t="shared" si="101"/>
        <v>41114409</v>
      </c>
    </row>
    <row r="1044" spans="1:18" ht="25.5" hidden="1" x14ac:dyDescent="0.2">
      <c r="A1044" s="21" t="s">
        <v>1595</v>
      </c>
      <c r="B1044" s="8" t="s">
        <v>1594</v>
      </c>
      <c r="C1044" s="8" t="s">
        <v>40</v>
      </c>
      <c r="D1044" s="8" t="s">
        <v>212</v>
      </c>
      <c r="E1044" s="8" t="s">
        <v>40</v>
      </c>
      <c r="F1044" s="8" t="s">
        <v>39</v>
      </c>
      <c r="G1044" s="8" t="s">
        <v>208</v>
      </c>
      <c r="H1044" s="8" t="s">
        <v>37</v>
      </c>
      <c r="I1044" s="8" t="s">
        <v>53</v>
      </c>
      <c r="J1044" s="8" t="s">
        <v>59</v>
      </c>
      <c r="K1044" s="8" t="s">
        <v>1593</v>
      </c>
      <c r="L1044" s="7">
        <v>7782</v>
      </c>
      <c r="M1044" s="10" t="str">
        <f t="shared" si="96"/>
        <v>CMI01010500</v>
      </c>
      <c r="N1044" s="10" t="str">
        <f t="shared" si="97"/>
        <v>SUM301000</v>
      </c>
      <c r="O1044" s="10" t="str">
        <f t="shared" si="98"/>
        <v>E</v>
      </c>
      <c r="P1044" s="10" t="str">
        <f t="shared" si="99"/>
        <v>50</v>
      </c>
      <c r="Q1044" s="10" t="str">
        <f t="shared" si="100"/>
        <v>ZSUM</v>
      </c>
      <c r="R1044" s="10" t="str">
        <f t="shared" si="101"/>
        <v>45121500</v>
      </c>
    </row>
    <row r="1045" spans="1:18" ht="38.25" hidden="1" x14ac:dyDescent="0.2">
      <c r="A1045" s="21" t="s">
        <v>1592</v>
      </c>
      <c r="B1045" s="8" t="s">
        <v>1591</v>
      </c>
      <c r="C1045" s="8" t="s">
        <v>40</v>
      </c>
      <c r="D1045" s="8" t="s">
        <v>212</v>
      </c>
      <c r="E1045" s="8" t="s">
        <v>40</v>
      </c>
      <c r="F1045" s="8" t="s">
        <v>39</v>
      </c>
      <c r="G1045" s="8" t="s">
        <v>60</v>
      </c>
      <c r="H1045" s="8" t="s">
        <v>37</v>
      </c>
      <c r="I1045" s="8" t="s">
        <v>53</v>
      </c>
      <c r="J1045" s="8" t="s">
        <v>59</v>
      </c>
      <c r="K1045" s="8" t="s">
        <v>1590</v>
      </c>
      <c r="L1045" s="7">
        <v>7783</v>
      </c>
      <c r="M1045" s="10" t="str">
        <f t="shared" si="96"/>
        <v>CMI01010500</v>
      </c>
      <c r="N1045" s="10" t="str">
        <f t="shared" si="97"/>
        <v>SUM231200</v>
      </c>
      <c r="O1045" s="10" t="str">
        <f t="shared" si="98"/>
        <v>E</v>
      </c>
      <c r="P1045" s="10" t="str">
        <f t="shared" si="99"/>
        <v>50</v>
      </c>
      <c r="Q1045" s="10" t="str">
        <f t="shared" si="100"/>
        <v>ZSUM</v>
      </c>
      <c r="R1045" s="10" t="str">
        <f t="shared" si="101"/>
        <v>45111609</v>
      </c>
    </row>
    <row r="1046" spans="1:18" ht="25.5" hidden="1" x14ac:dyDescent="0.2">
      <c r="A1046" s="21" t="s">
        <v>1589</v>
      </c>
      <c r="B1046" s="8" t="s">
        <v>1588</v>
      </c>
      <c r="C1046" s="8" t="s">
        <v>40</v>
      </c>
      <c r="D1046" s="8" t="s">
        <v>249</v>
      </c>
      <c r="E1046" s="8" t="s">
        <v>40</v>
      </c>
      <c r="F1046" s="8" t="s">
        <v>39</v>
      </c>
      <c r="G1046" s="8" t="s">
        <v>60</v>
      </c>
      <c r="H1046" s="8" t="s">
        <v>37</v>
      </c>
      <c r="I1046" s="8" t="s">
        <v>53</v>
      </c>
      <c r="J1046" s="8" t="s">
        <v>59</v>
      </c>
      <c r="K1046" s="8" t="s">
        <v>1587</v>
      </c>
      <c r="L1046" s="7">
        <v>7784</v>
      </c>
      <c r="M1046" s="10" t="str">
        <f t="shared" si="96"/>
        <v>CMI02090700</v>
      </c>
      <c r="N1046" s="10" t="str">
        <f t="shared" si="97"/>
        <v>SUM231200</v>
      </c>
      <c r="O1046" s="10" t="str">
        <f t="shared" si="98"/>
        <v>E</v>
      </c>
      <c r="P1046" s="10" t="str">
        <f t="shared" si="99"/>
        <v>50</v>
      </c>
      <c r="Q1046" s="10" t="str">
        <f t="shared" si="100"/>
        <v>ZSUM</v>
      </c>
      <c r="R1046" s="10" t="str">
        <f t="shared" si="101"/>
        <v>51102706</v>
      </c>
    </row>
    <row r="1047" spans="1:18" ht="38.25" hidden="1" x14ac:dyDescent="0.2">
      <c r="A1047" s="21" t="s">
        <v>1586</v>
      </c>
      <c r="B1047" s="8" t="s">
        <v>1585</v>
      </c>
      <c r="C1047" s="8" t="s">
        <v>40</v>
      </c>
      <c r="D1047" s="8" t="s">
        <v>249</v>
      </c>
      <c r="E1047" s="8" t="s">
        <v>40</v>
      </c>
      <c r="F1047" s="8" t="s">
        <v>39</v>
      </c>
      <c r="G1047" s="8" t="s">
        <v>60</v>
      </c>
      <c r="H1047" s="8" t="s">
        <v>37</v>
      </c>
      <c r="I1047" s="8" t="s">
        <v>53</v>
      </c>
      <c r="J1047" s="8" t="s">
        <v>59</v>
      </c>
      <c r="K1047" s="8" t="s">
        <v>1584</v>
      </c>
      <c r="L1047" s="7">
        <v>7785</v>
      </c>
      <c r="M1047" s="10" t="str">
        <f t="shared" si="96"/>
        <v>CMI02090700</v>
      </c>
      <c r="N1047" s="10" t="str">
        <f t="shared" si="97"/>
        <v>SUM231200</v>
      </c>
      <c r="O1047" s="10" t="str">
        <f t="shared" si="98"/>
        <v>E</v>
      </c>
      <c r="P1047" s="10" t="str">
        <f t="shared" si="99"/>
        <v>50</v>
      </c>
      <c r="Q1047" s="10" t="str">
        <f t="shared" si="100"/>
        <v>ZSUM</v>
      </c>
      <c r="R1047" s="10" t="str">
        <f t="shared" si="101"/>
        <v>12161604</v>
      </c>
    </row>
    <row r="1048" spans="1:18" ht="25.5" hidden="1" x14ac:dyDescent="0.2">
      <c r="A1048" s="21" t="s">
        <v>1583</v>
      </c>
      <c r="B1048" s="8" t="s">
        <v>1582</v>
      </c>
      <c r="C1048" s="8" t="s">
        <v>40</v>
      </c>
      <c r="D1048" s="8" t="s">
        <v>730</v>
      </c>
      <c r="E1048" s="8" t="s">
        <v>40</v>
      </c>
      <c r="F1048" s="8" t="s">
        <v>39</v>
      </c>
      <c r="G1048" s="8" t="s">
        <v>60</v>
      </c>
      <c r="H1048" s="8" t="s">
        <v>37</v>
      </c>
      <c r="I1048" s="8" t="s">
        <v>53</v>
      </c>
      <c r="J1048" s="8" t="s">
        <v>59</v>
      </c>
      <c r="K1048" s="8" t="s">
        <v>1581</v>
      </c>
      <c r="L1048" s="7">
        <v>7786</v>
      </c>
      <c r="M1048" s="10" t="str">
        <f t="shared" si="96"/>
        <v>CMI02130200</v>
      </c>
      <c r="N1048" s="10" t="str">
        <f t="shared" si="97"/>
        <v>SUM231200</v>
      </c>
      <c r="O1048" s="10" t="str">
        <f t="shared" si="98"/>
        <v>E</v>
      </c>
      <c r="P1048" s="10" t="str">
        <f t="shared" si="99"/>
        <v>50</v>
      </c>
      <c r="Q1048" s="10" t="str">
        <f t="shared" si="100"/>
        <v>ZSUM</v>
      </c>
      <c r="R1048" s="10" t="str">
        <f t="shared" si="101"/>
        <v>47131800</v>
      </c>
    </row>
    <row r="1049" spans="1:18" ht="38.25" hidden="1" x14ac:dyDescent="0.2">
      <c r="A1049" s="21" t="s">
        <v>1580</v>
      </c>
      <c r="B1049" s="8" t="s">
        <v>1579</v>
      </c>
      <c r="C1049" s="8" t="s">
        <v>40</v>
      </c>
      <c r="D1049" s="8" t="s">
        <v>730</v>
      </c>
      <c r="E1049" s="8" t="s">
        <v>40</v>
      </c>
      <c r="F1049" s="8" t="s">
        <v>39</v>
      </c>
      <c r="G1049" s="8" t="s">
        <v>885</v>
      </c>
      <c r="H1049" s="8" t="s">
        <v>37</v>
      </c>
      <c r="I1049" s="8" t="s">
        <v>53</v>
      </c>
      <c r="J1049" s="8" t="s">
        <v>59</v>
      </c>
      <c r="K1049" s="8" t="s">
        <v>1578</v>
      </c>
      <c r="L1049" s="7">
        <v>7787</v>
      </c>
      <c r="M1049" s="10" t="str">
        <f t="shared" si="96"/>
        <v>CMI02130200</v>
      </c>
      <c r="N1049" s="10" t="str">
        <f t="shared" si="97"/>
        <v>SUM231000</v>
      </c>
      <c r="O1049" s="10" t="str">
        <f t="shared" si="98"/>
        <v>E</v>
      </c>
      <c r="P1049" s="10" t="str">
        <f t="shared" si="99"/>
        <v>50</v>
      </c>
      <c r="Q1049" s="10" t="str">
        <f t="shared" si="100"/>
        <v>ZSUM</v>
      </c>
      <c r="R1049" s="10" t="str">
        <f t="shared" si="101"/>
        <v>47131803</v>
      </c>
    </row>
    <row r="1050" spans="1:18" ht="25.5" hidden="1" x14ac:dyDescent="0.2">
      <c r="A1050" s="21" t="s">
        <v>1577</v>
      </c>
      <c r="B1050" s="8" t="s">
        <v>1576</v>
      </c>
      <c r="C1050" s="8" t="s">
        <v>40</v>
      </c>
      <c r="D1050" s="8" t="s">
        <v>520</v>
      </c>
      <c r="E1050" s="8" t="s">
        <v>40</v>
      </c>
      <c r="F1050" s="8" t="s">
        <v>39</v>
      </c>
      <c r="G1050" s="8" t="s">
        <v>60</v>
      </c>
      <c r="H1050" s="8" t="s">
        <v>37</v>
      </c>
      <c r="I1050" s="8" t="s">
        <v>53</v>
      </c>
      <c r="J1050" s="8" t="s">
        <v>59</v>
      </c>
      <c r="K1050" s="8" t="s">
        <v>1567</v>
      </c>
      <c r="L1050" s="7">
        <v>7788</v>
      </c>
      <c r="M1050" s="10" t="str">
        <f t="shared" si="96"/>
        <v>CMI02180300</v>
      </c>
      <c r="N1050" s="10" t="str">
        <f t="shared" si="97"/>
        <v>SUM231200</v>
      </c>
      <c r="O1050" s="10" t="str">
        <f t="shared" si="98"/>
        <v>E</v>
      </c>
      <c r="P1050" s="10" t="str">
        <f t="shared" si="99"/>
        <v>50</v>
      </c>
      <c r="Q1050" s="10" t="str">
        <f t="shared" si="100"/>
        <v>ZSUM</v>
      </c>
      <c r="R1050" s="10" t="str">
        <f t="shared" si="101"/>
        <v>12352104</v>
      </c>
    </row>
    <row r="1051" spans="1:18" ht="25.5" hidden="1" x14ac:dyDescent="0.2">
      <c r="A1051" s="21" t="s">
        <v>1575</v>
      </c>
      <c r="B1051" s="8" t="s">
        <v>1574</v>
      </c>
      <c r="C1051" s="8" t="s">
        <v>40</v>
      </c>
      <c r="D1051" s="8" t="s">
        <v>520</v>
      </c>
      <c r="E1051" s="8" t="s">
        <v>40</v>
      </c>
      <c r="F1051" s="8" t="s">
        <v>39</v>
      </c>
      <c r="G1051" s="8" t="s">
        <v>60</v>
      </c>
      <c r="H1051" s="8" t="s">
        <v>37</v>
      </c>
      <c r="I1051" s="8" t="s">
        <v>53</v>
      </c>
      <c r="J1051" s="8" t="s">
        <v>59</v>
      </c>
      <c r="K1051" s="8" t="s">
        <v>1573</v>
      </c>
      <c r="L1051" s="7">
        <v>7789</v>
      </c>
      <c r="M1051" s="10" t="str">
        <f t="shared" si="96"/>
        <v>CMI02180300</v>
      </c>
      <c r="N1051" s="10" t="str">
        <f t="shared" si="97"/>
        <v>SUM231200</v>
      </c>
      <c r="O1051" s="10" t="str">
        <f t="shared" si="98"/>
        <v>E</v>
      </c>
      <c r="P1051" s="10" t="str">
        <f t="shared" si="99"/>
        <v>50</v>
      </c>
      <c r="Q1051" s="10" t="str">
        <f t="shared" si="100"/>
        <v>ZSUM</v>
      </c>
      <c r="R1051" s="10" t="str">
        <f t="shared" si="101"/>
        <v>51171608</v>
      </c>
    </row>
    <row r="1052" spans="1:18" ht="25.5" hidden="1" x14ac:dyDescent="0.2">
      <c r="A1052" s="21" t="s">
        <v>1572</v>
      </c>
      <c r="B1052" s="8" t="s">
        <v>1571</v>
      </c>
      <c r="C1052" s="8" t="s">
        <v>40</v>
      </c>
      <c r="D1052" s="8" t="s">
        <v>520</v>
      </c>
      <c r="E1052" s="8" t="s">
        <v>40</v>
      </c>
      <c r="F1052" s="8" t="s">
        <v>39</v>
      </c>
      <c r="G1052" s="8" t="s">
        <v>60</v>
      </c>
      <c r="H1052" s="8" t="s">
        <v>37</v>
      </c>
      <c r="I1052" s="8" t="s">
        <v>53</v>
      </c>
      <c r="J1052" s="8" t="s">
        <v>59</v>
      </c>
      <c r="K1052" s="8" t="s">
        <v>1570</v>
      </c>
      <c r="L1052" s="7">
        <v>7790</v>
      </c>
      <c r="M1052" s="10" t="str">
        <f t="shared" si="96"/>
        <v>CMI02180300</v>
      </c>
      <c r="N1052" s="10" t="str">
        <f t="shared" si="97"/>
        <v>SUM231200</v>
      </c>
      <c r="O1052" s="10" t="str">
        <f t="shared" si="98"/>
        <v>E</v>
      </c>
      <c r="P1052" s="10" t="str">
        <f t="shared" si="99"/>
        <v>50</v>
      </c>
      <c r="Q1052" s="10" t="str">
        <f t="shared" si="100"/>
        <v>ZSUM</v>
      </c>
      <c r="R1052" s="10" t="str">
        <f t="shared" si="101"/>
        <v>41111800</v>
      </c>
    </row>
    <row r="1053" spans="1:18" ht="25.5" hidden="1" x14ac:dyDescent="0.2">
      <c r="A1053" s="21" t="s">
        <v>1569</v>
      </c>
      <c r="B1053" s="8" t="s">
        <v>1568</v>
      </c>
      <c r="C1053" s="8" t="s">
        <v>40</v>
      </c>
      <c r="D1053" s="8" t="s">
        <v>520</v>
      </c>
      <c r="E1053" s="8" t="s">
        <v>40</v>
      </c>
      <c r="F1053" s="8" t="s">
        <v>39</v>
      </c>
      <c r="G1053" s="8" t="s">
        <v>60</v>
      </c>
      <c r="H1053" s="8" t="s">
        <v>37</v>
      </c>
      <c r="I1053" s="8" t="s">
        <v>53</v>
      </c>
      <c r="J1053" s="8" t="s">
        <v>59</v>
      </c>
      <c r="K1053" s="8" t="s">
        <v>1567</v>
      </c>
      <c r="L1053" s="7">
        <v>7791</v>
      </c>
      <c r="M1053" s="10" t="str">
        <f t="shared" si="96"/>
        <v>CMI02180300</v>
      </c>
      <c r="N1053" s="10" t="str">
        <f t="shared" si="97"/>
        <v>SUM231200</v>
      </c>
      <c r="O1053" s="10" t="str">
        <f t="shared" si="98"/>
        <v>E</v>
      </c>
      <c r="P1053" s="10" t="str">
        <f t="shared" si="99"/>
        <v>50</v>
      </c>
      <c r="Q1053" s="10" t="str">
        <f t="shared" si="100"/>
        <v>ZSUM</v>
      </c>
      <c r="R1053" s="10" t="str">
        <f t="shared" si="101"/>
        <v>12352104</v>
      </c>
    </row>
    <row r="1054" spans="1:18" ht="38.25" hidden="1" x14ac:dyDescent="0.2">
      <c r="A1054" s="21" t="s">
        <v>1566</v>
      </c>
      <c r="B1054" s="8" t="s">
        <v>1565</v>
      </c>
      <c r="C1054" s="8" t="s">
        <v>40</v>
      </c>
      <c r="D1054" s="8" t="s">
        <v>520</v>
      </c>
      <c r="E1054" s="8" t="s">
        <v>40</v>
      </c>
      <c r="F1054" s="8" t="s">
        <v>39</v>
      </c>
      <c r="G1054" s="8" t="s">
        <v>60</v>
      </c>
      <c r="H1054" s="8" t="s">
        <v>37</v>
      </c>
      <c r="I1054" s="8" t="s">
        <v>53</v>
      </c>
      <c r="J1054" s="8" t="s">
        <v>59</v>
      </c>
      <c r="K1054" s="8" t="s">
        <v>1286</v>
      </c>
      <c r="L1054" s="7">
        <v>7792</v>
      </c>
      <c r="M1054" s="10" t="str">
        <f t="shared" si="96"/>
        <v>CMI02180300</v>
      </c>
      <c r="N1054" s="10" t="str">
        <f t="shared" si="97"/>
        <v>SUM231200</v>
      </c>
      <c r="O1054" s="10" t="str">
        <f t="shared" si="98"/>
        <v>E</v>
      </c>
      <c r="P1054" s="10" t="str">
        <f t="shared" si="99"/>
        <v>50</v>
      </c>
      <c r="Q1054" s="10" t="str">
        <f t="shared" si="100"/>
        <v>ZSUM</v>
      </c>
      <c r="R1054" s="10" t="str">
        <f t="shared" si="101"/>
        <v>12163902</v>
      </c>
    </row>
    <row r="1055" spans="1:18" ht="25.5" hidden="1" x14ac:dyDescent="0.2">
      <c r="A1055" s="21" t="s">
        <v>1564</v>
      </c>
      <c r="B1055" s="8" t="s">
        <v>1563</v>
      </c>
      <c r="C1055" s="8" t="s">
        <v>40</v>
      </c>
      <c r="D1055" s="8" t="s">
        <v>1456</v>
      </c>
      <c r="E1055" s="8" t="s">
        <v>40</v>
      </c>
      <c r="F1055" s="8" t="s">
        <v>39</v>
      </c>
      <c r="G1055" s="8" t="s">
        <v>60</v>
      </c>
      <c r="H1055" s="8" t="s">
        <v>37</v>
      </c>
      <c r="I1055" s="8" t="s">
        <v>53</v>
      </c>
      <c r="J1055" s="8" t="s">
        <v>59</v>
      </c>
      <c r="K1055" s="8" t="s">
        <v>1562</v>
      </c>
      <c r="L1055" s="7">
        <v>7793</v>
      </c>
      <c r="M1055" s="10" t="str">
        <f t="shared" si="96"/>
        <v>CMI03010100</v>
      </c>
      <c r="N1055" s="10" t="str">
        <f t="shared" si="97"/>
        <v>SUM231200</v>
      </c>
      <c r="O1055" s="10" t="str">
        <f t="shared" si="98"/>
        <v>E</v>
      </c>
      <c r="P1055" s="10" t="str">
        <f t="shared" si="99"/>
        <v>50</v>
      </c>
      <c r="Q1055" s="10" t="str">
        <f t="shared" si="100"/>
        <v>ZSUM</v>
      </c>
      <c r="R1055" s="10" t="str">
        <f t="shared" si="101"/>
        <v>12161801</v>
      </c>
    </row>
    <row r="1056" spans="1:18" ht="25.5" hidden="1" x14ac:dyDescent="0.2">
      <c r="A1056" s="21" t="s">
        <v>1561</v>
      </c>
      <c r="B1056" s="8" t="s">
        <v>1560</v>
      </c>
      <c r="C1056" s="8" t="s">
        <v>40</v>
      </c>
      <c r="D1056" s="8" t="s">
        <v>1456</v>
      </c>
      <c r="E1056" s="8" t="s">
        <v>40</v>
      </c>
      <c r="F1056" s="8" t="s">
        <v>39</v>
      </c>
      <c r="G1056" s="8" t="s">
        <v>60</v>
      </c>
      <c r="H1056" s="8" t="s">
        <v>37</v>
      </c>
      <c r="I1056" s="8" t="s">
        <v>53</v>
      </c>
      <c r="J1056" s="8" t="s">
        <v>59</v>
      </c>
      <c r="K1056" s="8" t="s">
        <v>1559</v>
      </c>
      <c r="L1056" s="7">
        <v>7794</v>
      </c>
      <c r="M1056" s="10" t="str">
        <f t="shared" si="96"/>
        <v>CMI03010100</v>
      </c>
      <c r="N1056" s="10" t="str">
        <f t="shared" si="97"/>
        <v>SUM231200</v>
      </c>
      <c r="O1056" s="10" t="str">
        <f t="shared" si="98"/>
        <v>E</v>
      </c>
      <c r="P1056" s="10" t="str">
        <f t="shared" si="99"/>
        <v>50</v>
      </c>
      <c r="Q1056" s="10" t="str">
        <f t="shared" si="100"/>
        <v>ZSUM</v>
      </c>
      <c r="R1056" s="10" t="str">
        <f t="shared" si="101"/>
        <v>13101708</v>
      </c>
    </row>
    <row r="1057" spans="1:18" ht="25.5" hidden="1" x14ac:dyDescent="0.2">
      <c r="A1057" s="21" t="s">
        <v>1558</v>
      </c>
      <c r="B1057" s="8" t="s">
        <v>1557</v>
      </c>
      <c r="C1057" s="8" t="s">
        <v>40</v>
      </c>
      <c r="D1057" s="8" t="s">
        <v>520</v>
      </c>
      <c r="E1057" s="8" t="s">
        <v>40</v>
      </c>
      <c r="F1057" s="8" t="s">
        <v>39</v>
      </c>
      <c r="G1057" s="8" t="s">
        <v>885</v>
      </c>
      <c r="H1057" s="8" t="s">
        <v>37</v>
      </c>
      <c r="I1057" s="8" t="s">
        <v>53</v>
      </c>
      <c r="J1057" s="8" t="s">
        <v>59</v>
      </c>
      <c r="K1057" s="8" t="s">
        <v>1556</v>
      </c>
      <c r="L1057" s="7">
        <v>7795</v>
      </c>
      <c r="M1057" s="10" t="str">
        <f t="shared" si="96"/>
        <v>CMI02180300</v>
      </c>
      <c r="N1057" s="10" t="str">
        <f t="shared" si="97"/>
        <v>SUM231000</v>
      </c>
      <c r="O1057" s="10" t="str">
        <f t="shared" si="98"/>
        <v>E</v>
      </c>
      <c r="P1057" s="10" t="str">
        <f t="shared" si="99"/>
        <v>50</v>
      </c>
      <c r="Q1057" s="10" t="str">
        <f t="shared" si="100"/>
        <v>ZSUM</v>
      </c>
      <c r="R1057" s="10" t="str">
        <f t="shared" si="101"/>
        <v>12352301</v>
      </c>
    </row>
    <row r="1058" spans="1:18" ht="25.5" x14ac:dyDescent="0.2">
      <c r="A1058" s="21" t="s">
        <v>1555</v>
      </c>
      <c r="B1058" s="8" t="s">
        <v>1554</v>
      </c>
      <c r="C1058" s="8" t="s">
        <v>40</v>
      </c>
      <c r="D1058" s="8" t="s">
        <v>947</v>
      </c>
      <c r="E1058" s="8" t="s">
        <v>40</v>
      </c>
      <c r="F1058" s="8" t="s">
        <v>39</v>
      </c>
      <c r="G1058" s="8" t="s">
        <v>208</v>
      </c>
      <c r="H1058" s="8" t="s">
        <v>37</v>
      </c>
      <c r="I1058" s="8" t="s">
        <v>53</v>
      </c>
      <c r="J1058" s="8" t="s">
        <v>59</v>
      </c>
      <c r="K1058" s="8" t="s">
        <v>1553</v>
      </c>
      <c r="L1058" s="7">
        <v>7796</v>
      </c>
      <c r="M1058" s="10" t="str">
        <f t="shared" si="96"/>
        <v>CMI02160200</v>
      </c>
      <c r="N1058" s="10" t="str">
        <f t="shared" si="97"/>
        <v>SUM301000</v>
      </c>
      <c r="O1058" s="10" t="str">
        <f t="shared" si="98"/>
        <v>E</v>
      </c>
      <c r="P1058" s="10" t="str">
        <f t="shared" si="99"/>
        <v>50</v>
      </c>
      <c r="Q1058" s="10" t="str">
        <f t="shared" si="100"/>
        <v>ZSUM</v>
      </c>
      <c r="R1058" s="10" t="str">
        <f t="shared" si="101"/>
        <v>43201803</v>
      </c>
    </row>
    <row r="1059" spans="1:18" ht="25.5" hidden="1" x14ac:dyDescent="0.2">
      <c r="A1059" s="21" t="s">
        <v>1552</v>
      </c>
      <c r="B1059" s="8" t="s">
        <v>1551</v>
      </c>
      <c r="C1059" s="8" t="s">
        <v>40</v>
      </c>
      <c r="D1059" s="8" t="s">
        <v>947</v>
      </c>
      <c r="E1059" s="8" t="s">
        <v>40</v>
      </c>
      <c r="F1059" s="8" t="s">
        <v>39</v>
      </c>
      <c r="G1059" s="8" t="s">
        <v>208</v>
      </c>
      <c r="H1059" s="8" t="s">
        <v>37</v>
      </c>
      <c r="I1059" s="8" t="s">
        <v>53</v>
      </c>
      <c r="J1059" s="8" t="s">
        <v>59</v>
      </c>
      <c r="K1059" s="8" t="s">
        <v>1550</v>
      </c>
      <c r="L1059" s="7">
        <v>7797</v>
      </c>
      <c r="M1059" s="10" t="str">
        <f t="shared" si="96"/>
        <v>CMI02160200</v>
      </c>
      <c r="N1059" s="10" t="str">
        <f t="shared" si="97"/>
        <v>SUM301000</v>
      </c>
      <c r="O1059" s="10" t="str">
        <f t="shared" si="98"/>
        <v>E</v>
      </c>
      <c r="P1059" s="10" t="str">
        <f t="shared" si="99"/>
        <v>50</v>
      </c>
      <c r="Q1059" s="10" t="str">
        <f t="shared" si="100"/>
        <v>ZSUM</v>
      </c>
      <c r="R1059" s="10" t="str">
        <f t="shared" si="101"/>
        <v>43211706</v>
      </c>
    </row>
    <row r="1060" spans="1:18" ht="25.5" hidden="1" x14ac:dyDescent="0.2">
      <c r="A1060" s="21" t="s">
        <v>1549</v>
      </c>
      <c r="B1060" s="8" t="s">
        <v>1548</v>
      </c>
      <c r="C1060" s="8" t="s">
        <v>40</v>
      </c>
      <c r="D1060" s="8" t="s">
        <v>947</v>
      </c>
      <c r="E1060" s="8" t="s">
        <v>40</v>
      </c>
      <c r="F1060" s="8" t="s">
        <v>39</v>
      </c>
      <c r="G1060" s="8" t="s">
        <v>208</v>
      </c>
      <c r="H1060" s="8" t="s">
        <v>37</v>
      </c>
      <c r="I1060" s="8" t="s">
        <v>53</v>
      </c>
      <c r="J1060" s="8" t="s">
        <v>59</v>
      </c>
      <c r="K1060" s="8" t="s">
        <v>1547</v>
      </c>
      <c r="L1060" s="7">
        <v>7798</v>
      </c>
      <c r="M1060" s="10" t="str">
        <f t="shared" si="96"/>
        <v>CMI02160200</v>
      </c>
      <c r="N1060" s="10" t="str">
        <f t="shared" si="97"/>
        <v>SUM301000</v>
      </c>
      <c r="O1060" s="10" t="str">
        <f t="shared" si="98"/>
        <v>E</v>
      </c>
      <c r="P1060" s="10" t="str">
        <f t="shared" si="99"/>
        <v>50</v>
      </c>
      <c r="Q1060" s="10" t="str">
        <f t="shared" si="100"/>
        <v>ZSUM</v>
      </c>
      <c r="R1060" s="10" t="str">
        <f t="shared" si="101"/>
        <v>43201402</v>
      </c>
    </row>
    <row r="1061" spans="1:18" ht="38.25" hidden="1" x14ac:dyDescent="0.2">
      <c r="A1061" s="21" t="s">
        <v>1546</v>
      </c>
      <c r="B1061" s="8" t="s">
        <v>1545</v>
      </c>
      <c r="C1061" s="8" t="s">
        <v>40</v>
      </c>
      <c r="D1061" s="8" t="s">
        <v>947</v>
      </c>
      <c r="E1061" s="8" t="s">
        <v>40</v>
      </c>
      <c r="F1061" s="8" t="s">
        <v>39</v>
      </c>
      <c r="G1061" s="8" t="s">
        <v>208</v>
      </c>
      <c r="H1061" s="8" t="s">
        <v>37</v>
      </c>
      <c r="I1061" s="8" t="s">
        <v>53</v>
      </c>
      <c r="J1061" s="8" t="s">
        <v>59</v>
      </c>
      <c r="K1061" s="8" t="s">
        <v>1544</v>
      </c>
      <c r="L1061" s="7">
        <v>7799</v>
      </c>
      <c r="M1061" s="10" t="str">
        <f t="shared" si="96"/>
        <v>CMI02160200</v>
      </c>
      <c r="N1061" s="10" t="str">
        <f t="shared" si="97"/>
        <v>SUM301000</v>
      </c>
      <c r="O1061" s="10" t="str">
        <f t="shared" si="98"/>
        <v>E</v>
      </c>
      <c r="P1061" s="10" t="str">
        <f t="shared" si="99"/>
        <v>50</v>
      </c>
      <c r="Q1061" s="10" t="str">
        <f t="shared" si="100"/>
        <v>ZSUM</v>
      </c>
      <c r="R1061" s="10" t="str">
        <f t="shared" si="101"/>
        <v>43211708</v>
      </c>
    </row>
    <row r="1062" spans="1:18" ht="38.25" hidden="1" x14ac:dyDescent="0.2">
      <c r="A1062" s="21" t="s">
        <v>1543</v>
      </c>
      <c r="B1062" s="8" t="s">
        <v>1542</v>
      </c>
      <c r="C1062" s="8" t="s">
        <v>40</v>
      </c>
      <c r="D1062" s="8" t="s">
        <v>275</v>
      </c>
      <c r="E1062" s="8" t="s">
        <v>40</v>
      </c>
      <c r="F1062" s="8" t="s">
        <v>39</v>
      </c>
      <c r="G1062" s="8" t="s">
        <v>60</v>
      </c>
      <c r="H1062" s="8" t="s">
        <v>37</v>
      </c>
      <c r="I1062" s="8" t="s">
        <v>53</v>
      </c>
      <c r="J1062" s="8" t="s">
        <v>59</v>
      </c>
      <c r="K1062" s="8" t="s">
        <v>1541</v>
      </c>
      <c r="L1062" s="7">
        <v>7800</v>
      </c>
      <c r="M1062" s="10" t="str">
        <f t="shared" si="96"/>
        <v>CMI01030300</v>
      </c>
      <c r="N1062" s="10" t="str">
        <f t="shared" si="97"/>
        <v>SUM231200</v>
      </c>
      <c r="O1062" s="10" t="str">
        <f t="shared" si="98"/>
        <v>E</v>
      </c>
      <c r="P1062" s="10" t="str">
        <f t="shared" si="99"/>
        <v>50</v>
      </c>
      <c r="Q1062" s="10" t="str">
        <f t="shared" si="100"/>
        <v>ZSUM</v>
      </c>
      <c r="R1062" s="10" t="str">
        <f t="shared" si="101"/>
        <v>44111906</v>
      </c>
    </row>
    <row r="1063" spans="1:18" ht="38.25" hidden="1" x14ac:dyDescent="0.2">
      <c r="A1063" s="21" t="s">
        <v>1540</v>
      </c>
      <c r="B1063" s="8" t="s">
        <v>1539</v>
      </c>
      <c r="C1063" s="8" t="s">
        <v>40</v>
      </c>
      <c r="D1063" s="8" t="s">
        <v>275</v>
      </c>
      <c r="E1063" s="8" t="s">
        <v>40</v>
      </c>
      <c r="F1063" s="8" t="s">
        <v>39</v>
      </c>
      <c r="G1063" s="8" t="s">
        <v>60</v>
      </c>
      <c r="H1063" s="8" t="s">
        <v>37</v>
      </c>
      <c r="I1063" s="8" t="s">
        <v>53</v>
      </c>
      <c r="J1063" s="8" t="s">
        <v>59</v>
      </c>
      <c r="K1063" s="8" t="s">
        <v>1538</v>
      </c>
      <c r="L1063" s="7">
        <v>7801</v>
      </c>
      <c r="M1063" s="10" t="str">
        <f t="shared" si="96"/>
        <v>CMI01030300</v>
      </c>
      <c r="N1063" s="10" t="str">
        <f t="shared" si="97"/>
        <v>SUM231200</v>
      </c>
      <c r="O1063" s="10" t="str">
        <f t="shared" si="98"/>
        <v>E</v>
      </c>
      <c r="P1063" s="10" t="str">
        <f t="shared" si="99"/>
        <v>50</v>
      </c>
      <c r="Q1063" s="10" t="str">
        <f t="shared" si="100"/>
        <v>ZSUM</v>
      </c>
      <c r="R1063" s="10" t="str">
        <f t="shared" si="101"/>
        <v>49121508</v>
      </c>
    </row>
    <row r="1064" spans="1:18" ht="38.25" hidden="1" x14ac:dyDescent="0.2">
      <c r="A1064" s="21" t="s">
        <v>1537</v>
      </c>
      <c r="B1064" s="8" t="s">
        <v>1536</v>
      </c>
      <c r="C1064" s="8" t="s">
        <v>40</v>
      </c>
      <c r="D1064" s="8" t="s">
        <v>275</v>
      </c>
      <c r="E1064" s="8" t="s">
        <v>40</v>
      </c>
      <c r="F1064" s="8" t="s">
        <v>39</v>
      </c>
      <c r="G1064" s="8" t="s">
        <v>60</v>
      </c>
      <c r="H1064" s="8" t="s">
        <v>37</v>
      </c>
      <c r="I1064" s="8" t="s">
        <v>53</v>
      </c>
      <c r="J1064" s="8" t="s">
        <v>59</v>
      </c>
      <c r="K1064" s="8" t="s">
        <v>1535</v>
      </c>
      <c r="L1064" s="7">
        <v>7802</v>
      </c>
      <c r="M1064" s="10" t="str">
        <f t="shared" si="96"/>
        <v>CMI01030300</v>
      </c>
      <c r="N1064" s="10" t="str">
        <f t="shared" si="97"/>
        <v>SUM231200</v>
      </c>
      <c r="O1064" s="10" t="str">
        <f t="shared" si="98"/>
        <v>E</v>
      </c>
      <c r="P1064" s="10" t="str">
        <f t="shared" si="99"/>
        <v>50</v>
      </c>
      <c r="Q1064" s="10" t="str">
        <f t="shared" si="100"/>
        <v>ZSUM</v>
      </c>
      <c r="R1064" s="10" t="str">
        <f t="shared" si="101"/>
        <v>52121505</v>
      </c>
    </row>
    <row r="1065" spans="1:18" ht="38.25" hidden="1" x14ac:dyDescent="0.2">
      <c r="A1065" s="21" t="s">
        <v>1534</v>
      </c>
      <c r="B1065" s="8" t="s">
        <v>1533</v>
      </c>
      <c r="C1065" s="8" t="s">
        <v>40</v>
      </c>
      <c r="D1065" s="8" t="s">
        <v>166</v>
      </c>
      <c r="E1065" s="8" t="s">
        <v>40</v>
      </c>
      <c r="F1065" s="8" t="s">
        <v>39</v>
      </c>
      <c r="G1065" s="8" t="s">
        <v>60</v>
      </c>
      <c r="H1065" s="8" t="s">
        <v>37</v>
      </c>
      <c r="I1065" s="8" t="s">
        <v>53</v>
      </c>
      <c r="J1065" s="8" t="s">
        <v>59</v>
      </c>
      <c r="K1065" s="8" t="s">
        <v>1532</v>
      </c>
      <c r="L1065" s="7">
        <v>7803</v>
      </c>
      <c r="M1065" s="10" t="str">
        <f t="shared" si="96"/>
        <v>CMI02170200</v>
      </c>
      <c r="N1065" s="10" t="str">
        <f t="shared" si="97"/>
        <v>SUM231200</v>
      </c>
      <c r="O1065" s="10" t="str">
        <f t="shared" si="98"/>
        <v>E</v>
      </c>
      <c r="P1065" s="10" t="str">
        <f t="shared" si="99"/>
        <v>50</v>
      </c>
      <c r="Q1065" s="10" t="str">
        <f t="shared" si="100"/>
        <v>ZSUM</v>
      </c>
      <c r="R1065" s="10" t="str">
        <f t="shared" si="101"/>
        <v>52121509</v>
      </c>
    </row>
    <row r="1066" spans="1:18" ht="38.25" hidden="1" x14ac:dyDescent="0.2">
      <c r="A1066" s="21" t="s">
        <v>1531</v>
      </c>
      <c r="B1066" s="8" t="s">
        <v>1530</v>
      </c>
      <c r="C1066" s="8" t="s">
        <v>40</v>
      </c>
      <c r="D1066" s="8" t="s">
        <v>166</v>
      </c>
      <c r="E1066" s="8" t="s">
        <v>40</v>
      </c>
      <c r="F1066" s="8" t="s">
        <v>39</v>
      </c>
      <c r="G1066" s="8" t="s">
        <v>60</v>
      </c>
      <c r="H1066" s="8" t="s">
        <v>37</v>
      </c>
      <c r="I1066" s="8" t="s">
        <v>53</v>
      </c>
      <c r="J1066" s="8" t="s">
        <v>59</v>
      </c>
      <c r="K1066" s="8" t="s">
        <v>1029</v>
      </c>
      <c r="L1066" s="7">
        <v>7804</v>
      </c>
      <c r="M1066" s="10" t="str">
        <f t="shared" si="96"/>
        <v>CMI02170200</v>
      </c>
      <c r="N1066" s="10" t="str">
        <f t="shared" si="97"/>
        <v>SUM231200</v>
      </c>
      <c r="O1066" s="10" t="str">
        <f t="shared" si="98"/>
        <v>E</v>
      </c>
      <c r="P1066" s="10" t="str">
        <f t="shared" si="99"/>
        <v>50</v>
      </c>
      <c r="Q1066" s="10" t="str">
        <f t="shared" si="100"/>
        <v>ZSUM</v>
      </c>
      <c r="R1066" s="10" t="str">
        <f t="shared" si="101"/>
        <v>31160000</v>
      </c>
    </row>
    <row r="1067" spans="1:18" ht="38.25" hidden="1" x14ac:dyDescent="0.2">
      <c r="A1067" s="21" t="s">
        <v>1529</v>
      </c>
      <c r="B1067" s="8" t="s">
        <v>1528</v>
      </c>
      <c r="C1067" s="8" t="s">
        <v>40</v>
      </c>
      <c r="D1067" s="8" t="s">
        <v>166</v>
      </c>
      <c r="E1067" s="8" t="s">
        <v>40</v>
      </c>
      <c r="F1067" s="8" t="s">
        <v>39</v>
      </c>
      <c r="G1067" s="8" t="s">
        <v>60</v>
      </c>
      <c r="H1067" s="8" t="s">
        <v>37</v>
      </c>
      <c r="I1067" s="8" t="s">
        <v>53</v>
      </c>
      <c r="J1067" s="8" t="s">
        <v>59</v>
      </c>
      <c r="K1067" s="8" t="s">
        <v>1527</v>
      </c>
      <c r="L1067" s="7">
        <v>7805</v>
      </c>
      <c r="M1067" s="10" t="str">
        <f t="shared" si="96"/>
        <v>CMI02170200</v>
      </c>
      <c r="N1067" s="10" t="str">
        <f t="shared" si="97"/>
        <v>SUM231200</v>
      </c>
      <c r="O1067" s="10" t="str">
        <f t="shared" si="98"/>
        <v>E</v>
      </c>
      <c r="P1067" s="10" t="str">
        <f t="shared" si="99"/>
        <v>50</v>
      </c>
      <c r="Q1067" s="10" t="str">
        <f t="shared" si="100"/>
        <v>ZSUM</v>
      </c>
      <c r="R1067" s="10" t="str">
        <f t="shared" si="101"/>
        <v>48101600</v>
      </c>
    </row>
    <row r="1068" spans="1:18" ht="25.5" hidden="1" x14ac:dyDescent="0.2">
      <c r="A1068" s="21" t="s">
        <v>1526</v>
      </c>
      <c r="B1068" s="8" t="s">
        <v>1525</v>
      </c>
      <c r="C1068" s="8" t="s">
        <v>40</v>
      </c>
      <c r="D1068" s="8" t="s">
        <v>95</v>
      </c>
      <c r="E1068" s="8" t="s">
        <v>40</v>
      </c>
      <c r="F1068" s="8" t="s">
        <v>39</v>
      </c>
      <c r="G1068" s="8" t="s">
        <v>60</v>
      </c>
      <c r="H1068" s="8" t="s">
        <v>37</v>
      </c>
      <c r="I1068" s="8" t="s">
        <v>53</v>
      </c>
      <c r="J1068" s="8" t="s">
        <v>59</v>
      </c>
      <c r="K1068" s="8" t="s">
        <v>1524</v>
      </c>
      <c r="L1068" s="7">
        <v>7806</v>
      </c>
      <c r="M1068" s="10" t="str">
        <f t="shared" si="96"/>
        <v>CMI02160100</v>
      </c>
      <c r="N1068" s="10" t="str">
        <f t="shared" si="97"/>
        <v>SUM231200</v>
      </c>
      <c r="O1068" s="10" t="str">
        <f t="shared" si="98"/>
        <v>E</v>
      </c>
      <c r="P1068" s="10" t="str">
        <f t="shared" si="99"/>
        <v>50</v>
      </c>
      <c r="Q1068" s="10" t="str">
        <f t="shared" si="100"/>
        <v>ZSUM</v>
      </c>
      <c r="R1068" s="10" t="str">
        <f t="shared" si="101"/>
        <v>44121709</v>
      </c>
    </row>
    <row r="1069" spans="1:18" ht="25.5" hidden="1" x14ac:dyDescent="0.2">
      <c r="A1069" s="21" t="s">
        <v>1523</v>
      </c>
      <c r="B1069" s="8" t="s">
        <v>1522</v>
      </c>
      <c r="C1069" s="8" t="s">
        <v>40</v>
      </c>
      <c r="D1069" s="8" t="s">
        <v>95</v>
      </c>
      <c r="E1069" s="8" t="s">
        <v>40</v>
      </c>
      <c r="F1069" s="8" t="s">
        <v>39</v>
      </c>
      <c r="G1069" s="8" t="s">
        <v>60</v>
      </c>
      <c r="H1069" s="8" t="s">
        <v>37</v>
      </c>
      <c r="I1069" s="8" t="s">
        <v>53</v>
      </c>
      <c r="J1069" s="8" t="s">
        <v>59</v>
      </c>
      <c r="K1069" s="8" t="s">
        <v>1521</v>
      </c>
      <c r="L1069" s="7">
        <v>7807</v>
      </c>
      <c r="M1069" s="10" t="str">
        <f t="shared" si="96"/>
        <v>CMI02160100</v>
      </c>
      <c r="N1069" s="10" t="str">
        <f t="shared" si="97"/>
        <v>SUM231200</v>
      </c>
      <c r="O1069" s="10" t="str">
        <f t="shared" si="98"/>
        <v>E</v>
      </c>
      <c r="P1069" s="10" t="str">
        <f t="shared" si="99"/>
        <v>50</v>
      </c>
      <c r="Q1069" s="10" t="str">
        <f t="shared" si="100"/>
        <v>ZSUM</v>
      </c>
      <c r="R1069" s="10" t="str">
        <f t="shared" si="101"/>
        <v>44121605</v>
      </c>
    </row>
    <row r="1070" spans="1:18" ht="25.5" hidden="1" x14ac:dyDescent="0.2">
      <c r="A1070" s="21" t="s">
        <v>1520</v>
      </c>
      <c r="B1070" s="8" t="s">
        <v>1519</v>
      </c>
      <c r="C1070" s="8" t="s">
        <v>40</v>
      </c>
      <c r="D1070" s="8" t="s">
        <v>95</v>
      </c>
      <c r="E1070" s="8" t="s">
        <v>40</v>
      </c>
      <c r="F1070" s="8" t="s">
        <v>39</v>
      </c>
      <c r="G1070" s="8" t="s">
        <v>208</v>
      </c>
      <c r="H1070" s="8" t="s">
        <v>37</v>
      </c>
      <c r="I1070" s="8" t="s">
        <v>53</v>
      </c>
      <c r="J1070" s="8" t="s">
        <v>59</v>
      </c>
      <c r="K1070" s="8" t="s">
        <v>1518</v>
      </c>
      <c r="L1070" s="7">
        <v>7808</v>
      </c>
      <c r="M1070" s="10" t="str">
        <f t="shared" si="96"/>
        <v>CMI02160100</v>
      </c>
      <c r="N1070" s="10" t="str">
        <f t="shared" si="97"/>
        <v>SUM301000</v>
      </c>
      <c r="O1070" s="10" t="str">
        <f t="shared" si="98"/>
        <v>E</v>
      </c>
      <c r="P1070" s="10" t="str">
        <f t="shared" si="99"/>
        <v>50</v>
      </c>
      <c r="Q1070" s="10" t="str">
        <f t="shared" si="100"/>
        <v>ZSUM</v>
      </c>
      <c r="R1070" s="10" t="str">
        <f t="shared" si="101"/>
        <v>44103105</v>
      </c>
    </row>
    <row r="1071" spans="1:18" ht="25.5" hidden="1" x14ac:dyDescent="0.2">
      <c r="A1071" s="21" t="s">
        <v>1517</v>
      </c>
      <c r="B1071" s="8" t="s">
        <v>1516</v>
      </c>
      <c r="C1071" s="8" t="s">
        <v>40</v>
      </c>
      <c r="D1071" s="8" t="s">
        <v>321</v>
      </c>
      <c r="E1071" s="8" t="s">
        <v>40</v>
      </c>
      <c r="F1071" s="8" t="s">
        <v>39</v>
      </c>
      <c r="G1071" s="8" t="s">
        <v>60</v>
      </c>
      <c r="H1071" s="8" t="s">
        <v>37</v>
      </c>
      <c r="I1071" s="8" t="s">
        <v>53</v>
      </c>
      <c r="J1071" s="8" t="s">
        <v>59</v>
      </c>
      <c r="K1071" s="8" t="s">
        <v>1515</v>
      </c>
      <c r="L1071" s="7">
        <v>7809</v>
      </c>
      <c r="M1071" s="10" t="str">
        <f t="shared" si="96"/>
        <v>CMI02050100</v>
      </c>
      <c r="N1071" s="10" t="str">
        <f t="shared" si="97"/>
        <v>SUM231200</v>
      </c>
      <c r="O1071" s="10" t="str">
        <f t="shared" si="98"/>
        <v>E</v>
      </c>
      <c r="P1071" s="10" t="str">
        <f t="shared" si="99"/>
        <v>50</v>
      </c>
      <c r="Q1071" s="10" t="str">
        <f t="shared" si="100"/>
        <v>ZSUM</v>
      </c>
      <c r="R1071" s="10" t="str">
        <f t="shared" si="101"/>
        <v>44121706</v>
      </c>
    </row>
    <row r="1072" spans="1:18" ht="25.5" hidden="1" x14ac:dyDescent="0.2">
      <c r="A1072" s="21" t="s">
        <v>1514</v>
      </c>
      <c r="B1072" s="8" t="s">
        <v>1513</v>
      </c>
      <c r="C1072" s="8" t="s">
        <v>40</v>
      </c>
      <c r="D1072" s="8" t="s">
        <v>1512</v>
      </c>
      <c r="E1072" s="8" t="s">
        <v>40</v>
      </c>
      <c r="F1072" s="8" t="s">
        <v>39</v>
      </c>
      <c r="G1072" s="8" t="s">
        <v>60</v>
      </c>
      <c r="H1072" s="8" t="s">
        <v>37</v>
      </c>
      <c r="I1072" s="8" t="s">
        <v>53</v>
      </c>
      <c r="J1072" s="8" t="s">
        <v>59</v>
      </c>
      <c r="K1072" s="8" t="s">
        <v>1511</v>
      </c>
      <c r="L1072" s="7">
        <v>7810</v>
      </c>
      <c r="M1072" s="10" t="str">
        <f t="shared" si="96"/>
        <v>CMI03100100</v>
      </c>
      <c r="N1072" s="10" t="str">
        <f t="shared" si="97"/>
        <v>SUM231200</v>
      </c>
      <c r="O1072" s="10" t="str">
        <f t="shared" si="98"/>
        <v>E</v>
      </c>
      <c r="P1072" s="10" t="str">
        <f t="shared" si="99"/>
        <v>50</v>
      </c>
      <c r="Q1072" s="10" t="str">
        <f t="shared" si="100"/>
        <v>ZSUM</v>
      </c>
      <c r="R1072" s="10" t="str">
        <f t="shared" si="101"/>
        <v>55121600</v>
      </c>
    </row>
    <row r="1073" spans="1:18" ht="25.5" hidden="1" x14ac:dyDescent="0.2">
      <c r="A1073" s="21" t="s">
        <v>1510</v>
      </c>
      <c r="B1073" s="8" t="s">
        <v>1509</v>
      </c>
      <c r="C1073" s="8" t="s">
        <v>40</v>
      </c>
      <c r="D1073" s="8" t="s">
        <v>1508</v>
      </c>
      <c r="E1073" s="8" t="s">
        <v>40</v>
      </c>
      <c r="F1073" s="8" t="s">
        <v>39</v>
      </c>
      <c r="G1073" s="8" t="s">
        <v>885</v>
      </c>
      <c r="H1073" s="8" t="s">
        <v>37</v>
      </c>
      <c r="I1073" s="8" t="s">
        <v>53</v>
      </c>
      <c r="J1073" s="8" t="s">
        <v>59</v>
      </c>
      <c r="K1073" s="8" t="s">
        <v>1507</v>
      </c>
      <c r="L1073" s="7">
        <v>7811</v>
      </c>
      <c r="M1073" s="10" t="str">
        <f t="shared" si="96"/>
        <v>CMI01030100</v>
      </c>
      <c r="N1073" s="10" t="str">
        <f t="shared" si="97"/>
        <v>SUM231000</v>
      </c>
      <c r="O1073" s="10" t="str">
        <f t="shared" si="98"/>
        <v>E</v>
      </c>
      <c r="P1073" s="10" t="str">
        <f t="shared" si="99"/>
        <v>50</v>
      </c>
      <c r="Q1073" s="10" t="str">
        <f t="shared" si="100"/>
        <v>ZSUM</v>
      </c>
      <c r="R1073" s="10" t="str">
        <f t="shared" si="101"/>
        <v>43191510</v>
      </c>
    </row>
    <row r="1074" spans="1:18" ht="25.5" hidden="1" x14ac:dyDescent="0.2">
      <c r="A1074" s="21" t="s">
        <v>1506</v>
      </c>
      <c r="B1074" s="8" t="s">
        <v>1505</v>
      </c>
      <c r="C1074" s="8" t="s">
        <v>40</v>
      </c>
      <c r="D1074" s="8" t="s">
        <v>74</v>
      </c>
      <c r="E1074" s="8" t="s">
        <v>40</v>
      </c>
      <c r="F1074" s="8" t="s">
        <v>39</v>
      </c>
      <c r="G1074" s="8" t="s">
        <v>60</v>
      </c>
      <c r="H1074" s="8" t="s">
        <v>37</v>
      </c>
      <c r="I1074" s="8" t="s">
        <v>53</v>
      </c>
      <c r="J1074" s="8" t="s">
        <v>59</v>
      </c>
      <c r="K1074" s="8" t="s">
        <v>584</v>
      </c>
      <c r="L1074" s="7">
        <v>7812</v>
      </c>
      <c r="M1074" s="10" t="str">
        <f t="shared" si="96"/>
        <v>CMI02170300</v>
      </c>
      <c r="N1074" s="10" t="str">
        <f t="shared" si="97"/>
        <v>SUM231200</v>
      </c>
      <c r="O1074" s="10" t="str">
        <f t="shared" si="98"/>
        <v>E</v>
      </c>
      <c r="P1074" s="10" t="str">
        <f t="shared" si="99"/>
        <v>50</v>
      </c>
      <c r="Q1074" s="10" t="str">
        <f t="shared" si="100"/>
        <v>ZSUM</v>
      </c>
      <c r="R1074" s="10" t="str">
        <f t="shared" si="101"/>
        <v>60141001</v>
      </c>
    </row>
    <row r="1075" spans="1:18" ht="25.5" hidden="1" x14ac:dyDescent="0.2">
      <c r="A1075" s="21" t="s">
        <v>1504</v>
      </c>
      <c r="B1075" s="8" t="s">
        <v>1503</v>
      </c>
      <c r="C1075" s="8" t="s">
        <v>40</v>
      </c>
      <c r="D1075" s="8" t="s">
        <v>434</v>
      </c>
      <c r="E1075" s="8" t="s">
        <v>40</v>
      </c>
      <c r="F1075" s="8" t="s">
        <v>39</v>
      </c>
      <c r="G1075" s="8" t="s">
        <v>60</v>
      </c>
      <c r="H1075" s="8" t="s">
        <v>37</v>
      </c>
      <c r="I1075" s="8" t="s">
        <v>53</v>
      </c>
      <c r="J1075" s="8" t="s">
        <v>59</v>
      </c>
      <c r="K1075" s="8" t="s">
        <v>1502</v>
      </c>
      <c r="L1075" s="7">
        <v>7813</v>
      </c>
      <c r="M1075" s="10" t="str">
        <f t="shared" si="96"/>
        <v>CMI02130300</v>
      </c>
      <c r="N1075" s="10" t="str">
        <f t="shared" si="97"/>
        <v>SUM231200</v>
      </c>
      <c r="O1075" s="10" t="str">
        <f t="shared" si="98"/>
        <v>E</v>
      </c>
      <c r="P1075" s="10" t="str">
        <f t="shared" si="99"/>
        <v>50</v>
      </c>
      <c r="Q1075" s="10" t="str">
        <f t="shared" si="100"/>
        <v>ZSUM</v>
      </c>
      <c r="R1075" s="10" t="str">
        <f t="shared" si="101"/>
        <v>47131604</v>
      </c>
    </row>
    <row r="1076" spans="1:18" ht="25.5" hidden="1" x14ac:dyDescent="0.2">
      <c r="A1076" s="21" t="s">
        <v>1501</v>
      </c>
      <c r="B1076" s="8" t="s">
        <v>1500</v>
      </c>
      <c r="C1076" s="8" t="s">
        <v>40</v>
      </c>
      <c r="D1076" s="8" t="s">
        <v>434</v>
      </c>
      <c r="E1076" s="8" t="s">
        <v>40</v>
      </c>
      <c r="F1076" s="8" t="s">
        <v>39</v>
      </c>
      <c r="G1076" s="8" t="s">
        <v>985</v>
      </c>
      <c r="H1076" s="8" t="s">
        <v>37</v>
      </c>
      <c r="I1076" s="8" t="s">
        <v>53</v>
      </c>
      <c r="J1076" s="8" t="s">
        <v>59</v>
      </c>
      <c r="K1076" s="8" t="s">
        <v>1220</v>
      </c>
      <c r="L1076" s="7">
        <v>7814</v>
      </c>
      <c r="M1076" s="10" t="str">
        <f t="shared" si="96"/>
        <v>CMI02130300</v>
      </c>
      <c r="N1076" s="10" t="str">
        <f t="shared" si="97"/>
        <v>SUM231600</v>
      </c>
      <c r="O1076" s="10" t="str">
        <f t="shared" si="98"/>
        <v>E</v>
      </c>
      <c r="P1076" s="10" t="str">
        <f t="shared" si="99"/>
        <v>50</v>
      </c>
      <c r="Q1076" s="10" t="str">
        <f t="shared" si="100"/>
        <v>ZSUM</v>
      </c>
      <c r="R1076" s="10" t="str">
        <f t="shared" si="101"/>
        <v>47131605</v>
      </c>
    </row>
    <row r="1077" spans="1:18" ht="38.25" hidden="1" x14ac:dyDescent="0.2">
      <c r="A1077" s="21" t="s">
        <v>1499</v>
      </c>
      <c r="B1077" s="8" t="s">
        <v>1498</v>
      </c>
      <c r="C1077" s="8" t="s">
        <v>40</v>
      </c>
      <c r="D1077" s="8" t="s">
        <v>730</v>
      </c>
      <c r="E1077" s="8" t="s">
        <v>40</v>
      </c>
      <c r="F1077" s="8" t="s">
        <v>39</v>
      </c>
      <c r="G1077" s="8" t="s">
        <v>60</v>
      </c>
      <c r="H1077" s="8" t="s">
        <v>37</v>
      </c>
      <c r="I1077" s="8" t="s">
        <v>53</v>
      </c>
      <c r="J1077" s="8" t="s">
        <v>59</v>
      </c>
      <c r="K1077" s="8" t="s">
        <v>1497</v>
      </c>
      <c r="L1077" s="7">
        <v>7815</v>
      </c>
      <c r="M1077" s="10" t="str">
        <f t="shared" si="96"/>
        <v>CMI02130200</v>
      </c>
      <c r="N1077" s="10" t="str">
        <f t="shared" si="97"/>
        <v>SUM231200</v>
      </c>
      <c r="O1077" s="10" t="str">
        <f t="shared" si="98"/>
        <v>E</v>
      </c>
      <c r="P1077" s="10" t="str">
        <f t="shared" si="99"/>
        <v>50</v>
      </c>
      <c r="Q1077" s="10" t="str">
        <f t="shared" si="100"/>
        <v>ZSUM</v>
      </c>
      <c r="R1077" s="10" t="str">
        <f t="shared" si="101"/>
        <v>47131805</v>
      </c>
    </row>
    <row r="1078" spans="1:18" ht="38.25" hidden="1" x14ac:dyDescent="0.2">
      <c r="A1078" s="21" t="s">
        <v>1496</v>
      </c>
      <c r="B1078" s="8" t="s">
        <v>1495</v>
      </c>
      <c r="C1078" s="8" t="s">
        <v>40</v>
      </c>
      <c r="D1078" s="8" t="s">
        <v>730</v>
      </c>
      <c r="E1078" s="8" t="s">
        <v>40</v>
      </c>
      <c r="F1078" s="8" t="s">
        <v>39</v>
      </c>
      <c r="G1078" s="8" t="s">
        <v>60</v>
      </c>
      <c r="H1078" s="8" t="s">
        <v>37</v>
      </c>
      <c r="I1078" s="8" t="s">
        <v>53</v>
      </c>
      <c r="J1078" s="8" t="s">
        <v>59</v>
      </c>
      <c r="K1078" s="8" t="s">
        <v>1494</v>
      </c>
      <c r="L1078" s="7">
        <v>7816</v>
      </c>
      <c r="M1078" s="10" t="str">
        <f t="shared" si="96"/>
        <v>CMI02130200</v>
      </c>
      <c r="N1078" s="10" t="str">
        <f t="shared" si="97"/>
        <v>SUM231200</v>
      </c>
      <c r="O1078" s="10" t="str">
        <f t="shared" si="98"/>
        <v>E</v>
      </c>
      <c r="P1078" s="10" t="str">
        <f t="shared" si="99"/>
        <v>50</v>
      </c>
      <c r="Q1078" s="10" t="str">
        <f t="shared" si="100"/>
        <v>ZSUM</v>
      </c>
      <c r="R1078" s="10" t="str">
        <f t="shared" si="101"/>
        <v>47131821</v>
      </c>
    </row>
    <row r="1079" spans="1:18" ht="38.25" hidden="1" x14ac:dyDescent="0.2">
      <c r="A1079" s="21" t="s">
        <v>1493</v>
      </c>
      <c r="B1079" s="8" t="s">
        <v>1492</v>
      </c>
      <c r="C1079" s="8" t="s">
        <v>40</v>
      </c>
      <c r="D1079" s="8" t="s">
        <v>86</v>
      </c>
      <c r="E1079" s="8" t="s">
        <v>40</v>
      </c>
      <c r="F1079" s="8" t="s">
        <v>39</v>
      </c>
      <c r="G1079" s="8" t="s">
        <v>60</v>
      </c>
      <c r="H1079" s="8" t="s">
        <v>37</v>
      </c>
      <c r="I1079" s="8" t="s">
        <v>53</v>
      </c>
      <c r="J1079" s="8" t="s">
        <v>59</v>
      </c>
      <c r="K1079" s="8" t="s">
        <v>1491</v>
      </c>
      <c r="L1079" s="7">
        <v>7817</v>
      </c>
      <c r="M1079" s="10" t="str">
        <f t="shared" si="96"/>
        <v>CMI02160300</v>
      </c>
      <c r="N1079" s="10" t="str">
        <f t="shared" si="97"/>
        <v>SUM231200</v>
      </c>
      <c r="O1079" s="10" t="str">
        <f t="shared" si="98"/>
        <v>E</v>
      </c>
      <c r="P1079" s="10" t="str">
        <f t="shared" si="99"/>
        <v>50</v>
      </c>
      <c r="Q1079" s="10" t="str">
        <f t="shared" si="100"/>
        <v>ZSUM</v>
      </c>
      <c r="R1079" s="10" t="str">
        <f t="shared" si="101"/>
        <v>47121800</v>
      </c>
    </row>
    <row r="1080" spans="1:18" ht="38.25" hidden="1" x14ac:dyDescent="0.2">
      <c r="A1080" s="21" t="s">
        <v>1490</v>
      </c>
      <c r="B1080" s="8" t="s">
        <v>1489</v>
      </c>
      <c r="C1080" s="8" t="s">
        <v>40</v>
      </c>
      <c r="D1080" s="8" t="s">
        <v>730</v>
      </c>
      <c r="E1080" s="8" t="s">
        <v>40</v>
      </c>
      <c r="F1080" s="8" t="s">
        <v>39</v>
      </c>
      <c r="G1080" s="8" t="s">
        <v>60</v>
      </c>
      <c r="H1080" s="8" t="s">
        <v>37</v>
      </c>
      <c r="I1080" s="8" t="s">
        <v>53</v>
      </c>
      <c r="J1080" s="8" t="s">
        <v>59</v>
      </c>
      <c r="K1080" s="8" t="s">
        <v>1488</v>
      </c>
      <c r="L1080" s="7">
        <v>7818</v>
      </c>
      <c r="M1080" s="10" t="str">
        <f t="shared" si="96"/>
        <v>CMI02130200</v>
      </c>
      <c r="N1080" s="10" t="str">
        <f t="shared" si="97"/>
        <v>SUM231200</v>
      </c>
      <c r="O1080" s="10" t="str">
        <f t="shared" si="98"/>
        <v>E</v>
      </c>
      <c r="P1080" s="10" t="str">
        <f t="shared" si="99"/>
        <v>50</v>
      </c>
      <c r="Q1080" s="10" t="str">
        <f t="shared" si="100"/>
        <v>ZSUM</v>
      </c>
      <c r="R1080" s="10" t="str">
        <f t="shared" si="101"/>
        <v>47131831</v>
      </c>
    </row>
    <row r="1081" spans="1:18" ht="25.5" hidden="1" x14ac:dyDescent="0.2">
      <c r="A1081" s="21" t="s">
        <v>1487</v>
      </c>
      <c r="B1081" s="8" t="s">
        <v>1486</v>
      </c>
      <c r="C1081" s="8" t="s">
        <v>40</v>
      </c>
      <c r="D1081" s="8" t="s">
        <v>434</v>
      </c>
      <c r="E1081" s="8" t="s">
        <v>40</v>
      </c>
      <c r="F1081" s="8" t="s">
        <v>39</v>
      </c>
      <c r="G1081" s="8" t="s">
        <v>60</v>
      </c>
      <c r="H1081" s="8" t="s">
        <v>37</v>
      </c>
      <c r="I1081" s="8" t="s">
        <v>53</v>
      </c>
      <c r="J1081" s="8" t="s">
        <v>59</v>
      </c>
      <c r="K1081" s="8" t="s">
        <v>1485</v>
      </c>
      <c r="L1081" s="7">
        <v>7819</v>
      </c>
      <c r="M1081" s="10" t="str">
        <f t="shared" si="96"/>
        <v>CMI02130300</v>
      </c>
      <c r="N1081" s="10" t="str">
        <f t="shared" si="97"/>
        <v>SUM231200</v>
      </c>
      <c r="O1081" s="10" t="str">
        <f t="shared" si="98"/>
        <v>E</v>
      </c>
      <c r="P1081" s="10" t="str">
        <f t="shared" si="99"/>
        <v>50</v>
      </c>
      <c r="Q1081" s="10" t="str">
        <f t="shared" si="100"/>
        <v>ZSUM</v>
      </c>
      <c r="R1081" s="10" t="str">
        <f t="shared" si="101"/>
        <v>47131501</v>
      </c>
    </row>
    <row r="1082" spans="1:18" ht="25.5" hidden="1" x14ac:dyDescent="0.2">
      <c r="A1082" s="21" t="s">
        <v>1484</v>
      </c>
      <c r="B1082" s="8" t="s">
        <v>1483</v>
      </c>
      <c r="C1082" s="8" t="s">
        <v>40</v>
      </c>
      <c r="D1082" s="8" t="s">
        <v>434</v>
      </c>
      <c r="E1082" s="8" t="s">
        <v>40</v>
      </c>
      <c r="F1082" s="8" t="s">
        <v>39</v>
      </c>
      <c r="G1082" s="8" t="s">
        <v>60</v>
      </c>
      <c r="H1082" s="8" t="s">
        <v>37</v>
      </c>
      <c r="I1082" s="8" t="s">
        <v>53</v>
      </c>
      <c r="J1082" s="8" t="s">
        <v>59</v>
      </c>
      <c r="K1082" s="8" t="s">
        <v>1482</v>
      </c>
      <c r="L1082" s="7">
        <v>7820</v>
      </c>
      <c r="M1082" s="10" t="str">
        <f t="shared" si="96"/>
        <v>CMI02130300</v>
      </c>
      <c r="N1082" s="10" t="str">
        <f t="shared" si="97"/>
        <v>SUM231200</v>
      </c>
      <c r="O1082" s="10" t="str">
        <f t="shared" si="98"/>
        <v>E</v>
      </c>
      <c r="P1082" s="10" t="str">
        <f t="shared" si="99"/>
        <v>50</v>
      </c>
      <c r="Q1082" s="10" t="str">
        <f t="shared" si="100"/>
        <v>ZSUM</v>
      </c>
      <c r="R1082" s="10" t="str">
        <f t="shared" si="101"/>
        <v>47131603</v>
      </c>
    </row>
    <row r="1083" spans="1:18" ht="25.5" hidden="1" x14ac:dyDescent="0.2">
      <c r="A1083" s="21" t="s">
        <v>1481</v>
      </c>
      <c r="B1083" s="8" t="s">
        <v>1480</v>
      </c>
      <c r="C1083" s="8" t="s">
        <v>40</v>
      </c>
      <c r="D1083" s="8" t="s">
        <v>730</v>
      </c>
      <c r="E1083" s="8" t="s">
        <v>40</v>
      </c>
      <c r="F1083" s="8" t="s">
        <v>39</v>
      </c>
      <c r="G1083" s="8" t="s">
        <v>60</v>
      </c>
      <c r="H1083" s="8" t="s">
        <v>37</v>
      </c>
      <c r="I1083" s="8" t="s">
        <v>53</v>
      </c>
      <c r="J1083" s="8" t="s">
        <v>59</v>
      </c>
      <c r="K1083" s="8" t="s">
        <v>757</v>
      </c>
      <c r="L1083" s="7">
        <v>7821</v>
      </c>
      <c r="M1083" s="10" t="str">
        <f t="shared" si="96"/>
        <v>CMI02130200</v>
      </c>
      <c r="N1083" s="10" t="str">
        <f t="shared" si="97"/>
        <v>SUM231200</v>
      </c>
      <c r="O1083" s="10" t="str">
        <f t="shared" si="98"/>
        <v>E</v>
      </c>
      <c r="P1083" s="10" t="str">
        <f t="shared" si="99"/>
        <v>50</v>
      </c>
      <c r="Q1083" s="10" t="str">
        <f t="shared" si="100"/>
        <v>ZSUM</v>
      </c>
      <c r="R1083" s="10" t="str">
        <f t="shared" si="101"/>
        <v>12181500</v>
      </c>
    </row>
    <row r="1084" spans="1:18" ht="25.5" hidden="1" x14ac:dyDescent="0.2">
      <c r="A1084" s="21" t="s">
        <v>1479</v>
      </c>
      <c r="B1084" s="8" t="s">
        <v>1478</v>
      </c>
      <c r="C1084" s="8" t="s">
        <v>40</v>
      </c>
      <c r="D1084" s="8" t="s">
        <v>434</v>
      </c>
      <c r="E1084" s="8" t="s">
        <v>40</v>
      </c>
      <c r="F1084" s="8" t="s">
        <v>39</v>
      </c>
      <c r="G1084" s="8" t="s">
        <v>60</v>
      </c>
      <c r="H1084" s="8" t="s">
        <v>37</v>
      </c>
      <c r="I1084" s="8" t="s">
        <v>53</v>
      </c>
      <c r="J1084" s="8" t="s">
        <v>59</v>
      </c>
      <c r="K1084" s="8" t="s">
        <v>1477</v>
      </c>
      <c r="L1084" s="7">
        <v>7822</v>
      </c>
      <c r="M1084" s="10" t="str">
        <f t="shared" si="96"/>
        <v>CMI02130300</v>
      </c>
      <c r="N1084" s="10" t="str">
        <f t="shared" si="97"/>
        <v>SUM231200</v>
      </c>
      <c r="O1084" s="10" t="str">
        <f t="shared" si="98"/>
        <v>E</v>
      </c>
      <c r="P1084" s="10" t="str">
        <f t="shared" si="99"/>
        <v>50</v>
      </c>
      <c r="Q1084" s="10" t="str">
        <f t="shared" si="100"/>
        <v>ZSUM</v>
      </c>
      <c r="R1084" s="10" t="str">
        <f t="shared" si="101"/>
        <v>47131502</v>
      </c>
    </row>
    <row r="1085" spans="1:18" ht="38.25" hidden="1" x14ac:dyDescent="0.2">
      <c r="A1085" s="21" t="s">
        <v>1476</v>
      </c>
      <c r="B1085" s="8" t="s">
        <v>1475</v>
      </c>
      <c r="C1085" s="8" t="s">
        <v>40</v>
      </c>
      <c r="D1085" s="8" t="s">
        <v>1456</v>
      </c>
      <c r="E1085" s="8" t="s">
        <v>40</v>
      </c>
      <c r="F1085" s="8" t="s">
        <v>39</v>
      </c>
      <c r="G1085" s="8" t="s">
        <v>60</v>
      </c>
      <c r="H1085" s="8" t="s">
        <v>37</v>
      </c>
      <c r="I1085" s="8" t="s">
        <v>53</v>
      </c>
      <c r="J1085" s="8" t="s">
        <v>59</v>
      </c>
      <c r="K1085" s="8" t="s">
        <v>1474</v>
      </c>
      <c r="L1085" s="7">
        <v>7823</v>
      </c>
      <c r="M1085" s="10" t="str">
        <f t="shared" si="96"/>
        <v>CMI03010100</v>
      </c>
      <c r="N1085" s="10" t="str">
        <f t="shared" si="97"/>
        <v>SUM231200</v>
      </c>
      <c r="O1085" s="10" t="str">
        <f t="shared" si="98"/>
        <v>E</v>
      </c>
      <c r="P1085" s="10" t="str">
        <f t="shared" si="99"/>
        <v>50</v>
      </c>
      <c r="Q1085" s="10" t="str">
        <f t="shared" si="100"/>
        <v>ZSUM</v>
      </c>
      <c r="R1085" s="10" t="str">
        <f t="shared" si="101"/>
        <v>12164903</v>
      </c>
    </row>
    <row r="1086" spans="1:18" ht="25.5" hidden="1" x14ac:dyDescent="0.2">
      <c r="A1086" s="21" t="s">
        <v>1473</v>
      </c>
      <c r="B1086" s="8" t="s">
        <v>1472</v>
      </c>
      <c r="C1086" s="8" t="s">
        <v>40</v>
      </c>
      <c r="D1086" s="8" t="s">
        <v>520</v>
      </c>
      <c r="E1086" s="8" t="s">
        <v>40</v>
      </c>
      <c r="F1086" s="8" t="s">
        <v>39</v>
      </c>
      <c r="G1086" s="8" t="s">
        <v>60</v>
      </c>
      <c r="H1086" s="8" t="s">
        <v>37</v>
      </c>
      <c r="I1086" s="8" t="s">
        <v>53</v>
      </c>
      <c r="J1086" s="8" t="s">
        <v>59</v>
      </c>
      <c r="K1086" s="8" t="s">
        <v>1471</v>
      </c>
      <c r="L1086" s="7">
        <v>7824</v>
      </c>
      <c r="M1086" s="10" t="str">
        <f t="shared" si="96"/>
        <v>CMI02180300</v>
      </c>
      <c r="N1086" s="10" t="str">
        <f t="shared" si="97"/>
        <v>SUM231200</v>
      </c>
      <c r="O1086" s="10" t="str">
        <f t="shared" si="98"/>
        <v>E</v>
      </c>
      <c r="P1086" s="10" t="str">
        <f t="shared" si="99"/>
        <v>50</v>
      </c>
      <c r="Q1086" s="10" t="str">
        <f t="shared" si="100"/>
        <v>ZSUM</v>
      </c>
      <c r="R1086" s="10" t="str">
        <f t="shared" si="101"/>
        <v>15121515</v>
      </c>
    </row>
    <row r="1087" spans="1:18" ht="25.5" hidden="1" x14ac:dyDescent="0.2">
      <c r="A1087" s="21" t="s">
        <v>1470</v>
      </c>
      <c r="B1087" s="8" t="s">
        <v>1469</v>
      </c>
      <c r="C1087" s="8" t="s">
        <v>40</v>
      </c>
      <c r="D1087" s="8" t="s">
        <v>321</v>
      </c>
      <c r="E1087" s="8" t="s">
        <v>40</v>
      </c>
      <c r="F1087" s="8" t="s">
        <v>39</v>
      </c>
      <c r="G1087" s="8" t="s">
        <v>60</v>
      </c>
      <c r="H1087" s="8" t="s">
        <v>37</v>
      </c>
      <c r="I1087" s="8" t="s">
        <v>53</v>
      </c>
      <c r="J1087" s="8" t="s">
        <v>59</v>
      </c>
      <c r="K1087" s="8" t="s">
        <v>1468</v>
      </c>
      <c r="L1087" s="7">
        <v>7825</v>
      </c>
      <c r="M1087" s="10" t="str">
        <f t="shared" si="96"/>
        <v>CMI02050100</v>
      </c>
      <c r="N1087" s="10" t="str">
        <f t="shared" si="97"/>
        <v>SUM231200</v>
      </c>
      <c r="O1087" s="10" t="str">
        <f t="shared" si="98"/>
        <v>E</v>
      </c>
      <c r="P1087" s="10" t="str">
        <f t="shared" si="99"/>
        <v>50</v>
      </c>
      <c r="Q1087" s="10" t="str">
        <f t="shared" si="100"/>
        <v>ZSUM</v>
      </c>
      <c r="R1087" s="10" t="str">
        <f t="shared" si="101"/>
        <v>31211904</v>
      </c>
    </row>
    <row r="1088" spans="1:18" ht="25.5" hidden="1" x14ac:dyDescent="0.2">
      <c r="A1088" s="21" t="s">
        <v>1467</v>
      </c>
      <c r="B1088" s="8" t="s">
        <v>1466</v>
      </c>
      <c r="C1088" s="8" t="s">
        <v>40</v>
      </c>
      <c r="D1088" s="8" t="s">
        <v>321</v>
      </c>
      <c r="E1088" s="8" t="s">
        <v>40</v>
      </c>
      <c r="F1088" s="8" t="s">
        <v>39</v>
      </c>
      <c r="G1088" s="8" t="s">
        <v>60</v>
      </c>
      <c r="H1088" s="8" t="s">
        <v>37</v>
      </c>
      <c r="I1088" s="8" t="s">
        <v>53</v>
      </c>
      <c r="J1088" s="8" t="s">
        <v>59</v>
      </c>
      <c r="K1088" s="8" t="s">
        <v>1465</v>
      </c>
      <c r="L1088" s="7">
        <v>7826</v>
      </c>
      <c r="M1088" s="10" t="str">
        <f t="shared" si="96"/>
        <v>CMI02050100</v>
      </c>
      <c r="N1088" s="10" t="str">
        <f t="shared" si="97"/>
        <v>SUM231200</v>
      </c>
      <c r="O1088" s="10" t="str">
        <f t="shared" si="98"/>
        <v>E</v>
      </c>
      <c r="P1088" s="10" t="str">
        <f t="shared" si="99"/>
        <v>50</v>
      </c>
      <c r="Q1088" s="10" t="str">
        <f t="shared" si="100"/>
        <v>ZSUM</v>
      </c>
      <c r="R1088" s="10" t="str">
        <f t="shared" si="101"/>
        <v>60121228</v>
      </c>
    </row>
    <row r="1089" spans="1:18" ht="25.5" hidden="1" x14ac:dyDescent="0.2">
      <c r="A1089" s="21" t="s">
        <v>1464</v>
      </c>
      <c r="B1089" s="8" t="s">
        <v>1463</v>
      </c>
      <c r="C1089" s="8" t="s">
        <v>40</v>
      </c>
      <c r="D1089" s="8" t="s">
        <v>520</v>
      </c>
      <c r="E1089" s="8" t="s">
        <v>40</v>
      </c>
      <c r="F1089" s="8" t="s">
        <v>39</v>
      </c>
      <c r="G1089" s="8" t="s">
        <v>975</v>
      </c>
      <c r="H1089" s="8" t="s">
        <v>37</v>
      </c>
      <c r="I1089" s="8" t="s">
        <v>53</v>
      </c>
      <c r="J1089" s="8" t="s">
        <v>59</v>
      </c>
      <c r="K1089" s="8" t="s">
        <v>1462</v>
      </c>
      <c r="L1089" s="7">
        <v>7827</v>
      </c>
      <c r="M1089" s="10" t="str">
        <f t="shared" si="96"/>
        <v>CMI02180300</v>
      </c>
      <c r="N1089" s="10" t="str">
        <f t="shared" si="97"/>
        <v>SUM231100</v>
      </c>
      <c r="O1089" s="10" t="str">
        <f t="shared" si="98"/>
        <v>E</v>
      </c>
      <c r="P1089" s="10" t="str">
        <f t="shared" si="99"/>
        <v>50</v>
      </c>
      <c r="Q1089" s="10" t="str">
        <f t="shared" si="100"/>
        <v>ZSUM</v>
      </c>
      <c r="R1089" s="10" t="str">
        <f t="shared" si="101"/>
        <v>12163600</v>
      </c>
    </row>
    <row r="1090" spans="1:18" ht="25.5" hidden="1" x14ac:dyDescent="0.2">
      <c r="A1090" s="21" t="s">
        <v>1461</v>
      </c>
      <c r="B1090" s="8" t="s">
        <v>1460</v>
      </c>
      <c r="C1090" s="8" t="s">
        <v>40</v>
      </c>
      <c r="D1090" s="8" t="s">
        <v>321</v>
      </c>
      <c r="E1090" s="8" t="s">
        <v>40</v>
      </c>
      <c r="F1090" s="8" t="s">
        <v>39</v>
      </c>
      <c r="G1090" s="8" t="s">
        <v>60</v>
      </c>
      <c r="H1090" s="8" t="s">
        <v>37</v>
      </c>
      <c r="I1090" s="8" t="s">
        <v>53</v>
      </c>
      <c r="J1090" s="8" t="s">
        <v>59</v>
      </c>
      <c r="K1090" s="8" t="s">
        <v>1459</v>
      </c>
      <c r="L1090" s="7">
        <v>7828</v>
      </c>
      <c r="M1090" s="10" t="str">
        <f t="shared" si="96"/>
        <v>CMI02050100</v>
      </c>
      <c r="N1090" s="10" t="str">
        <f t="shared" si="97"/>
        <v>SUM231200</v>
      </c>
      <c r="O1090" s="10" t="str">
        <f t="shared" si="98"/>
        <v>E</v>
      </c>
      <c r="P1090" s="10" t="str">
        <f t="shared" si="99"/>
        <v>50</v>
      </c>
      <c r="Q1090" s="10" t="str">
        <f t="shared" si="100"/>
        <v>ZSUM</v>
      </c>
      <c r="R1090" s="10" t="str">
        <f t="shared" si="101"/>
        <v>31211917</v>
      </c>
    </row>
    <row r="1091" spans="1:18" ht="25.5" hidden="1" x14ac:dyDescent="0.2">
      <c r="A1091" s="21" t="s">
        <v>1458</v>
      </c>
      <c r="B1091" s="8" t="s">
        <v>1457</v>
      </c>
      <c r="C1091" s="8" t="s">
        <v>40</v>
      </c>
      <c r="D1091" s="8" t="s">
        <v>1456</v>
      </c>
      <c r="E1091" s="8" t="s">
        <v>40</v>
      </c>
      <c r="F1091" s="8" t="s">
        <v>39</v>
      </c>
      <c r="G1091" s="8" t="s">
        <v>60</v>
      </c>
      <c r="H1091" s="8" t="s">
        <v>37</v>
      </c>
      <c r="I1091" s="8" t="s">
        <v>53</v>
      </c>
      <c r="J1091" s="8" t="s">
        <v>59</v>
      </c>
      <c r="K1091" s="8" t="s">
        <v>1455</v>
      </c>
      <c r="L1091" s="7">
        <v>7829</v>
      </c>
      <c r="M1091" s="10" t="str">
        <f t="shared" ref="M1091:M1154" si="102">+LEFT(D1091,11)</f>
        <v>CMI03010100</v>
      </c>
      <c r="N1091" s="10" t="str">
        <f t="shared" ref="N1091:N1154" si="103">+LEFT(G1091,9)</f>
        <v>SUM231200</v>
      </c>
      <c r="O1091" s="10" t="str">
        <f t="shared" ref="O1091:O1154" si="104">+LEFT(H1091,1)</f>
        <v>E</v>
      </c>
      <c r="P1091" s="10" t="str">
        <f t="shared" ref="P1091:P1154" si="105">+LEFT(I1091,2)</f>
        <v>50</v>
      </c>
      <c r="Q1091" s="10" t="str">
        <f t="shared" ref="Q1091:Q1154" si="106">+LEFT(J1091,4)</f>
        <v>ZSUM</v>
      </c>
      <c r="R1091" s="10" t="str">
        <f t="shared" ref="R1091:R1154" si="107">+LEFT(K1091,8)</f>
        <v>31201600</v>
      </c>
    </row>
    <row r="1092" spans="1:18" ht="25.5" hidden="1" x14ac:dyDescent="0.2">
      <c r="A1092" s="21" t="s">
        <v>1454</v>
      </c>
      <c r="B1092" s="8" t="s">
        <v>1453</v>
      </c>
      <c r="C1092" s="8" t="s">
        <v>40</v>
      </c>
      <c r="D1092" s="8" t="s">
        <v>363</v>
      </c>
      <c r="E1092" s="8" t="s">
        <v>40</v>
      </c>
      <c r="F1092" s="8" t="s">
        <v>39</v>
      </c>
      <c r="G1092" s="8" t="s">
        <v>60</v>
      </c>
      <c r="H1092" s="8" t="s">
        <v>37</v>
      </c>
      <c r="I1092" s="8" t="s">
        <v>53</v>
      </c>
      <c r="J1092" s="8" t="s">
        <v>59</v>
      </c>
      <c r="K1092" s="8" t="s">
        <v>1452</v>
      </c>
      <c r="L1092" s="7">
        <v>7830</v>
      </c>
      <c r="M1092" s="10" t="str">
        <f t="shared" si="102"/>
        <v>CMI02051300</v>
      </c>
      <c r="N1092" s="10" t="str">
        <f t="shared" si="103"/>
        <v>SUM231200</v>
      </c>
      <c r="O1092" s="10" t="str">
        <f t="shared" si="104"/>
        <v>E</v>
      </c>
      <c r="P1092" s="10" t="str">
        <f t="shared" si="105"/>
        <v>50</v>
      </c>
      <c r="Q1092" s="10" t="str">
        <f t="shared" si="106"/>
        <v>ZSUM</v>
      </c>
      <c r="R1092" s="10" t="str">
        <f t="shared" si="107"/>
        <v>31211906</v>
      </c>
    </row>
    <row r="1093" spans="1:18" ht="25.5" hidden="1" x14ac:dyDescent="0.2">
      <c r="A1093" s="21" t="s">
        <v>1451</v>
      </c>
      <c r="B1093" s="8" t="s">
        <v>1450</v>
      </c>
      <c r="C1093" s="8" t="s">
        <v>40</v>
      </c>
      <c r="D1093" s="8" t="s">
        <v>1181</v>
      </c>
      <c r="E1093" s="8" t="s">
        <v>40</v>
      </c>
      <c r="F1093" s="8" t="s">
        <v>39</v>
      </c>
      <c r="G1093" s="8" t="s">
        <v>60</v>
      </c>
      <c r="H1093" s="8" t="s">
        <v>37</v>
      </c>
      <c r="I1093" s="8" t="s">
        <v>53</v>
      </c>
      <c r="J1093" s="8" t="s">
        <v>59</v>
      </c>
      <c r="K1093" s="8" t="s">
        <v>1449</v>
      </c>
      <c r="L1093" s="7">
        <v>7831</v>
      </c>
      <c r="M1093" s="10" t="str">
        <f t="shared" si="102"/>
        <v>CMI02051600</v>
      </c>
      <c r="N1093" s="10" t="str">
        <f t="shared" si="103"/>
        <v>SUM231200</v>
      </c>
      <c r="O1093" s="10" t="str">
        <f t="shared" si="104"/>
        <v>E</v>
      </c>
      <c r="P1093" s="10" t="str">
        <f t="shared" si="105"/>
        <v>50</v>
      </c>
      <c r="Q1093" s="10" t="str">
        <f t="shared" si="106"/>
        <v>ZSUM</v>
      </c>
      <c r="R1093" s="10" t="str">
        <f t="shared" si="107"/>
        <v>31211909</v>
      </c>
    </row>
    <row r="1094" spans="1:18" ht="25.5" hidden="1" x14ac:dyDescent="0.2">
      <c r="A1094" s="21" t="s">
        <v>1448</v>
      </c>
      <c r="B1094" s="8" t="s">
        <v>1447</v>
      </c>
      <c r="C1094" s="8" t="s">
        <v>40</v>
      </c>
      <c r="D1094" s="8" t="s">
        <v>1181</v>
      </c>
      <c r="E1094" s="8" t="s">
        <v>40</v>
      </c>
      <c r="F1094" s="8" t="s">
        <v>39</v>
      </c>
      <c r="G1094" s="8" t="s">
        <v>60</v>
      </c>
      <c r="H1094" s="8" t="s">
        <v>37</v>
      </c>
      <c r="I1094" s="8" t="s">
        <v>53</v>
      </c>
      <c r="J1094" s="8" t="s">
        <v>59</v>
      </c>
      <c r="K1094" s="8" t="s">
        <v>1446</v>
      </c>
      <c r="L1094" s="7">
        <v>7832</v>
      </c>
      <c r="M1094" s="10" t="str">
        <f t="shared" si="102"/>
        <v>CMI02051600</v>
      </c>
      <c r="N1094" s="10" t="str">
        <f t="shared" si="103"/>
        <v>SUM231200</v>
      </c>
      <c r="O1094" s="10" t="str">
        <f t="shared" si="104"/>
        <v>E</v>
      </c>
      <c r="P1094" s="10" t="str">
        <f t="shared" si="105"/>
        <v>50</v>
      </c>
      <c r="Q1094" s="10" t="str">
        <f t="shared" si="106"/>
        <v>ZSUM</v>
      </c>
      <c r="R1094" s="10" t="str">
        <f t="shared" si="107"/>
        <v>31211707</v>
      </c>
    </row>
    <row r="1095" spans="1:18" ht="25.5" hidden="1" x14ac:dyDescent="0.2">
      <c r="A1095" s="21" t="s">
        <v>1445</v>
      </c>
      <c r="B1095" s="8" t="s">
        <v>1444</v>
      </c>
      <c r="C1095" s="8" t="s">
        <v>40</v>
      </c>
      <c r="D1095" s="8" t="s">
        <v>1181</v>
      </c>
      <c r="E1095" s="8" t="s">
        <v>40</v>
      </c>
      <c r="F1095" s="8" t="s">
        <v>39</v>
      </c>
      <c r="G1095" s="8" t="s">
        <v>60</v>
      </c>
      <c r="H1095" s="8" t="s">
        <v>37</v>
      </c>
      <c r="I1095" s="8" t="s">
        <v>53</v>
      </c>
      <c r="J1095" s="8" t="s">
        <v>59</v>
      </c>
      <c r="K1095" s="8" t="s">
        <v>1443</v>
      </c>
      <c r="L1095" s="7">
        <v>7833</v>
      </c>
      <c r="M1095" s="10" t="str">
        <f t="shared" si="102"/>
        <v>CMI02051600</v>
      </c>
      <c r="N1095" s="10" t="str">
        <f t="shared" si="103"/>
        <v>SUM231200</v>
      </c>
      <c r="O1095" s="10" t="str">
        <f t="shared" si="104"/>
        <v>E</v>
      </c>
      <c r="P1095" s="10" t="str">
        <f t="shared" si="105"/>
        <v>50</v>
      </c>
      <c r="Q1095" s="10" t="str">
        <f t="shared" si="106"/>
        <v>ZSUM</v>
      </c>
      <c r="R1095" s="10" t="str">
        <f t="shared" si="107"/>
        <v>12160000</v>
      </c>
    </row>
    <row r="1096" spans="1:18" ht="25.5" hidden="1" x14ac:dyDescent="0.2">
      <c r="A1096" s="21" t="s">
        <v>1442</v>
      </c>
      <c r="B1096" s="8" t="s">
        <v>1441</v>
      </c>
      <c r="C1096" s="8" t="s">
        <v>40</v>
      </c>
      <c r="D1096" s="8" t="s">
        <v>1440</v>
      </c>
      <c r="E1096" s="8" t="s">
        <v>40</v>
      </c>
      <c r="F1096" s="8" t="s">
        <v>39</v>
      </c>
      <c r="G1096" s="8" t="s">
        <v>60</v>
      </c>
      <c r="H1096" s="8" t="s">
        <v>37</v>
      </c>
      <c r="I1096" s="8" t="s">
        <v>53</v>
      </c>
      <c r="J1096" s="8" t="s">
        <v>59</v>
      </c>
      <c r="K1096" s="8" t="s">
        <v>1439</v>
      </c>
      <c r="L1096" s="7">
        <v>7834</v>
      </c>
      <c r="M1096" s="10" t="str">
        <f t="shared" si="102"/>
        <v>CMI03040200</v>
      </c>
      <c r="N1096" s="10" t="str">
        <f t="shared" si="103"/>
        <v>SUM231200</v>
      </c>
      <c r="O1096" s="10" t="str">
        <f t="shared" si="104"/>
        <v>E</v>
      </c>
      <c r="P1096" s="10" t="str">
        <f t="shared" si="105"/>
        <v>50</v>
      </c>
      <c r="Q1096" s="10" t="str">
        <f t="shared" si="106"/>
        <v>ZSUM</v>
      </c>
      <c r="R1096" s="10" t="str">
        <f t="shared" si="107"/>
        <v>24111503</v>
      </c>
    </row>
    <row r="1097" spans="1:18" ht="25.5" hidden="1" x14ac:dyDescent="0.2">
      <c r="A1097" s="21" t="s">
        <v>1438</v>
      </c>
      <c r="B1097" s="8" t="s">
        <v>1437</v>
      </c>
      <c r="C1097" s="8" t="s">
        <v>40</v>
      </c>
      <c r="D1097" s="8" t="s">
        <v>1269</v>
      </c>
      <c r="E1097" s="8" t="s">
        <v>40</v>
      </c>
      <c r="F1097" s="8" t="s">
        <v>39</v>
      </c>
      <c r="G1097" s="8" t="s">
        <v>885</v>
      </c>
      <c r="H1097" s="8" t="s">
        <v>37</v>
      </c>
      <c r="I1097" s="8" t="s">
        <v>53</v>
      </c>
      <c r="J1097" s="8" t="s">
        <v>59</v>
      </c>
      <c r="K1097" s="8" t="s">
        <v>1436</v>
      </c>
      <c r="L1097" s="7">
        <v>7835</v>
      </c>
      <c r="M1097" s="10" t="str">
        <f t="shared" si="102"/>
        <v>CMI03050100</v>
      </c>
      <c r="N1097" s="10" t="str">
        <f t="shared" si="103"/>
        <v>SUM231000</v>
      </c>
      <c r="O1097" s="10" t="str">
        <f t="shared" si="104"/>
        <v>E</v>
      </c>
      <c r="P1097" s="10" t="str">
        <f t="shared" si="105"/>
        <v>50</v>
      </c>
      <c r="Q1097" s="10" t="str">
        <f t="shared" si="106"/>
        <v>ZSUM</v>
      </c>
      <c r="R1097" s="10" t="str">
        <f t="shared" si="107"/>
        <v>24112500</v>
      </c>
    </row>
    <row r="1098" spans="1:18" ht="25.5" hidden="1" x14ac:dyDescent="0.2">
      <c r="A1098" s="21" t="s">
        <v>1435</v>
      </c>
      <c r="B1098" s="8" t="s">
        <v>1434</v>
      </c>
      <c r="C1098" s="8" t="s">
        <v>40</v>
      </c>
      <c r="D1098" s="8" t="s">
        <v>669</v>
      </c>
      <c r="E1098" s="7">
        <v>6</v>
      </c>
      <c r="F1098" s="8" t="s">
        <v>39</v>
      </c>
      <c r="G1098" s="8" t="s">
        <v>60</v>
      </c>
      <c r="H1098" s="8" t="s">
        <v>37</v>
      </c>
      <c r="I1098" s="8" t="s">
        <v>36</v>
      </c>
      <c r="J1098" s="8" t="s">
        <v>59</v>
      </c>
      <c r="K1098" s="8" t="s">
        <v>1433</v>
      </c>
      <c r="L1098" s="7">
        <v>7836</v>
      </c>
      <c r="M1098" s="10" t="str">
        <f t="shared" si="102"/>
        <v>CMI02140700</v>
      </c>
      <c r="N1098" s="10" t="str">
        <f t="shared" si="103"/>
        <v>SUM231200</v>
      </c>
      <c r="O1098" s="10" t="str">
        <f t="shared" si="104"/>
        <v>E</v>
      </c>
      <c r="P1098" s="10" t="str">
        <f t="shared" si="105"/>
        <v>10</v>
      </c>
      <c r="Q1098" s="10" t="str">
        <f t="shared" si="106"/>
        <v>ZSUM</v>
      </c>
      <c r="R1098" s="10" t="str">
        <f t="shared" si="107"/>
        <v>24121807</v>
      </c>
    </row>
    <row r="1099" spans="1:18" ht="38.25" hidden="1" x14ac:dyDescent="0.2">
      <c r="A1099" s="21" t="s">
        <v>1432</v>
      </c>
      <c r="B1099" s="8" t="s">
        <v>1431</v>
      </c>
      <c r="C1099" s="8" t="s">
        <v>40</v>
      </c>
      <c r="D1099" s="8" t="s">
        <v>1396</v>
      </c>
      <c r="E1099" s="8" t="s">
        <v>40</v>
      </c>
      <c r="F1099" s="8" t="s">
        <v>39</v>
      </c>
      <c r="G1099" s="8" t="s">
        <v>975</v>
      </c>
      <c r="H1099" s="8" t="s">
        <v>37</v>
      </c>
      <c r="I1099" s="8" t="s">
        <v>53</v>
      </c>
      <c r="J1099" s="8" t="s">
        <v>59</v>
      </c>
      <c r="K1099" s="8" t="s">
        <v>1430</v>
      </c>
      <c r="L1099" s="7">
        <v>7837</v>
      </c>
      <c r="M1099" s="10" t="str">
        <f t="shared" si="102"/>
        <v>CMI03080500</v>
      </c>
      <c r="N1099" s="10" t="str">
        <f t="shared" si="103"/>
        <v>SUM231100</v>
      </c>
      <c r="O1099" s="10" t="str">
        <f t="shared" si="104"/>
        <v>E</v>
      </c>
      <c r="P1099" s="10" t="str">
        <f t="shared" si="105"/>
        <v>50</v>
      </c>
      <c r="Q1099" s="10" t="str">
        <f t="shared" si="106"/>
        <v>ZSUM</v>
      </c>
      <c r="R1099" s="10" t="str">
        <f t="shared" si="107"/>
        <v>11162116</v>
      </c>
    </row>
    <row r="1100" spans="1:18" ht="38.25" hidden="1" x14ac:dyDescent="0.2">
      <c r="A1100" s="21" t="s">
        <v>1429</v>
      </c>
      <c r="B1100" s="8" t="s">
        <v>1428</v>
      </c>
      <c r="C1100" s="8" t="s">
        <v>40</v>
      </c>
      <c r="D1100" s="8" t="s">
        <v>1396</v>
      </c>
      <c r="E1100" s="8" t="s">
        <v>40</v>
      </c>
      <c r="F1100" s="8" t="s">
        <v>39</v>
      </c>
      <c r="G1100" s="8" t="s">
        <v>60</v>
      </c>
      <c r="H1100" s="8" t="s">
        <v>37</v>
      </c>
      <c r="I1100" s="8" t="s">
        <v>53</v>
      </c>
      <c r="J1100" s="8" t="s">
        <v>59</v>
      </c>
      <c r="K1100" s="8" t="s">
        <v>1427</v>
      </c>
      <c r="L1100" s="7">
        <v>7838</v>
      </c>
      <c r="M1100" s="10" t="str">
        <f t="shared" si="102"/>
        <v>CMI03080500</v>
      </c>
      <c r="N1100" s="10" t="str">
        <f t="shared" si="103"/>
        <v>SUM231200</v>
      </c>
      <c r="O1100" s="10" t="str">
        <f t="shared" si="104"/>
        <v>E</v>
      </c>
      <c r="P1100" s="10" t="str">
        <f t="shared" si="105"/>
        <v>50</v>
      </c>
      <c r="Q1100" s="10" t="str">
        <f t="shared" si="106"/>
        <v>ZSUM</v>
      </c>
      <c r="R1100" s="10" t="str">
        <f t="shared" si="107"/>
        <v>24141506</v>
      </c>
    </row>
    <row r="1101" spans="1:18" ht="25.5" hidden="1" x14ac:dyDescent="0.2">
      <c r="A1101" s="21" t="s">
        <v>1426</v>
      </c>
      <c r="B1101" s="8" t="s">
        <v>1425</v>
      </c>
      <c r="C1101" s="8" t="s">
        <v>40</v>
      </c>
      <c r="D1101" s="8" t="s">
        <v>363</v>
      </c>
      <c r="E1101" s="8" t="s">
        <v>40</v>
      </c>
      <c r="F1101" s="8" t="s">
        <v>39</v>
      </c>
      <c r="G1101" s="8" t="s">
        <v>60</v>
      </c>
      <c r="H1101" s="8" t="s">
        <v>37</v>
      </c>
      <c r="I1101" s="8" t="s">
        <v>53</v>
      </c>
      <c r="J1101" s="8" t="s">
        <v>59</v>
      </c>
      <c r="K1101" s="8" t="s">
        <v>1424</v>
      </c>
      <c r="L1101" s="7">
        <v>7839</v>
      </c>
      <c r="M1101" s="10" t="str">
        <f t="shared" si="102"/>
        <v>CMI02051300</v>
      </c>
      <c r="N1101" s="10" t="str">
        <f t="shared" si="103"/>
        <v>SUM231200</v>
      </c>
      <c r="O1101" s="10" t="str">
        <f t="shared" si="104"/>
        <v>E</v>
      </c>
      <c r="P1101" s="10" t="str">
        <f t="shared" si="105"/>
        <v>50</v>
      </c>
      <c r="Q1101" s="10" t="str">
        <f t="shared" si="106"/>
        <v>ZSUM</v>
      </c>
      <c r="R1101" s="10" t="str">
        <f t="shared" si="107"/>
        <v>11151606</v>
      </c>
    </row>
    <row r="1102" spans="1:18" ht="25.5" hidden="1" x14ac:dyDescent="0.2">
      <c r="A1102" s="21" t="s">
        <v>1423</v>
      </c>
      <c r="B1102" s="8" t="s">
        <v>1422</v>
      </c>
      <c r="C1102" s="8" t="s">
        <v>40</v>
      </c>
      <c r="D1102" s="8" t="s">
        <v>249</v>
      </c>
      <c r="E1102" s="8" t="s">
        <v>40</v>
      </c>
      <c r="F1102" s="8" t="s">
        <v>39</v>
      </c>
      <c r="G1102" s="8" t="s">
        <v>975</v>
      </c>
      <c r="H1102" s="8" t="s">
        <v>37</v>
      </c>
      <c r="I1102" s="8" t="s">
        <v>53</v>
      </c>
      <c r="J1102" s="8" t="s">
        <v>59</v>
      </c>
      <c r="K1102" s="8" t="s">
        <v>1421</v>
      </c>
      <c r="L1102" s="7">
        <v>7840</v>
      </c>
      <c r="M1102" s="10" t="str">
        <f t="shared" si="102"/>
        <v>CMI02090700</v>
      </c>
      <c r="N1102" s="10" t="str">
        <f t="shared" si="103"/>
        <v>SUM231100</v>
      </c>
      <c r="O1102" s="10" t="str">
        <f t="shared" si="104"/>
        <v>E</v>
      </c>
      <c r="P1102" s="10" t="str">
        <f t="shared" si="105"/>
        <v>50</v>
      </c>
      <c r="Q1102" s="10" t="str">
        <f t="shared" si="106"/>
        <v>ZSUM</v>
      </c>
      <c r="R1102" s="10" t="str">
        <f t="shared" si="107"/>
        <v>31151507</v>
      </c>
    </row>
    <row r="1103" spans="1:18" ht="25.5" hidden="1" x14ac:dyDescent="0.2">
      <c r="A1103" s="21" t="s">
        <v>1420</v>
      </c>
      <c r="B1103" s="8" t="s">
        <v>1419</v>
      </c>
      <c r="C1103" s="8" t="s">
        <v>40</v>
      </c>
      <c r="D1103" s="8" t="s">
        <v>363</v>
      </c>
      <c r="E1103" s="8" t="s">
        <v>40</v>
      </c>
      <c r="F1103" s="8" t="s">
        <v>39</v>
      </c>
      <c r="G1103" s="8" t="s">
        <v>60</v>
      </c>
      <c r="H1103" s="8" t="s">
        <v>37</v>
      </c>
      <c r="I1103" s="8" t="s">
        <v>53</v>
      </c>
      <c r="J1103" s="8" t="s">
        <v>59</v>
      </c>
      <c r="K1103" s="8" t="s">
        <v>1418</v>
      </c>
      <c r="L1103" s="7">
        <v>7841</v>
      </c>
      <c r="M1103" s="10" t="str">
        <f t="shared" si="102"/>
        <v>CMI02051300</v>
      </c>
      <c r="N1103" s="10" t="str">
        <f t="shared" si="103"/>
        <v>SUM231200</v>
      </c>
      <c r="O1103" s="10" t="str">
        <f t="shared" si="104"/>
        <v>E</v>
      </c>
      <c r="P1103" s="10" t="str">
        <f t="shared" si="105"/>
        <v>50</v>
      </c>
      <c r="Q1103" s="10" t="str">
        <f t="shared" si="106"/>
        <v>ZSUM</v>
      </c>
      <c r="R1103" s="10" t="str">
        <f t="shared" si="107"/>
        <v>11151700</v>
      </c>
    </row>
    <row r="1104" spans="1:18" ht="25.5" hidden="1" x14ac:dyDescent="0.2">
      <c r="A1104" s="21" t="s">
        <v>1417</v>
      </c>
      <c r="B1104" s="8" t="s">
        <v>1416</v>
      </c>
      <c r="C1104" s="8" t="s">
        <v>40</v>
      </c>
      <c r="D1104" s="8" t="s">
        <v>363</v>
      </c>
      <c r="E1104" s="8" t="s">
        <v>40</v>
      </c>
      <c r="F1104" s="8" t="s">
        <v>39</v>
      </c>
      <c r="G1104" s="8" t="s">
        <v>60</v>
      </c>
      <c r="H1104" s="8" t="s">
        <v>37</v>
      </c>
      <c r="I1104" s="8" t="s">
        <v>53</v>
      </c>
      <c r="J1104" s="8" t="s">
        <v>59</v>
      </c>
      <c r="K1104" s="8" t="s">
        <v>1415</v>
      </c>
      <c r="L1104" s="7">
        <v>7842</v>
      </c>
      <c r="M1104" s="10" t="str">
        <f t="shared" si="102"/>
        <v>CMI02051300</v>
      </c>
      <c r="N1104" s="10" t="str">
        <f t="shared" si="103"/>
        <v>SUM231200</v>
      </c>
      <c r="O1104" s="10" t="str">
        <f t="shared" si="104"/>
        <v>E</v>
      </c>
      <c r="P1104" s="10" t="str">
        <f t="shared" si="105"/>
        <v>50</v>
      </c>
      <c r="Q1104" s="10" t="str">
        <f t="shared" si="106"/>
        <v>ZSUM</v>
      </c>
      <c r="R1104" s="10" t="str">
        <f t="shared" si="107"/>
        <v>31151506</v>
      </c>
    </row>
    <row r="1105" spans="1:18" ht="25.5" hidden="1" x14ac:dyDescent="0.2">
      <c r="A1105" s="21" t="s">
        <v>1414</v>
      </c>
      <c r="B1105" s="8" t="s">
        <v>1413</v>
      </c>
      <c r="C1105" s="8" t="s">
        <v>40</v>
      </c>
      <c r="D1105" s="8" t="s">
        <v>224</v>
      </c>
      <c r="E1105" s="8" t="s">
        <v>40</v>
      </c>
      <c r="F1105" s="8" t="s">
        <v>39</v>
      </c>
      <c r="G1105" s="8" t="s">
        <v>85</v>
      </c>
      <c r="H1105" s="8" t="s">
        <v>37</v>
      </c>
      <c r="I1105" s="8" t="s">
        <v>53</v>
      </c>
      <c r="J1105" s="8" t="s">
        <v>59</v>
      </c>
      <c r="K1105" s="8" t="s">
        <v>1412</v>
      </c>
      <c r="L1105" s="7">
        <v>7843</v>
      </c>
      <c r="M1105" s="10" t="str">
        <f t="shared" si="102"/>
        <v>CMI02170100</v>
      </c>
      <c r="N1105" s="10" t="str">
        <f t="shared" si="103"/>
        <v>SUM231500</v>
      </c>
      <c r="O1105" s="10" t="str">
        <f t="shared" si="104"/>
        <v>E</v>
      </c>
      <c r="P1105" s="10" t="str">
        <f t="shared" si="105"/>
        <v>50</v>
      </c>
      <c r="Q1105" s="10" t="str">
        <f t="shared" si="106"/>
        <v>ZSUM</v>
      </c>
      <c r="R1105" s="10" t="str">
        <f t="shared" si="107"/>
        <v>46151506</v>
      </c>
    </row>
    <row r="1106" spans="1:18" ht="25.5" hidden="1" x14ac:dyDescent="0.2">
      <c r="A1106" s="21" t="s">
        <v>1411</v>
      </c>
      <c r="B1106" s="8" t="s">
        <v>1410</v>
      </c>
      <c r="C1106" s="8" t="s">
        <v>40</v>
      </c>
      <c r="D1106" s="8" t="s">
        <v>363</v>
      </c>
      <c r="E1106" s="8" t="s">
        <v>40</v>
      </c>
      <c r="F1106" s="8" t="s">
        <v>39</v>
      </c>
      <c r="G1106" s="8" t="s">
        <v>60</v>
      </c>
      <c r="H1106" s="8" t="s">
        <v>37</v>
      </c>
      <c r="I1106" s="8" t="s">
        <v>53</v>
      </c>
      <c r="J1106" s="8" t="s">
        <v>59</v>
      </c>
      <c r="K1106" s="8" t="s">
        <v>1409</v>
      </c>
      <c r="L1106" s="7">
        <v>7844</v>
      </c>
      <c r="M1106" s="10" t="str">
        <f t="shared" si="102"/>
        <v>CMI02051300</v>
      </c>
      <c r="N1106" s="10" t="str">
        <f t="shared" si="103"/>
        <v>SUM231200</v>
      </c>
      <c r="O1106" s="10" t="str">
        <f t="shared" si="104"/>
        <v>E</v>
      </c>
      <c r="P1106" s="10" t="str">
        <f t="shared" si="105"/>
        <v>50</v>
      </c>
      <c r="Q1106" s="10" t="str">
        <f t="shared" si="106"/>
        <v>ZSUM</v>
      </c>
      <c r="R1106" s="10" t="str">
        <f t="shared" si="107"/>
        <v>10151704</v>
      </c>
    </row>
    <row r="1107" spans="1:18" ht="25.5" hidden="1" x14ac:dyDescent="0.2">
      <c r="A1107" s="21" t="s">
        <v>1408</v>
      </c>
      <c r="B1107" s="8" t="s">
        <v>1407</v>
      </c>
      <c r="C1107" s="8" t="s">
        <v>40</v>
      </c>
      <c r="D1107" s="8" t="s">
        <v>1406</v>
      </c>
      <c r="E1107" s="8" t="s">
        <v>40</v>
      </c>
      <c r="F1107" s="8" t="s">
        <v>39</v>
      </c>
      <c r="G1107" s="8" t="s">
        <v>60</v>
      </c>
      <c r="H1107" s="8" t="s">
        <v>37</v>
      </c>
      <c r="I1107" s="8" t="s">
        <v>53</v>
      </c>
      <c r="J1107" s="8" t="s">
        <v>59</v>
      </c>
      <c r="K1107" s="8" t="s">
        <v>1405</v>
      </c>
      <c r="L1107" s="7">
        <v>7845</v>
      </c>
      <c r="M1107" s="10" t="str">
        <f t="shared" si="102"/>
        <v>CMI05060100</v>
      </c>
      <c r="N1107" s="10" t="str">
        <f t="shared" si="103"/>
        <v>SUM231200</v>
      </c>
      <c r="O1107" s="10" t="str">
        <f t="shared" si="104"/>
        <v>E</v>
      </c>
      <c r="P1107" s="10" t="str">
        <f t="shared" si="105"/>
        <v>50</v>
      </c>
      <c r="Q1107" s="10" t="str">
        <f t="shared" si="106"/>
        <v>ZSUM</v>
      </c>
      <c r="R1107" s="10" t="str">
        <f t="shared" si="107"/>
        <v>50221301</v>
      </c>
    </row>
    <row r="1108" spans="1:18" ht="38.25" hidden="1" x14ac:dyDescent="0.2">
      <c r="A1108" s="21" t="s">
        <v>1404</v>
      </c>
      <c r="B1108" s="8" t="s">
        <v>1403</v>
      </c>
      <c r="C1108" s="8" t="s">
        <v>40</v>
      </c>
      <c r="D1108" s="8" t="s">
        <v>1402</v>
      </c>
      <c r="E1108" s="8" t="s">
        <v>40</v>
      </c>
      <c r="F1108" s="8" t="s">
        <v>39</v>
      </c>
      <c r="G1108" s="8" t="s">
        <v>60</v>
      </c>
      <c r="H1108" s="8" t="s">
        <v>37</v>
      </c>
      <c r="I1108" s="8" t="s">
        <v>53</v>
      </c>
      <c r="J1108" s="8" t="s">
        <v>59</v>
      </c>
      <c r="K1108" s="8" t="s">
        <v>1401</v>
      </c>
      <c r="L1108" s="7">
        <v>7846</v>
      </c>
      <c r="M1108" s="10" t="str">
        <f t="shared" si="102"/>
        <v>CMI02030300</v>
      </c>
      <c r="N1108" s="10" t="str">
        <f t="shared" si="103"/>
        <v>SUM231200</v>
      </c>
      <c r="O1108" s="10" t="str">
        <f t="shared" si="104"/>
        <v>E</v>
      </c>
      <c r="P1108" s="10" t="str">
        <f t="shared" si="105"/>
        <v>50</v>
      </c>
      <c r="Q1108" s="10" t="str">
        <f t="shared" si="106"/>
        <v>ZSUM</v>
      </c>
      <c r="R1108" s="10" t="str">
        <f t="shared" si="107"/>
        <v>15121514</v>
      </c>
    </row>
    <row r="1109" spans="1:18" ht="25.5" hidden="1" x14ac:dyDescent="0.2">
      <c r="A1109" s="21" t="s">
        <v>1400</v>
      </c>
      <c r="B1109" s="8" t="s">
        <v>1399</v>
      </c>
      <c r="C1109" s="8" t="s">
        <v>40</v>
      </c>
      <c r="D1109" s="8" t="s">
        <v>363</v>
      </c>
      <c r="E1109" s="8" t="s">
        <v>40</v>
      </c>
      <c r="F1109" s="8" t="s">
        <v>39</v>
      </c>
      <c r="G1109" s="8" t="s">
        <v>60</v>
      </c>
      <c r="H1109" s="8" t="s">
        <v>37</v>
      </c>
      <c r="I1109" s="8" t="s">
        <v>53</v>
      </c>
      <c r="J1109" s="8" t="s">
        <v>59</v>
      </c>
      <c r="K1109" s="8" t="s">
        <v>1176</v>
      </c>
      <c r="L1109" s="7">
        <v>7847</v>
      </c>
      <c r="M1109" s="10" t="str">
        <f t="shared" si="102"/>
        <v>CMI02051300</v>
      </c>
      <c r="N1109" s="10" t="str">
        <f t="shared" si="103"/>
        <v>SUM231200</v>
      </c>
      <c r="O1109" s="10" t="str">
        <f t="shared" si="104"/>
        <v>E</v>
      </c>
      <c r="P1109" s="10" t="str">
        <f t="shared" si="105"/>
        <v>50</v>
      </c>
      <c r="Q1109" s="10" t="str">
        <f t="shared" si="106"/>
        <v>ZSUM</v>
      </c>
      <c r="R1109" s="10" t="str">
        <f t="shared" si="107"/>
        <v>30101800</v>
      </c>
    </row>
    <row r="1110" spans="1:18" ht="38.25" hidden="1" x14ac:dyDescent="0.2">
      <c r="A1110" s="21" t="s">
        <v>1398</v>
      </c>
      <c r="B1110" s="8" t="s">
        <v>1397</v>
      </c>
      <c r="C1110" s="8" t="s">
        <v>40</v>
      </c>
      <c r="D1110" s="8" t="s">
        <v>1396</v>
      </c>
      <c r="E1110" s="8" t="s">
        <v>40</v>
      </c>
      <c r="F1110" s="8" t="s">
        <v>39</v>
      </c>
      <c r="G1110" s="8" t="s">
        <v>60</v>
      </c>
      <c r="H1110" s="8" t="s">
        <v>37</v>
      </c>
      <c r="I1110" s="8" t="s">
        <v>53</v>
      </c>
      <c r="J1110" s="8" t="s">
        <v>59</v>
      </c>
      <c r="K1110" s="8" t="s">
        <v>1395</v>
      </c>
      <c r="L1110" s="7">
        <v>7848</v>
      </c>
      <c r="M1110" s="10" t="str">
        <f t="shared" si="102"/>
        <v>CMI03080500</v>
      </c>
      <c r="N1110" s="10" t="str">
        <f t="shared" si="103"/>
        <v>SUM231200</v>
      </c>
      <c r="O1110" s="10" t="str">
        <f t="shared" si="104"/>
        <v>E</v>
      </c>
      <c r="P1110" s="10" t="str">
        <f t="shared" si="105"/>
        <v>50</v>
      </c>
      <c r="Q1110" s="10" t="str">
        <f t="shared" si="106"/>
        <v>ZSUM</v>
      </c>
      <c r="R1110" s="10" t="str">
        <f t="shared" si="107"/>
        <v>24141500</v>
      </c>
    </row>
    <row r="1111" spans="1:18" ht="25.5" hidden="1" x14ac:dyDescent="0.2">
      <c r="A1111" s="21" t="s">
        <v>1394</v>
      </c>
      <c r="B1111" s="8" t="s">
        <v>1393</v>
      </c>
      <c r="C1111" s="8" t="s">
        <v>40</v>
      </c>
      <c r="D1111" s="8" t="s">
        <v>1177</v>
      </c>
      <c r="E1111" s="8" t="s">
        <v>40</v>
      </c>
      <c r="F1111" s="8" t="s">
        <v>39</v>
      </c>
      <c r="G1111" s="8" t="s">
        <v>60</v>
      </c>
      <c r="H1111" s="8" t="s">
        <v>37</v>
      </c>
      <c r="I1111" s="8" t="s">
        <v>53</v>
      </c>
      <c r="J1111" s="8" t="s">
        <v>59</v>
      </c>
      <c r="K1111" s="8" t="s">
        <v>1392</v>
      </c>
      <c r="L1111" s="7">
        <v>7849</v>
      </c>
      <c r="M1111" s="10" t="str">
        <f t="shared" si="102"/>
        <v>CMI02051400</v>
      </c>
      <c r="N1111" s="10" t="str">
        <f t="shared" si="103"/>
        <v>SUM231200</v>
      </c>
      <c r="O1111" s="10" t="str">
        <f t="shared" si="104"/>
        <v>E</v>
      </c>
      <c r="P1111" s="10" t="str">
        <f t="shared" si="105"/>
        <v>50</v>
      </c>
      <c r="Q1111" s="10" t="str">
        <f t="shared" si="106"/>
        <v>ZSUM</v>
      </c>
      <c r="R1111" s="10" t="str">
        <f t="shared" si="107"/>
        <v>30101706</v>
      </c>
    </row>
    <row r="1112" spans="1:18" ht="25.5" hidden="1" x14ac:dyDescent="0.2">
      <c r="A1112" s="21" t="s">
        <v>1391</v>
      </c>
      <c r="B1112" s="8" t="s">
        <v>1390</v>
      </c>
      <c r="C1112" s="8" t="s">
        <v>40</v>
      </c>
      <c r="D1112" s="8" t="s">
        <v>1177</v>
      </c>
      <c r="E1112" s="8" t="s">
        <v>40</v>
      </c>
      <c r="F1112" s="8" t="s">
        <v>39</v>
      </c>
      <c r="G1112" s="8" t="s">
        <v>60</v>
      </c>
      <c r="H1112" s="8" t="s">
        <v>37</v>
      </c>
      <c r="I1112" s="8" t="s">
        <v>53</v>
      </c>
      <c r="J1112" s="8" t="s">
        <v>59</v>
      </c>
      <c r="K1112" s="8" t="s">
        <v>1389</v>
      </c>
      <c r="L1112" s="7">
        <v>7850</v>
      </c>
      <c r="M1112" s="10" t="str">
        <f t="shared" si="102"/>
        <v>CMI02051400</v>
      </c>
      <c r="N1112" s="10" t="str">
        <f t="shared" si="103"/>
        <v>SUM231200</v>
      </c>
      <c r="O1112" s="10" t="str">
        <f t="shared" si="104"/>
        <v>E</v>
      </c>
      <c r="P1112" s="10" t="str">
        <f t="shared" si="105"/>
        <v>50</v>
      </c>
      <c r="Q1112" s="10" t="str">
        <f t="shared" si="106"/>
        <v>ZSUM</v>
      </c>
      <c r="R1112" s="10" t="str">
        <f t="shared" si="107"/>
        <v>30102304</v>
      </c>
    </row>
    <row r="1113" spans="1:18" ht="25.5" hidden="1" x14ac:dyDescent="0.2">
      <c r="A1113" s="21" t="s">
        <v>1388</v>
      </c>
      <c r="B1113" s="8" t="s">
        <v>1387</v>
      </c>
      <c r="C1113" s="8" t="s">
        <v>40</v>
      </c>
      <c r="D1113" s="8" t="s">
        <v>1177</v>
      </c>
      <c r="E1113" s="8" t="s">
        <v>40</v>
      </c>
      <c r="F1113" s="8" t="s">
        <v>39</v>
      </c>
      <c r="G1113" s="8" t="s">
        <v>60</v>
      </c>
      <c r="H1113" s="8" t="s">
        <v>37</v>
      </c>
      <c r="I1113" s="8" t="s">
        <v>53</v>
      </c>
      <c r="J1113" s="8" t="s">
        <v>59</v>
      </c>
      <c r="K1113" s="8" t="s">
        <v>1386</v>
      </c>
      <c r="L1113" s="7">
        <v>7851</v>
      </c>
      <c r="M1113" s="10" t="str">
        <f t="shared" si="102"/>
        <v>CMI02051400</v>
      </c>
      <c r="N1113" s="10" t="str">
        <f t="shared" si="103"/>
        <v>SUM231200</v>
      </c>
      <c r="O1113" s="10" t="str">
        <f t="shared" si="104"/>
        <v>E</v>
      </c>
      <c r="P1113" s="10" t="str">
        <f t="shared" si="105"/>
        <v>50</v>
      </c>
      <c r="Q1113" s="10" t="str">
        <f t="shared" si="106"/>
        <v>ZSUM</v>
      </c>
      <c r="R1113" s="10" t="str">
        <f t="shared" si="107"/>
        <v>30102410</v>
      </c>
    </row>
    <row r="1114" spans="1:18" ht="25.5" hidden="1" x14ac:dyDescent="0.2">
      <c r="A1114" s="21" t="s">
        <v>1385</v>
      </c>
      <c r="B1114" s="8" t="s">
        <v>1384</v>
      </c>
      <c r="C1114" s="8" t="s">
        <v>40</v>
      </c>
      <c r="D1114" s="8" t="s">
        <v>1177</v>
      </c>
      <c r="E1114" s="8" t="s">
        <v>40</v>
      </c>
      <c r="F1114" s="8" t="s">
        <v>39</v>
      </c>
      <c r="G1114" s="8" t="s">
        <v>885</v>
      </c>
      <c r="H1114" s="8" t="s">
        <v>37</v>
      </c>
      <c r="I1114" s="8" t="s">
        <v>53</v>
      </c>
      <c r="J1114" s="8" t="s">
        <v>59</v>
      </c>
      <c r="K1114" s="8" t="s">
        <v>1383</v>
      </c>
      <c r="L1114" s="7">
        <v>7852</v>
      </c>
      <c r="M1114" s="10" t="str">
        <f t="shared" si="102"/>
        <v>CMI02051400</v>
      </c>
      <c r="N1114" s="10" t="str">
        <f t="shared" si="103"/>
        <v>SUM231000</v>
      </c>
      <c r="O1114" s="10" t="str">
        <f t="shared" si="104"/>
        <v>E</v>
      </c>
      <c r="P1114" s="10" t="str">
        <f t="shared" si="105"/>
        <v>50</v>
      </c>
      <c r="Q1114" s="10" t="str">
        <f t="shared" si="106"/>
        <v>ZSUM</v>
      </c>
      <c r="R1114" s="10" t="str">
        <f t="shared" si="107"/>
        <v>30102409</v>
      </c>
    </row>
    <row r="1115" spans="1:18" ht="25.5" hidden="1" x14ac:dyDescent="0.2">
      <c r="A1115" s="21" t="s">
        <v>1382</v>
      </c>
      <c r="B1115" s="8" t="s">
        <v>1381</v>
      </c>
      <c r="C1115" s="8" t="s">
        <v>40</v>
      </c>
      <c r="D1115" s="8" t="s">
        <v>363</v>
      </c>
      <c r="E1115" s="8" t="s">
        <v>40</v>
      </c>
      <c r="F1115" s="8" t="s">
        <v>39</v>
      </c>
      <c r="G1115" s="8" t="s">
        <v>60</v>
      </c>
      <c r="H1115" s="8" t="s">
        <v>37</v>
      </c>
      <c r="I1115" s="8" t="s">
        <v>53</v>
      </c>
      <c r="J1115" s="8" t="s">
        <v>59</v>
      </c>
      <c r="K1115" s="8" t="s">
        <v>1380</v>
      </c>
      <c r="L1115" s="7">
        <v>7853</v>
      </c>
      <c r="M1115" s="10" t="str">
        <f t="shared" si="102"/>
        <v>CMI02051300</v>
      </c>
      <c r="N1115" s="10" t="str">
        <f t="shared" si="103"/>
        <v>SUM231200</v>
      </c>
      <c r="O1115" s="10" t="str">
        <f t="shared" si="104"/>
        <v>E</v>
      </c>
      <c r="P1115" s="10" t="str">
        <f t="shared" si="105"/>
        <v>50</v>
      </c>
      <c r="Q1115" s="10" t="str">
        <f t="shared" si="106"/>
        <v>ZSUM</v>
      </c>
      <c r="R1115" s="10" t="str">
        <f t="shared" si="107"/>
        <v>31152001</v>
      </c>
    </row>
    <row r="1116" spans="1:18" ht="25.5" hidden="1" x14ac:dyDescent="0.2">
      <c r="A1116" s="21" t="s">
        <v>1379</v>
      </c>
      <c r="B1116" s="8" t="s">
        <v>1378</v>
      </c>
      <c r="C1116" s="8" t="s">
        <v>40</v>
      </c>
      <c r="D1116" s="8" t="s">
        <v>363</v>
      </c>
      <c r="E1116" s="8" t="s">
        <v>40</v>
      </c>
      <c r="F1116" s="8" t="s">
        <v>39</v>
      </c>
      <c r="G1116" s="8" t="s">
        <v>60</v>
      </c>
      <c r="H1116" s="8" t="s">
        <v>37</v>
      </c>
      <c r="I1116" s="8" t="s">
        <v>53</v>
      </c>
      <c r="J1116" s="8" t="s">
        <v>59</v>
      </c>
      <c r="K1116" s="8" t="s">
        <v>1377</v>
      </c>
      <c r="L1116" s="7">
        <v>7854</v>
      </c>
      <c r="M1116" s="10" t="str">
        <f t="shared" si="102"/>
        <v>CMI02051300</v>
      </c>
      <c r="N1116" s="10" t="str">
        <f t="shared" si="103"/>
        <v>SUM231200</v>
      </c>
      <c r="O1116" s="10" t="str">
        <f t="shared" si="104"/>
        <v>E</v>
      </c>
      <c r="P1116" s="10" t="str">
        <f t="shared" si="105"/>
        <v>50</v>
      </c>
      <c r="Q1116" s="10" t="str">
        <f t="shared" si="106"/>
        <v>ZSUM</v>
      </c>
      <c r="R1116" s="10" t="str">
        <f t="shared" si="107"/>
        <v>27112307</v>
      </c>
    </row>
    <row r="1117" spans="1:18" ht="25.5" hidden="1" x14ac:dyDescent="0.2">
      <c r="A1117" s="21" t="s">
        <v>1376</v>
      </c>
      <c r="B1117" s="8" t="s">
        <v>1375</v>
      </c>
      <c r="C1117" s="8" t="s">
        <v>40</v>
      </c>
      <c r="D1117" s="8" t="s">
        <v>216</v>
      </c>
      <c r="E1117" s="8" t="s">
        <v>40</v>
      </c>
      <c r="F1117" s="8" t="s">
        <v>39</v>
      </c>
      <c r="G1117" s="8" t="s">
        <v>624</v>
      </c>
      <c r="H1117" s="8" t="s">
        <v>37</v>
      </c>
      <c r="I1117" s="8" t="s">
        <v>53</v>
      </c>
      <c r="J1117" s="8" t="s">
        <v>59</v>
      </c>
      <c r="K1117" s="8" t="s">
        <v>1374</v>
      </c>
      <c r="L1117" s="7">
        <v>7855</v>
      </c>
      <c r="M1117" s="10" t="str">
        <f t="shared" si="102"/>
        <v>CMI02140500</v>
      </c>
      <c r="N1117" s="10" t="str">
        <f t="shared" si="103"/>
        <v>SUM231400</v>
      </c>
      <c r="O1117" s="10" t="str">
        <f t="shared" si="104"/>
        <v>E</v>
      </c>
      <c r="P1117" s="10" t="str">
        <f t="shared" si="105"/>
        <v>50</v>
      </c>
      <c r="Q1117" s="10" t="str">
        <f t="shared" si="106"/>
        <v>ZSUM</v>
      </c>
      <c r="R1117" s="10" t="str">
        <f t="shared" si="107"/>
        <v>11101502</v>
      </c>
    </row>
    <row r="1118" spans="1:18" ht="38.25" hidden="1" x14ac:dyDescent="0.2">
      <c r="A1118" s="21" t="s">
        <v>1373</v>
      </c>
      <c r="B1118" s="8" t="s">
        <v>1372</v>
      </c>
      <c r="C1118" s="8" t="s">
        <v>40</v>
      </c>
      <c r="D1118" s="8" t="s">
        <v>326</v>
      </c>
      <c r="E1118" s="8" t="s">
        <v>40</v>
      </c>
      <c r="F1118" s="8" t="s">
        <v>39</v>
      </c>
      <c r="G1118" s="8" t="s">
        <v>60</v>
      </c>
      <c r="H1118" s="8" t="s">
        <v>37</v>
      </c>
      <c r="I1118" s="8" t="s">
        <v>53</v>
      </c>
      <c r="J1118" s="8" t="s">
        <v>59</v>
      </c>
      <c r="K1118" s="8" t="s">
        <v>1371</v>
      </c>
      <c r="L1118" s="7">
        <v>7856</v>
      </c>
      <c r="M1118" s="10" t="str">
        <f t="shared" si="102"/>
        <v>CMI02050400</v>
      </c>
      <c r="N1118" s="10" t="str">
        <f t="shared" si="103"/>
        <v>SUM231200</v>
      </c>
      <c r="O1118" s="10" t="str">
        <f t="shared" si="104"/>
        <v>E</v>
      </c>
      <c r="P1118" s="10" t="str">
        <f t="shared" si="105"/>
        <v>50</v>
      </c>
      <c r="Q1118" s="10" t="str">
        <f t="shared" si="106"/>
        <v>ZSUM</v>
      </c>
      <c r="R1118" s="10" t="str">
        <f t="shared" si="107"/>
        <v>11111601</v>
      </c>
    </row>
    <row r="1119" spans="1:18" ht="25.5" hidden="1" x14ac:dyDescent="0.2">
      <c r="A1119" s="21" t="s">
        <v>1370</v>
      </c>
      <c r="B1119" s="8" t="s">
        <v>1369</v>
      </c>
      <c r="C1119" s="8" t="s">
        <v>40</v>
      </c>
      <c r="D1119" s="8" t="s">
        <v>136</v>
      </c>
      <c r="E1119" s="8" t="s">
        <v>40</v>
      </c>
      <c r="F1119" s="8" t="s">
        <v>39</v>
      </c>
      <c r="G1119" s="8" t="s">
        <v>885</v>
      </c>
      <c r="H1119" s="8" t="s">
        <v>37</v>
      </c>
      <c r="I1119" s="8" t="s">
        <v>53</v>
      </c>
      <c r="J1119" s="8" t="s">
        <v>59</v>
      </c>
      <c r="K1119" s="8" t="s">
        <v>1368</v>
      </c>
      <c r="L1119" s="7">
        <v>7857</v>
      </c>
      <c r="M1119" s="10" t="str">
        <f t="shared" si="102"/>
        <v>CMI02200400</v>
      </c>
      <c r="N1119" s="10" t="str">
        <f t="shared" si="103"/>
        <v>SUM231000</v>
      </c>
      <c r="O1119" s="10" t="str">
        <f t="shared" si="104"/>
        <v>E</v>
      </c>
      <c r="P1119" s="10" t="str">
        <f t="shared" si="105"/>
        <v>50</v>
      </c>
      <c r="Q1119" s="10" t="str">
        <f t="shared" si="106"/>
        <v>ZSUM</v>
      </c>
      <c r="R1119" s="10" t="str">
        <f t="shared" si="107"/>
        <v>39131712</v>
      </c>
    </row>
    <row r="1120" spans="1:18" ht="25.5" hidden="1" x14ac:dyDescent="0.2">
      <c r="A1120" s="21" t="s">
        <v>1367</v>
      </c>
      <c r="B1120" s="8" t="s">
        <v>1366</v>
      </c>
      <c r="C1120" s="8" t="s">
        <v>40</v>
      </c>
      <c r="D1120" s="8" t="s">
        <v>1181</v>
      </c>
      <c r="E1120" s="8" t="s">
        <v>40</v>
      </c>
      <c r="F1120" s="8" t="s">
        <v>39</v>
      </c>
      <c r="G1120" s="8" t="s">
        <v>60</v>
      </c>
      <c r="H1120" s="8" t="s">
        <v>37</v>
      </c>
      <c r="I1120" s="8" t="s">
        <v>53</v>
      </c>
      <c r="J1120" s="8" t="s">
        <v>59</v>
      </c>
      <c r="K1120" s="8" t="s">
        <v>1365</v>
      </c>
      <c r="L1120" s="7">
        <v>7858</v>
      </c>
      <c r="M1120" s="10" t="str">
        <f t="shared" si="102"/>
        <v>CMI02051600</v>
      </c>
      <c r="N1120" s="10" t="str">
        <f t="shared" si="103"/>
        <v>SUM231200</v>
      </c>
      <c r="O1120" s="10" t="str">
        <f t="shared" si="104"/>
        <v>E</v>
      </c>
      <c r="P1120" s="10" t="str">
        <f t="shared" si="105"/>
        <v>50</v>
      </c>
      <c r="Q1120" s="10" t="str">
        <f t="shared" si="106"/>
        <v>ZSUM</v>
      </c>
      <c r="R1120" s="10" t="str">
        <f t="shared" si="107"/>
        <v>31211500</v>
      </c>
    </row>
    <row r="1121" spans="1:18" ht="25.5" hidden="1" x14ac:dyDescent="0.2">
      <c r="A1121" s="21" t="s">
        <v>1364</v>
      </c>
      <c r="B1121" s="8" t="s">
        <v>1363</v>
      </c>
      <c r="C1121" s="8" t="s">
        <v>40</v>
      </c>
      <c r="D1121" s="8" t="s">
        <v>363</v>
      </c>
      <c r="E1121" s="8" t="s">
        <v>40</v>
      </c>
      <c r="F1121" s="8" t="s">
        <v>39</v>
      </c>
      <c r="G1121" s="8" t="s">
        <v>975</v>
      </c>
      <c r="H1121" s="8" t="s">
        <v>37</v>
      </c>
      <c r="I1121" s="8" t="s">
        <v>53</v>
      </c>
      <c r="J1121" s="8" t="s">
        <v>59</v>
      </c>
      <c r="K1121" s="8" t="s">
        <v>1362</v>
      </c>
      <c r="L1121" s="7">
        <v>7859</v>
      </c>
      <c r="M1121" s="10" t="str">
        <f t="shared" si="102"/>
        <v>CMI02051300</v>
      </c>
      <c r="N1121" s="10" t="str">
        <f t="shared" si="103"/>
        <v>SUM231100</v>
      </c>
      <c r="O1121" s="10" t="str">
        <f t="shared" si="104"/>
        <v>E</v>
      </c>
      <c r="P1121" s="10" t="str">
        <f t="shared" si="105"/>
        <v>50</v>
      </c>
      <c r="Q1121" s="10" t="str">
        <f t="shared" si="106"/>
        <v>ZSUM</v>
      </c>
      <c r="R1121" s="10" t="str">
        <f t="shared" si="107"/>
        <v>60121902</v>
      </c>
    </row>
    <row r="1122" spans="1:18" ht="38.25" hidden="1" x14ac:dyDescent="0.2">
      <c r="A1122" s="21" t="s">
        <v>1361</v>
      </c>
      <c r="B1122" s="8" t="s">
        <v>1360</v>
      </c>
      <c r="C1122" s="8" t="s">
        <v>40</v>
      </c>
      <c r="D1122" s="8" t="s">
        <v>990</v>
      </c>
      <c r="E1122" s="8" t="s">
        <v>40</v>
      </c>
      <c r="F1122" s="8" t="s">
        <v>39</v>
      </c>
      <c r="G1122" s="8" t="s">
        <v>624</v>
      </c>
      <c r="H1122" s="8" t="s">
        <v>37</v>
      </c>
      <c r="I1122" s="8" t="s">
        <v>53</v>
      </c>
      <c r="J1122" s="8" t="s">
        <v>59</v>
      </c>
      <c r="K1122" s="8" t="s">
        <v>1359</v>
      </c>
      <c r="L1122" s="7">
        <v>7860</v>
      </c>
      <c r="M1122" s="10" t="str">
        <f t="shared" si="102"/>
        <v>CMI02090500</v>
      </c>
      <c r="N1122" s="10" t="str">
        <f t="shared" si="103"/>
        <v>SUM231400</v>
      </c>
      <c r="O1122" s="10" t="str">
        <f t="shared" si="104"/>
        <v>E</v>
      </c>
      <c r="P1122" s="10" t="str">
        <f t="shared" si="105"/>
        <v>50</v>
      </c>
      <c r="Q1122" s="10" t="str">
        <f t="shared" si="106"/>
        <v>ZSUM</v>
      </c>
      <c r="R1122" s="10" t="str">
        <f t="shared" si="107"/>
        <v>27111602</v>
      </c>
    </row>
    <row r="1123" spans="1:18" ht="25.5" hidden="1" x14ac:dyDescent="0.2">
      <c r="A1123" s="21" t="s">
        <v>1358</v>
      </c>
      <c r="B1123" s="8" t="s">
        <v>1357</v>
      </c>
      <c r="C1123" s="8" t="s">
        <v>40</v>
      </c>
      <c r="D1123" s="8" t="s">
        <v>241</v>
      </c>
      <c r="E1123" s="8" t="s">
        <v>40</v>
      </c>
      <c r="F1123" s="8" t="s">
        <v>39</v>
      </c>
      <c r="G1123" s="8" t="s">
        <v>885</v>
      </c>
      <c r="H1123" s="8" t="s">
        <v>37</v>
      </c>
      <c r="I1123" s="8" t="s">
        <v>53</v>
      </c>
      <c r="J1123" s="8" t="s">
        <v>59</v>
      </c>
      <c r="K1123" s="8" t="s">
        <v>1356</v>
      </c>
      <c r="L1123" s="7">
        <v>7861</v>
      </c>
      <c r="M1123" s="10" t="str">
        <f t="shared" si="102"/>
        <v>CMI02090300</v>
      </c>
      <c r="N1123" s="10" t="str">
        <f t="shared" si="103"/>
        <v>SUM231000</v>
      </c>
      <c r="O1123" s="10" t="str">
        <f t="shared" si="104"/>
        <v>E</v>
      </c>
      <c r="P1123" s="10" t="str">
        <f t="shared" si="105"/>
        <v>50</v>
      </c>
      <c r="Q1123" s="10" t="str">
        <f t="shared" si="106"/>
        <v>ZSUM</v>
      </c>
      <c r="R1123" s="10" t="str">
        <f t="shared" si="107"/>
        <v>39101613</v>
      </c>
    </row>
    <row r="1124" spans="1:18" ht="25.5" hidden="1" x14ac:dyDescent="0.2">
      <c r="A1124" s="21" t="s">
        <v>1355</v>
      </c>
      <c r="B1124" s="8" t="s">
        <v>1354</v>
      </c>
      <c r="C1124" s="8" t="s">
        <v>40</v>
      </c>
      <c r="D1124" s="8" t="s">
        <v>363</v>
      </c>
      <c r="E1124" s="8" t="s">
        <v>40</v>
      </c>
      <c r="F1124" s="8" t="s">
        <v>39</v>
      </c>
      <c r="G1124" s="8" t="s">
        <v>60</v>
      </c>
      <c r="H1124" s="8" t="s">
        <v>37</v>
      </c>
      <c r="I1124" s="8" t="s">
        <v>53</v>
      </c>
      <c r="J1124" s="8" t="s">
        <v>59</v>
      </c>
      <c r="K1124" s="8" t="s">
        <v>1353</v>
      </c>
      <c r="L1124" s="7">
        <v>7862</v>
      </c>
      <c r="M1124" s="10" t="str">
        <f t="shared" si="102"/>
        <v>CMI02051300</v>
      </c>
      <c r="N1124" s="10" t="str">
        <f t="shared" si="103"/>
        <v>SUM231200</v>
      </c>
      <c r="O1124" s="10" t="str">
        <f t="shared" si="104"/>
        <v>E</v>
      </c>
      <c r="P1124" s="10" t="str">
        <f t="shared" si="105"/>
        <v>50</v>
      </c>
      <c r="Q1124" s="10" t="str">
        <f t="shared" si="106"/>
        <v>ZSUM</v>
      </c>
      <c r="R1124" s="10" t="str">
        <f t="shared" si="107"/>
        <v>13111208</v>
      </c>
    </row>
    <row r="1125" spans="1:18" ht="25.5" hidden="1" x14ac:dyDescent="0.2">
      <c r="A1125" s="21" t="s">
        <v>1352</v>
      </c>
      <c r="B1125" s="8" t="s">
        <v>1351</v>
      </c>
      <c r="C1125" s="8" t="s">
        <v>40</v>
      </c>
      <c r="D1125" s="8" t="s">
        <v>363</v>
      </c>
      <c r="E1125" s="8" t="s">
        <v>40</v>
      </c>
      <c r="F1125" s="8" t="s">
        <v>39</v>
      </c>
      <c r="G1125" s="8" t="s">
        <v>885</v>
      </c>
      <c r="H1125" s="8" t="s">
        <v>37</v>
      </c>
      <c r="I1125" s="8" t="s">
        <v>53</v>
      </c>
      <c r="J1125" s="8" t="s">
        <v>59</v>
      </c>
      <c r="K1125" s="8" t="s">
        <v>1350</v>
      </c>
      <c r="L1125" s="7">
        <v>7863</v>
      </c>
      <c r="M1125" s="10" t="str">
        <f t="shared" si="102"/>
        <v>CMI02051300</v>
      </c>
      <c r="N1125" s="10" t="str">
        <f t="shared" si="103"/>
        <v>SUM231000</v>
      </c>
      <c r="O1125" s="10" t="str">
        <f t="shared" si="104"/>
        <v>E</v>
      </c>
      <c r="P1125" s="10" t="str">
        <f t="shared" si="105"/>
        <v>50</v>
      </c>
      <c r="Q1125" s="10" t="str">
        <f t="shared" si="106"/>
        <v>ZSUM</v>
      </c>
      <c r="R1125" s="10" t="str">
        <f t="shared" si="107"/>
        <v>14121802</v>
      </c>
    </row>
    <row r="1126" spans="1:18" ht="38.25" hidden="1" x14ac:dyDescent="0.2">
      <c r="A1126" s="21" t="s">
        <v>1349</v>
      </c>
      <c r="B1126" s="8" t="s">
        <v>1348</v>
      </c>
      <c r="C1126" s="8" t="s">
        <v>40</v>
      </c>
      <c r="D1126" s="8" t="s">
        <v>947</v>
      </c>
      <c r="E1126" s="8" t="s">
        <v>40</v>
      </c>
      <c r="F1126" s="8" t="s">
        <v>39</v>
      </c>
      <c r="G1126" s="8" t="s">
        <v>208</v>
      </c>
      <c r="H1126" s="8" t="s">
        <v>37</v>
      </c>
      <c r="I1126" s="8" t="s">
        <v>53</v>
      </c>
      <c r="J1126" s="8" t="s">
        <v>59</v>
      </c>
      <c r="K1126" s="8" t="s">
        <v>1347</v>
      </c>
      <c r="L1126" s="7">
        <v>7864</v>
      </c>
      <c r="M1126" s="10" t="str">
        <f t="shared" si="102"/>
        <v>CMI02160200</v>
      </c>
      <c r="N1126" s="10" t="str">
        <f t="shared" si="103"/>
        <v>SUM301000</v>
      </c>
      <c r="O1126" s="10" t="str">
        <f t="shared" si="104"/>
        <v>E</v>
      </c>
      <c r="P1126" s="10" t="str">
        <f t="shared" si="105"/>
        <v>50</v>
      </c>
      <c r="Q1126" s="10" t="str">
        <f t="shared" si="106"/>
        <v>ZSUM</v>
      </c>
      <c r="R1126" s="10" t="str">
        <f t="shared" si="107"/>
        <v>43222609</v>
      </c>
    </row>
    <row r="1127" spans="1:18" ht="38.25" hidden="1" x14ac:dyDescent="0.2">
      <c r="A1127" s="21" t="s">
        <v>1346</v>
      </c>
      <c r="B1127" s="8" t="s">
        <v>1345</v>
      </c>
      <c r="C1127" s="8" t="s">
        <v>40</v>
      </c>
      <c r="D1127" s="8" t="s">
        <v>86</v>
      </c>
      <c r="E1127" s="8" t="s">
        <v>40</v>
      </c>
      <c r="F1127" s="8" t="s">
        <v>39</v>
      </c>
      <c r="G1127" s="8" t="s">
        <v>60</v>
      </c>
      <c r="H1127" s="8" t="s">
        <v>37</v>
      </c>
      <c r="I1127" s="8" t="s">
        <v>53</v>
      </c>
      <c r="J1127" s="8" t="s">
        <v>59</v>
      </c>
      <c r="K1127" s="8" t="s">
        <v>1344</v>
      </c>
      <c r="L1127" s="7">
        <v>7865</v>
      </c>
      <c r="M1127" s="10" t="str">
        <f t="shared" si="102"/>
        <v>CMI02160300</v>
      </c>
      <c r="N1127" s="10" t="str">
        <f t="shared" si="103"/>
        <v>SUM231200</v>
      </c>
      <c r="O1127" s="10" t="str">
        <f t="shared" si="104"/>
        <v>E</v>
      </c>
      <c r="P1127" s="10" t="str">
        <f t="shared" si="105"/>
        <v>50</v>
      </c>
      <c r="Q1127" s="10" t="str">
        <f t="shared" si="106"/>
        <v>ZSUM</v>
      </c>
      <c r="R1127" s="10" t="str">
        <f t="shared" si="107"/>
        <v>31201503</v>
      </c>
    </row>
    <row r="1128" spans="1:18" ht="25.5" hidden="1" x14ac:dyDescent="0.2">
      <c r="A1128" s="21" t="s">
        <v>1343</v>
      </c>
      <c r="B1128" s="8" t="s">
        <v>1342</v>
      </c>
      <c r="C1128" s="8" t="s">
        <v>40</v>
      </c>
      <c r="D1128" s="8" t="s">
        <v>363</v>
      </c>
      <c r="E1128" s="8" t="s">
        <v>40</v>
      </c>
      <c r="F1128" s="8" t="s">
        <v>39</v>
      </c>
      <c r="G1128" s="8" t="s">
        <v>60</v>
      </c>
      <c r="H1128" s="8" t="s">
        <v>37</v>
      </c>
      <c r="I1128" s="8" t="s">
        <v>53</v>
      </c>
      <c r="J1128" s="8" t="s">
        <v>59</v>
      </c>
      <c r="K1128" s="8" t="s">
        <v>1341</v>
      </c>
      <c r="L1128" s="7">
        <v>7866</v>
      </c>
      <c r="M1128" s="10" t="str">
        <f t="shared" si="102"/>
        <v>CMI02051300</v>
      </c>
      <c r="N1128" s="10" t="str">
        <f t="shared" si="103"/>
        <v>SUM231200</v>
      </c>
      <c r="O1128" s="10" t="str">
        <f t="shared" si="104"/>
        <v>E</v>
      </c>
      <c r="P1128" s="10" t="str">
        <f t="shared" si="105"/>
        <v>50</v>
      </c>
      <c r="Q1128" s="10" t="str">
        <f t="shared" si="106"/>
        <v>ZSUM</v>
      </c>
      <c r="R1128" s="10" t="str">
        <f t="shared" si="107"/>
        <v>10161511</v>
      </c>
    </row>
    <row r="1129" spans="1:18" ht="25.5" hidden="1" x14ac:dyDescent="0.2">
      <c r="A1129" s="21" t="s">
        <v>1340</v>
      </c>
      <c r="B1129" s="8" t="s">
        <v>1339</v>
      </c>
      <c r="C1129" s="8" t="s">
        <v>40</v>
      </c>
      <c r="D1129" s="8" t="s">
        <v>363</v>
      </c>
      <c r="E1129" s="8" t="s">
        <v>40</v>
      </c>
      <c r="F1129" s="8" t="s">
        <v>39</v>
      </c>
      <c r="G1129" s="8" t="s">
        <v>60</v>
      </c>
      <c r="H1129" s="8" t="s">
        <v>37</v>
      </c>
      <c r="I1129" s="8" t="s">
        <v>53</v>
      </c>
      <c r="J1129" s="8" t="s">
        <v>59</v>
      </c>
      <c r="K1129" s="8" t="s">
        <v>1338</v>
      </c>
      <c r="L1129" s="7">
        <v>7867</v>
      </c>
      <c r="M1129" s="10" t="str">
        <f t="shared" si="102"/>
        <v>CMI02051300</v>
      </c>
      <c r="N1129" s="10" t="str">
        <f t="shared" si="103"/>
        <v>SUM231200</v>
      </c>
      <c r="O1129" s="10" t="str">
        <f t="shared" si="104"/>
        <v>E</v>
      </c>
      <c r="P1129" s="10" t="str">
        <f t="shared" si="105"/>
        <v>50</v>
      </c>
      <c r="Q1129" s="10" t="str">
        <f t="shared" si="106"/>
        <v>ZSUM</v>
      </c>
      <c r="R1129" s="10" t="str">
        <f t="shared" si="107"/>
        <v>70131503</v>
      </c>
    </row>
    <row r="1130" spans="1:18" ht="38.25" hidden="1" x14ac:dyDescent="0.2">
      <c r="A1130" s="21" t="s">
        <v>1337</v>
      </c>
      <c r="B1130" s="8" t="s">
        <v>1336</v>
      </c>
      <c r="C1130" s="8" t="s">
        <v>40</v>
      </c>
      <c r="D1130" s="8" t="s">
        <v>245</v>
      </c>
      <c r="E1130" s="8" t="s">
        <v>40</v>
      </c>
      <c r="F1130" s="8" t="s">
        <v>39</v>
      </c>
      <c r="G1130" s="8" t="s">
        <v>631</v>
      </c>
      <c r="H1130" s="8" t="s">
        <v>37</v>
      </c>
      <c r="I1130" s="8" t="s">
        <v>53</v>
      </c>
      <c r="J1130" s="8" t="s">
        <v>59</v>
      </c>
      <c r="K1130" s="8" t="s">
        <v>1335</v>
      </c>
      <c r="L1130" s="7">
        <v>7868</v>
      </c>
      <c r="M1130" s="10" t="str">
        <f t="shared" si="102"/>
        <v>CMI01020300</v>
      </c>
      <c r="N1130" s="10" t="str">
        <f t="shared" si="103"/>
        <v>SUM231300</v>
      </c>
      <c r="O1130" s="10" t="str">
        <f t="shared" si="104"/>
        <v>E</v>
      </c>
      <c r="P1130" s="10" t="str">
        <f t="shared" si="105"/>
        <v>50</v>
      </c>
      <c r="Q1130" s="10" t="str">
        <f t="shared" si="106"/>
        <v>ZSUM</v>
      </c>
      <c r="R1130" s="10" t="str">
        <f t="shared" si="107"/>
        <v>41114500</v>
      </c>
    </row>
    <row r="1131" spans="1:18" ht="25.5" hidden="1" x14ac:dyDescent="0.2">
      <c r="A1131" s="21" t="s">
        <v>1334</v>
      </c>
      <c r="B1131" s="8" t="s">
        <v>1333</v>
      </c>
      <c r="C1131" s="8" t="s">
        <v>40</v>
      </c>
      <c r="D1131" s="8" t="s">
        <v>321</v>
      </c>
      <c r="E1131" s="8" t="s">
        <v>40</v>
      </c>
      <c r="F1131" s="8" t="s">
        <v>39</v>
      </c>
      <c r="G1131" s="8" t="s">
        <v>60</v>
      </c>
      <c r="H1131" s="8" t="s">
        <v>37</v>
      </c>
      <c r="I1131" s="8" t="s">
        <v>53</v>
      </c>
      <c r="J1131" s="8" t="s">
        <v>59</v>
      </c>
      <c r="K1131" s="8" t="s">
        <v>1332</v>
      </c>
      <c r="L1131" s="7">
        <v>7869</v>
      </c>
      <c r="M1131" s="10" t="str">
        <f t="shared" si="102"/>
        <v>CMI02050100</v>
      </c>
      <c r="N1131" s="10" t="str">
        <f t="shared" si="103"/>
        <v>SUM231200</v>
      </c>
      <c r="O1131" s="10" t="str">
        <f t="shared" si="104"/>
        <v>E</v>
      </c>
      <c r="P1131" s="10" t="str">
        <f t="shared" si="105"/>
        <v>50</v>
      </c>
      <c r="Q1131" s="10" t="str">
        <f t="shared" si="106"/>
        <v>ZSUM</v>
      </c>
      <c r="R1131" s="10" t="str">
        <f t="shared" si="107"/>
        <v>23241601</v>
      </c>
    </row>
    <row r="1132" spans="1:18" ht="38.25" hidden="1" x14ac:dyDescent="0.2">
      <c r="A1132" s="21" t="s">
        <v>1331</v>
      </c>
      <c r="B1132" s="8" t="s">
        <v>1330</v>
      </c>
      <c r="C1132" s="8" t="s">
        <v>40</v>
      </c>
      <c r="D1132" s="8" t="s">
        <v>241</v>
      </c>
      <c r="E1132" s="8" t="s">
        <v>40</v>
      </c>
      <c r="F1132" s="8" t="s">
        <v>39</v>
      </c>
      <c r="G1132" s="8" t="s">
        <v>60</v>
      </c>
      <c r="H1132" s="8" t="s">
        <v>37</v>
      </c>
      <c r="I1132" s="8" t="s">
        <v>53</v>
      </c>
      <c r="J1132" s="8" t="s">
        <v>59</v>
      </c>
      <c r="K1132" s="8" t="s">
        <v>1329</v>
      </c>
      <c r="L1132" s="7">
        <v>7870</v>
      </c>
      <c r="M1132" s="10" t="str">
        <f t="shared" si="102"/>
        <v>CMI02090300</v>
      </c>
      <c r="N1132" s="10" t="str">
        <f t="shared" si="103"/>
        <v>SUM231200</v>
      </c>
      <c r="O1132" s="10" t="str">
        <f t="shared" si="104"/>
        <v>E</v>
      </c>
      <c r="P1132" s="10" t="str">
        <f t="shared" si="105"/>
        <v>50</v>
      </c>
      <c r="Q1132" s="10" t="str">
        <f t="shared" si="106"/>
        <v>ZSUM</v>
      </c>
      <c r="R1132" s="10" t="str">
        <f t="shared" si="107"/>
        <v>39121700</v>
      </c>
    </row>
    <row r="1133" spans="1:18" ht="25.5" hidden="1" x14ac:dyDescent="0.2">
      <c r="A1133" s="21" t="s">
        <v>1328</v>
      </c>
      <c r="B1133" s="8" t="s">
        <v>1327</v>
      </c>
      <c r="C1133" s="8" t="s">
        <v>40</v>
      </c>
      <c r="D1133" s="8" t="s">
        <v>947</v>
      </c>
      <c r="E1133" s="8" t="s">
        <v>40</v>
      </c>
      <c r="F1133" s="8" t="s">
        <v>39</v>
      </c>
      <c r="G1133" s="8" t="s">
        <v>885</v>
      </c>
      <c r="H1133" s="8" t="s">
        <v>37</v>
      </c>
      <c r="I1133" s="8" t="s">
        <v>53</v>
      </c>
      <c r="J1133" s="8" t="s">
        <v>59</v>
      </c>
      <c r="K1133" s="8" t="s">
        <v>1326</v>
      </c>
      <c r="L1133" s="7">
        <v>7871</v>
      </c>
      <c r="M1133" s="10" t="str">
        <f t="shared" si="102"/>
        <v>CMI02160200</v>
      </c>
      <c r="N1133" s="10" t="str">
        <f t="shared" si="103"/>
        <v>SUM231000</v>
      </c>
      <c r="O1133" s="10" t="str">
        <f t="shared" si="104"/>
        <v>E</v>
      </c>
      <c r="P1133" s="10" t="str">
        <f t="shared" si="105"/>
        <v>50</v>
      </c>
      <c r="Q1133" s="10" t="str">
        <f t="shared" si="106"/>
        <v>ZSUM</v>
      </c>
      <c r="R1133" s="10" t="str">
        <f t="shared" si="107"/>
        <v>39121405</v>
      </c>
    </row>
    <row r="1134" spans="1:18" ht="25.5" hidden="1" x14ac:dyDescent="0.2">
      <c r="A1134" s="21" t="s">
        <v>1325</v>
      </c>
      <c r="B1134" s="8" t="s">
        <v>1324</v>
      </c>
      <c r="C1134" s="8" t="s">
        <v>40</v>
      </c>
      <c r="D1134" s="8" t="s">
        <v>224</v>
      </c>
      <c r="E1134" s="8" t="s">
        <v>40</v>
      </c>
      <c r="F1134" s="8" t="s">
        <v>39</v>
      </c>
      <c r="G1134" s="8" t="s">
        <v>60</v>
      </c>
      <c r="H1134" s="8" t="s">
        <v>37</v>
      </c>
      <c r="I1134" s="8" t="s">
        <v>53</v>
      </c>
      <c r="J1134" s="8" t="s">
        <v>59</v>
      </c>
      <c r="K1134" s="8" t="s">
        <v>1309</v>
      </c>
      <c r="L1134" s="7">
        <v>7872</v>
      </c>
      <c r="M1134" s="10" t="str">
        <f t="shared" si="102"/>
        <v>CMI02170100</v>
      </c>
      <c r="N1134" s="10" t="str">
        <f t="shared" si="103"/>
        <v>SUM231200</v>
      </c>
      <c r="O1134" s="10" t="str">
        <f t="shared" si="104"/>
        <v>E</v>
      </c>
      <c r="P1134" s="10" t="str">
        <f t="shared" si="105"/>
        <v>50</v>
      </c>
      <c r="Q1134" s="10" t="str">
        <f t="shared" si="106"/>
        <v>ZSUM</v>
      </c>
      <c r="R1134" s="10" t="str">
        <f t="shared" si="107"/>
        <v>52121508</v>
      </c>
    </row>
    <row r="1135" spans="1:18" ht="25.5" hidden="1" x14ac:dyDescent="0.2">
      <c r="A1135" s="21" t="s">
        <v>1323</v>
      </c>
      <c r="B1135" s="8" t="s">
        <v>1322</v>
      </c>
      <c r="C1135" s="8" t="s">
        <v>40</v>
      </c>
      <c r="D1135" s="8" t="s">
        <v>969</v>
      </c>
      <c r="E1135" s="8" t="s">
        <v>40</v>
      </c>
      <c r="F1135" s="8" t="s">
        <v>39</v>
      </c>
      <c r="G1135" s="8" t="s">
        <v>885</v>
      </c>
      <c r="H1135" s="8" t="s">
        <v>37</v>
      </c>
      <c r="I1135" s="8" t="s">
        <v>53</v>
      </c>
      <c r="J1135" s="8" t="s">
        <v>59</v>
      </c>
      <c r="K1135" s="8" t="s">
        <v>1321</v>
      </c>
      <c r="L1135" s="7">
        <v>7873</v>
      </c>
      <c r="M1135" s="10" t="str">
        <f t="shared" si="102"/>
        <v>CMI02051200</v>
      </c>
      <c r="N1135" s="10" t="str">
        <f t="shared" si="103"/>
        <v>SUM231000</v>
      </c>
      <c r="O1135" s="10" t="str">
        <f t="shared" si="104"/>
        <v>E</v>
      </c>
      <c r="P1135" s="10" t="str">
        <f t="shared" si="105"/>
        <v>50</v>
      </c>
      <c r="Q1135" s="10" t="str">
        <f t="shared" si="106"/>
        <v>ZSUM</v>
      </c>
      <c r="R1135" s="10" t="str">
        <f t="shared" si="107"/>
        <v>26121509</v>
      </c>
    </row>
    <row r="1136" spans="1:18" ht="38.25" hidden="1" x14ac:dyDescent="0.2">
      <c r="A1136" s="21" t="s">
        <v>1320</v>
      </c>
      <c r="B1136" s="8" t="s">
        <v>1319</v>
      </c>
      <c r="C1136" s="8" t="s">
        <v>40</v>
      </c>
      <c r="D1136" s="8" t="s">
        <v>86</v>
      </c>
      <c r="E1136" s="8" t="s">
        <v>40</v>
      </c>
      <c r="F1136" s="8" t="s">
        <v>39</v>
      </c>
      <c r="G1136" s="8" t="s">
        <v>885</v>
      </c>
      <c r="H1136" s="8" t="s">
        <v>37</v>
      </c>
      <c r="I1136" s="8" t="s">
        <v>53</v>
      </c>
      <c r="J1136" s="8" t="s">
        <v>59</v>
      </c>
      <c r="K1136" s="8" t="s">
        <v>1318</v>
      </c>
      <c r="L1136" s="7">
        <v>7874</v>
      </c>
      <c r="M1136" s="10" t="str">
        <f t="shared" si="102"/>
        <v>CMI02160300</v>
      </c>
      <c r="N1136" s="10" t="str">
        <f t="shared" si="103"/>
        <v>SUM231000</v>
      </c>
      <c r="O1136" s="10" t="str">
        <f t="shared" si="104"/>
        <v>E</v>
      </c>
      <c r="P1136" s="10" t="str">
        <f t="shared" si="105"/>
        <v>50</v>
      </c>
      <c r="Q1136" s="10" t="str">
        <f t="shared" si="106"/>
        <v>ZSUM</v>
      </c>
      <c r="R1136" s="10" t="str">
        <f t="shared" si="107"/>
        <v>30141500</v>
      </c>
    </row>
    <row r="1137" spans="1:18" ht="38.25" hidden="1" x14ac:dyDescent="0.2">
      <c r="A1137" s="21" t="s">
        <v>1317</v>
      </c>
      <c r="B1137" s="8" t="s">
        <v>1316</v>
      </c>
      <c r="C1137" s="8" t="s">
        <v>40</v>
      </c>
      <c r="D1137" s="8" t="s">
        <v>241</v>
      </c>
      <c r="E1137" s="8" t="s">
        <v>40</v>
      </c>
      <c r="F1137" s="8" t="s">
        <v>39</v>
      </c>
      <c r="G1137" s="8" t="s">
        <v>885</v>
      </c>
      <c r="H1137" s="8" t="s">
        <v>37</v>
      </c>
      <c r="I1137" s="8" t="s">
        <v>53</v>
      </c>
      <c r="J1137" s="8" t="s">
        <v>59</v>
      </c>
      <c r="K1137" s="8" t="s">
        <v>1315</v>
      </c>
      <c r="L1137" s="7">
        <v>7875</v>
      </c>
      <c r="M1137" s="10" t="str">
        <f t="shared" si="102"/>
        <v>CMI02090300</v>
      </c>
      <c r="N1137" s="10" t="str">
        <f t="shared" si="103"/>
        <v>SUM231000</v>
      </c>
      <c r="O1137" s="10" t="str">
        <f t="shared" si="104"/>
        <v>E</v>
      </c>
      <c r="P1137" s="10" t="str">
        <f t="shared" si="105"/>
        <v>50</v>
      </c>
      <c r="Q1137" s="10" t="str">
        <f t="shared" si="106"/>
        <v>ZSUM</v>
      </c>
      <c r="R1137" s="10" t="str">
        <f t="shared" si="107"/>
        <v>31152306</v>
      </c>
    </row>
    <row r="1138" spans="1:18" ht="25.5" hidden="1" x14ac:dyDescent="0.2">
      <c r="A1138" s="21" t="s">
        <v>1314</v>
      </c>
      <c r="B1138" s="8" t="s">
        <v>1313</v>
      </c>
      <c r="C1138" s="8" t="s">
        <v>40</v>
      </c>
      <c r="D1138" s="8" t="s">
        <v>1312</v>
      </c>
      <c r="E1138" s="8" t="s">
        <v>40</v>
      </c>
      <c r="F1138" s="8" t="s">
        <v>39</v>
      </c>
      <c r="G1138" s="8" t="s">
        <v>60</v>
      </c>
      <c r="H1138" s="8" t="s">
        <v>37</v>
      </c>
      <c r="I1138" s="8" t="s">
        <v>53</v>
      </c>
      <c r="J1138" s="8" t="s">
        <v>59</v>
      </c>
      <c r="K1138" s="8" t="s">
        <v>1268</v>
      </c>
      <c r="L1138" s="7">
        <v>7876</v>
      </c>
      <c r="M1138" s="10" t="str">
        <f t="shared" si="102"/>
        <v>CMI02020100</v>
      </c>
      <c r="N1138" s="10" t="str">
        <f t="shared" si="103"/>
        <v>SUM231200</v>
      </c>
      <c r="O1138" s="10" t="str">
        <f t="shared" si="104"/>
        <v>E</v>
      </c>
      <c r="P1138" s="10" t="str">
        <f t="shared" si="105"/>
        <v>50</v>
      </c>
      <c r="Q1138" s="10" t="str">
        <f t="shared" si="106"/>
        <v>ZSUM</v>
      </c>
      <c r="R1138" s="10" t="str">
        <f t="shared" si="107"/>
        <v>24112404</v>
      </c>
    </row>
    <row r="1139" spans="1:18" ht="25.5" hidden="1" x14ac:dyDescent="0.2">
      <c r="A1139" s="21" t="s">
        <v>1311</v>
      </c>
      <c r="B1139" s="8" t="s">
        <v>1310</v>
      </c>
      <c r="C1139" s="8" t="s">
        <v>40</v>
      </c>
      <c r="D1139" s="8" t="s">
        <v>74</v>
      </c>
      <c r="E1139" s="8" t="s">
        <v>40</v>
      </c>
      <c r="F1139" s="8" t="s">
        <v>39</v>
      </c>
      <c r="G1139" s="8" t="s">
        <v>60</v>
      </c>
      <c r="H1139" s="8" t="s">
        <v>37</v>
      </c>
      <c r="I1139" s="8" t="s">
        <v>53</v>
      </c>
      <c r="J1139" s="8" t="s">
        <v>59</v>
      </c>
      <c r="K1139" s="8" t="s">
        <v>1309</v>
      </c>
      <c r="L1139" s="7">
        <v>7877</v>
      </c>
      <c r="M1139" s="10" t="str">
        <f t="shared" si="102"/>
        <v>CMI02170300</v>
      </c>
      <c r="N1139" s="10" t="str">
        <f t="shared" si="103"/>
        <v>SUM231200</v>
      </c>
      <c r="O1139" s="10" t="str">
        <f t="shared" si="104"/>
        <v>E</v>
      </c>
      <c r="P1139" s="10" t="str">
        <f t="shared" si="105"/>
        <v>50</v>
      </c>
      <c r="Q1139" s="10" t="str">
        <f t="shared" si="106"/>
        <v>ZSUM</v>
      </c>
      <c r="R1139" s="10" t="str">
        <f t="shared" si="107"/>
        <v>52121508</v>
      </c>
    </row>
    <row r="1140" spans="1:18" ht="25.5" hidden="1" x14ac:dyDescent="0.2">
      <c r="A1140" s="21" t="s">
        <v>1308</v>
      </c>
      <c r="B1140" s="8" t="s">
        <v>1307</v>
      </c>
      <c r="C1140" s="8" t="s">
        <v>40</v>
      </c>
      <c r="D1140" s="8" t="s">
        <v>245</v>
      </c>
      <c r="E1140" s="8" t="s">
        <v>40</v>
      </c>
      <c r="F1140" s="8" t="s">
        <v>39</v>
      </c>
      <c r="G1140" s="8" t="s">
        <v>60</v>
      </c>
      <c r="H1140" s="8" t="s">
        <v>37</v>
      </c>
      <c r="I1140" s="8" t="s">
        <v>53</v>
      </c>
      <c r="J1140" s="8" t="s">
        <v>59</v>
      </c>
      <c r="K1140" s="8" t="s">
        <v>1306</v>
      </c>
      <c r="L1140" s="7">
        <v>7878</v>
      </c>
      <c r="M1140" s="10" t="str">
        <f t="shared" si="102"/>
        <v>CMI01020300</v>
      </c>
      <c r="N1140" s="10" t="str">
        <f t="shared" si="103"/>
        <v>SUM231200</v>
      </c>
      <c r="O1140" s="10" t="str">
        <f t="shared" si="104"/>
        <v>E</v>
      </c>
      <c r="P1140" s="10" t="str">
        <f t="shared" si="105"/>
        <v>50</v>
      </c>
      <c r="Q1140" s="10" t="str">
        <f t="shared" si="106"/>
        <v>ZSUM</v>
      </c>
      <c r="R1140" s="10" t="str">
        <f t="shared" si="107"/>
        <v>23271701</v>
      </c>
    </row>
    <row r="1141" spans="1:18" ht="25.5" hidden="1" x14ac:dyDescent="0.2">
      <c r="A1141" s="21" t="s">
        <v>1305</v>
      </c>
      <c r="B1141" s="8" t="s">
        <v>1304</v>
      </c>
      <c r="C1141" s="8" t="s">
        <v>40</v>
      </c>
      <c r="D1141" s="8" t="s">
        <v>95</v>
      </c>
      <c r="E1141" s="8" t="s">
        <v>40</v>
      </c>
      <c r="F1141" s="8" t="s">
        <v>39</v>
      </c>
      <c r="G1141" s="8" t="s">
        <v>885</v>
      </c>
      <c r="H1141" s="8" t="s">
        <v>37</v>
      </c>
      <c r="I1141" s="8" t="s">
        <v>53</v>
      </c>
      <c r="J1141" s="8" t="s">
        <v>59</v>
      </c>
      <c r="K1141" s="8" t="s">
        <v>1303</v>
      </c>
      <c r="L1141" s="7">
        <v>7879</v>
      </c>
      <c r="M1141" s="10" t="str">
        <f t="shared" si="102"/>
        <v>CMI02160100</v>
      </c>
      <c r="N1141" s="10" t="str">
        <f t="shared" si="103"/>
        <v>SUM231000</v>
      </c>
      <c r="O1141" s="10" t="str">
        <f t="shared" si="104"/>
        <v>E</v>
      </c>
      <c r="P1141" s="10" t="str">
        <f t="shared" si="105"/>
        <v>50</v>
      </c>
      <c r="Q1141" s="10" t="str">
        <f t="shared" si="106"/>
        <v>ZSUM</v>
      </c>
      <c r="R1141" s="10" t="str">
        <f t="shared" si="107"/>
        <v>14121800</v>
      </c>
    </row>
    <row r="1142" spans="1:18" ht="25.5" hidden="1" x14ac:dyDescent="0.2">
      <c r="A1142" s="21" t="s">
        <v>1302</v>
      </c>
      <c r="B1142" s="8" t="s">
        <v>1301</v>
      </c>
      <c r="C1142" s="8" t="s">
        <v>40</v>
      </c>
      <c r="D1142" s="8" t="s">
        <v>363</v>
      </c>
      <c r="E1142" s="8" t="s">
        <v>40</v>
      </c>
      <c r="F1142" s="8" t="s">
        <v>39</v>
      </c>
      <c r="G1142" s="8" t="s">
        <v>60</v>
      </c>
      <c r="H1142" s="8" t="s">
        <v>37</v>
      </c>
      <c r="I1142" s="8" t="s">
        <v>53</v>
      </c>
      <c r="J1142" s="8" t="s">
        <v>59</v>
      </c>
      <c r="K1142" s="8" t="s">
        <v>1300</v>
      </c>
      <c r="L1142" s="7">
        <v>7880</v>
      </c>
      <c r="M1142" s="10" t="str">
        <f t="shared" si="102"/>
        <v>CMI02051300</v>
      </c>
      <c r="N1142" s="10" t="str">
        <f t="shared" si="103"/>
        <v>SUM231200</v>
      </c>
      <c r="O1142" s="10" t="str">
        <f t="shared" si="104"/>
        <v>E</v>
      </c>
      <c r="P1142" s="10" t="str">
        <f t="shared" si="105"/>
        <v>50</v>
      </c>
      <c r="Q1142" s="10" t="str">
        <f t="shared" si="106"/>
        <v>ZSUM</v>
      </c>
      <c r="R1142" s="10" t="str">
        <f t="shared" si="107"/>
        <v>11151510</v>
      </c>
    </row>
    <row r="1143" spans="1:18" ht="25.5" hidden="1" x14ac:dyDescent="0.2">
      <c r="A1143" s="21" t="s">
        <v>1299</v>
      </c>
      <c r="B1143" s="8" t="s">
        <v>1298</v>
      </c>
      <c r="C1143" s="8" t="s">
        <v>40</v>
      </c>
      <c r="D1143" s="8" t="s">
        <v>216</v>
      </c>
      <c r="E1143" s="8" t="s">
        <v>40</v>
      </c>
      <c r="F1143" s="8" t="s">
        <v>39</v>
      </c>
      <c r="G1143" s="8" t="s">
        <v>85</v>
      </c>
      <c r="H1143" s="8" t="s">
        <v>37</v>
      </c>
      <c r="I1143" s="8" t="s">
        <v>53</v>
      </c>
      <c r="J1143" s="8" t="s">
        <v>59</v>
      </c>
      <c r="K1143" s="8" t="s">
        <v>1297</v>
      </c>
      <c r="L1143" s="7">
        <v>7881</v>
      </c>
      <c r="M1143" s="10" t="str">
        <f t="shared" si="102"/>
        <v>CMI02140500</v>
      </c>
      <c r="N1143" s="10" t="str">
        <f t="shared" si="103"/>
        <v>SUM231500</v>
      </c>
      <c r="O1143" s="10" t="str">
        <f t="shared" si="104"/>
        <v>E</v>
      </c>
      <c r="P1143" s="10" t="str">
        <f t="shared" si="105"/>
        <v>50</v>
      </c>
      <c r="Q1143" s="10" t="str">
        <f t="shared" si="106"/>
        <v>ZSUM</v>
      </c>
      <c r="R1143" s="10" t="str">
        <f t="shared" si="107"/>
        <v>27111712</v>
      </c>
    </row>
    <row r="1144" spans="1:18" ht="25.5" hidden="1" x14ac:dyDescent="0.2">
      <c r="A1144" s="21" t="s">
        <v>1296</v>
      </c>
      <c r="B1144" s="8" t="s">
        <v>1295</v>
      </c>
      <c r="C1144" s="8" t="s">
        <v>40</v>
      </c>
      <c r="D1144" s="8" t="s">
        <v>1294</v>
      </c>
      <c r="E1144" s="8" t="s">
        <v>40</v>
      </c>
      <c r="F1144" s="8" t="s">
        <v>39</v>
      </c>
      <c r="G1144" s="8" t="s">
        <v>60</v>
      </c>
      <c r="H1144" s="8" t="s">
        <v>37</v>
      </c>
      <c r="I1144" s="8" t="s">
        <v>53</v>
      </c>
      <c r="J1144" s="8" t="s">
        <v>59</v>
      </c>
      <c r="K1144" s="8" t="s">
        <v>1293</v>
      </c>
      <c r="L1144" s="7">
        <v>7882</v>
      </c>
      <c r="M1144" s="10" t="str">
        <f t="shared" si="102"/>
        <v>CMI03020300</v>
      </c>
      <c r="N1144" s="10" t="str">
        <f t="shared" si="103"/>
        <v>SUM231200</v>
      </c>
      <c r="O1144" s="10" t="str">
        <f t="shared" si="104"/>
        <v>E</v>
      </c>
      <c r="P1144" s="10" t="str">
        <f t="shared" si="105"/>
        <v>50</v>
      </c>
      <c r="Q1144" s="10" t="str">
        <f t="shared" si="106"/>
        <v>ZSUM</v>
      </c>
      <c r="R1144" s="10" t="str">
        <f t="shared" si="107"/>
        <v>13111010</v>
      </c>
    </row>
    <row r="1145" spans="1:18" ht="25.5" hidden="1" x14ac:dyDescent="0.2">
      <c r="A1145" s="21" t="s">
        <v>1292</v>
      </c>
      <c r="B1145" s="8" t="s">
        <v>1291</v>
      </c>
      <c r="C1145" s="8" t="s">
        <v>40</v>
      </c>
      <c r="D1145" s="8" t="s">
        <v>1290</v>
      </c>
      <c r="E1145" s="8" t="s">
        <v>40</v>
      </c>
      <c r="F1145" s="8" t="s">
        <v>39</v>
      </c>
      <c r="G1145" s="8" t="s">
        <v>60</v>
      </c>
      <c r="H1145" s="8" t="s">
        <v>37</v>
      </c>
      <c r="I1145" s="8" t="s">
        <v>53</v>
      </c>
      <c r="J1145" s="8" t="s">
        <v>59</v>
      </c>
      <c r="K1145" s="8" t="s">
        <v>1289</v>
      </c>
      <c r="L1145" s="7">
        <v>7883</v>
      </c>
      <c r="M1145" s="10" t="str">
        <f t="shared" si="102"/>
        <v>CMI02051800</v>
      </c>
      <c r="N1145" s="10" t="str">
        <f t="shared" si="103"/>
        <v>SUM231200</v>
      </c>
      <c r="O1145" s="10" t="str">
        <f t="shared" si="104"/>
        <v>E</v>
      </c>
      <c r="P1145" s="10" t="str">
        <f t="shared" si="105"/>
        <v>50</v>
      </c>
      <c r="Q1145" s="10" t="str">
        <f t="shared" si="106"/>
        <v>ZSUM</v>
      </c>
      <c r="R1145" s="10" t="str">
        <f t="shared" si="107"/>
        <v>13102026</v>
      </c>
    </row>
    <row r="1146" spans="1:18" ht="38.25" hidden="1" x14ac:dyDescent="0.2">
      <c r="A1146" s="21" t="s">
        <v>1288</v>
      </c>
      <c r="B1146" s="8" t="s">
        <v>1287</v>
      </c>
      <c r="C1146" s="8" t="s">
        <v>40</v>
      </c>
      <c r="D1146" s="8" t="s">
        <v>1181</v>
      </c>
      <c r="E1146" s="8" t="s">
        <v>40</v>
      </c>
      <c r="F1146" s="8" t="s">
        <v>39</v>
      </c>
      <c r="G1146" s="8" t="s">
        <v>60</v>
      </c>
      <c r="H1146" s="8" t="s">
        <v>37</v>
      </c>
      <c r="I1146" s="8" t="s">
        <v>53</v>
      </c>
      <c r="J1146" s="8" t="s">
        <v>59</v>
      </c>
      <c r="K1146" s="8" t="s">
        <v>1286</v>
      </c>
      <c r="L1146" s="7">
        <v>7884</v>
      </c>
      <c r="M1146" s="10" t="str">
        <f t="shared" si="102"/>
        <v>CMI02051600</v>
      </c>
      <c r="N1146" s="10" t="str">
        <f t="shared" si="103"/>
        <v>SUM231200</v>
      </c>
      <c r="O1146" s="10" t="str">
        <f t="shared" si="104"/>
        <v>E</v>
      </c>
      <c r="P1146" s="10" t="str">
        <f t="shared" si="105"/>
        <v>50</v>
      </c>
      <c r="Q1146" s="10" t="str">
        <f t="shared" si="106"/>
        <v>ZSUM</v>
      </c>
      <c r="R1146" s="10" t="str">
        <f t="shared" si="107"/>
        <v>12163902</v>
      </c>
    </row>
    <row r="1147" spans="1:18" ht="25.5" hidden="1" x14ac:dyDescent="0.2">
      <c r="A1147" s="21" t="s">
        <v>1285</v>
      </c>
      <c r="B1147" s="8" t="s">
        <v>1284</v>
      </c>
      <c r="C1147" s="8" t="s">
        <v>40</v>
      </c>
      <c r="D1147" s="8" t="s">
        <v>1082</v>
      </c>
      <c r="E1147" s="8" t="s">
        <v>40</v>
      </c>
      <c r="F1147" s="8" t="s">
        <v>39</v>
      </c>
      <c r="G1147" s="8" t="s">
        <v>60</v>
      </c>
      <c r="H1147" s="8" t="s">
        <v>37</v>
      </c>
      <c r="I1147" s="8" t="s">
        <v>53</v>
      </c>
      <c r="J1147" s="8" t="s">
        <v>59</v>
      </c>
      <c r="K1147" s="8" t="s">
        <v>1283</v>
      </c>
      <c r="L1147" s="7">
        <v>7885</v>
      </c>
      <c r="M1147" s="10" t="str">
        <f t="shared" si="102"/>
        <v>CMI02050500</v>
      </c>
      <c r="N1147" s="10" t="str">
        <f t="shared" si="103"/>
        <v>SUM231200</v>
      </c>
      <c r="O1147" s="10" t="str">
        <f t="shared" si="104"/>
        <v>E</v>
      </c>
      <c r="P1147" s="10" t="str">
        <f t="shared" si="105"/>
        <v>50</v>
      </c>
      <c r="Q1147" s="10" t="str">
        <f t="shared" si="106"/>
        <v>ZSUM</v>
      </c>
      <c r="R1147" s="10" t="str">
        <f t="shared" si="107"/>
        <v>31152209</v>
      </c>
    </row>
    <row r="1148" spans="1:18" ht="38.25" hidden="1" x14ac:dyDescent="0.2">
      <c r="A1148" s="21" t="s">
        <v>1282</v>
      </c>
      <c r="B1148" s="8" t="s">
        <v>1281</v>
      </c>
      <c r="C1148" s="8" t="s">
        <v>40</v>
      </c>
      <c r="D1148" s="8" t="s">
        <v>86</v>
      </c>
      <c r="E1148" s="8" t="s">
        <v>40</v>
      </c>
      <c r="F1148" s="8" t="s">
        <v>39</v>
      </c>
      <c r="G1148" s="8" t="s">
        <v>60</v>
      </c>
      <c r="H1148" s="8" t="s">
        <v>37</v>
      </c>
      <c r="I1148" s="8" t="s">
        <v>53</v>
      </c>
      <c r="J1148" s="8" t="s">
        <v>59</v>
      </c>
      <c r="K1148" s="8" t="s">
        <v>1259</v>
      </c>
      <c r="L1148" s="7">
        <v>7886</v>
      </c>
      <c r="M1148" s="10" t="str">
        <f t="shared" si="102"/>
        <v>CMI02160300</v>
      </c>
      <c r="N1148" s="10" t="str">
        <f t="shared" si="103"/>
        <v>SUM231200</v>
      </c>
      <c r="O1148" s="10" t="str">
        <f t="shared" si="104"/>
        <v>E</v>
      </c>
      <c r="P1148" s="10" t="str">
        <f t="shared" si="105"/>
        <v>50</v>
      </c>
      <c r="Q1148" s="10" t="str">
        <f t="shared" si="106"/>
        <v>ZSUM</v>
      </c>
      <c r="R1148" s="10" t="str">
        <f t="shared" si="107"/>
        <v>13111300</v>
      </c>
    </row>
    <row r="1149" spans="1:18" ht="38.25" hidden="1" x14ac:dyDescent="0.2">
      <c r="A1149" s="21" t="s">
        <v>1280</v>
      </c>
      <c r="B1149" s="8" t="s">
        <v>1279</v>
      </c>
      <c r="C1149" s="8" t="s">
        <v>40</v>
      </c>
      <c r="D1149" s="8" t="s">
        <v>363</v>
      </c>
      <c r="E1149" s="8" t="s">
        <v>40</v>
      </c>
      <c r="F1149" s="8" t="s">
        <v>39</v>
      </c>
      <c r="G1149" s="8" t="s">
        <v>60</v>
      </c>
      <c r="H1149" s="8" t="s">
        <v>37</v>
      </c>
      <c r="I1149" s="8" t="s">
        <v>53</v>
      </c>
      <c r="J1149" s="8" t="s">
        <v>59</v>
      </c>
      <c r="K1149" s="8" t="s">
        <v>1278</v>
      </c>
      <c r="L1149" s="7">
        <v>7887</v>
      </c>
      <c r="M1149" s="10" t="str">
        <f t="shared" si="102"/>
        <v>CMI02051300</v>
      </c>
      <c r="N1149" s="10" t="str">
        <f t="shared" si="103"/>
        <v>SUM231200</v>
      </c>
      <c r="O1149" s="10" t="str">
        <f t="shared" si="104"/>
        <v>E</v>
      </c>
      <c r="P1149" s="10" t="str">
        <f t="shared" si="105"/>
        <v>50</v>
      </c>
      <c r="Q1149" s="10" t="str">
        <f t="shared" si="106"/>
        <v>ZSUM</v>
      </c>
      <c r="R1149" s="10" t="str">
        <f t="shared" si="107"/>
        <v>31371200</v>
      </c>
    </row>
    <row r="1150" spans="1:18" ht="38.25" hidden="1" x14ac:dyDescent="0.2">
      <c r="A1150" s="21" t="s">
        <v>1277</v>
      </c>
      <c r="B1150" s="8" t="s">
        <v>1276</v>
      </c>
      <c r="C1150" s="8" t="s">
        <v>40</v>
      </c>
      <c r="D1150" s="8" t="s">
        <v>245</v>
      </c>
      <c r="E1150" s="7">
        <v>6</v>
      </c>
      <c r="F1150" s="8" t="s">
        <v>39</v>
      </c>
      <c r="G1150" s="8" t="s">
        <v>985</v>
      </c>
      <c r="H1150" s="8" t="s">
        <v>37</v>
      </c>
      <c r="I1150" s="8" t="s">
        <v>53</v>
      </c>
      <c r="J1150" s="8" t="s">
        <v>59</v>
      </c>
      <c r="K1150" s="8" t="s">
        <v>1275</v>
      </c>
      <c r="L1150" s="7">
        <v>7888</v>
      </c>
      <c r="M1150" s="10" t="str">
        <f t="shared" si="102"/>
        <v>CMI01020300</v>
      </c>
      <c r="N1150" s="10" t="str">
        <f t="shared" si="103"/>
        <v>SUM231600</v>
      </c>
      <c r="O1150" s="10" t="str">
        <f t="shared" si="104"/>
        <v>E</v>
      </c>
      <c r="P1150" s="10" t="str">
        <f t="shared" si="105"/>
        <v>50</v>
      </c>
      <c r="Q1150" s="10" t="str">
        <f t="shared" si="106"/>
        <v>ZSUM</v>
      </c>
      <c r="R1150" s="10" t="str">
        <f t="shared" si="107"/>
        <v>23271408</v>
      </c>
    </row>
    <row r="1151" spans="1:18" ht="25.5" hidden="1" x14ac:dyDescent="0.2">
      <c r="A1151" s="21" t="s">
        <v>1274</v>
      </c>
      <c r="B1151" s="8" t="s">
        <v>1273</v>
      </c>
      <c r="C1151" s="8" t="s">
        <v>40</v>
      </c>
      <c r="D1151" s="8" t="s">
        <v>70</v>
      </c>
      <c r="E1151" s="8" t="s">
        <v>40</v>
      </c>
      <c r="F1151" s="8" t="s">
        <v>39</v>
      </c>
      <c r="G1151" s="8" t="s">
        <v>60</v>
      </c>
      <c r="H1151" s="8" t="s">
        <v>37</v>
      </c>
      <c r="I1151" s="8" t="s">
        <v>53</v>
      </c>
      <c r="J1151" s="8" t="s">
        <v>59</v>
      </c>
      <c r="K1151" s="8" t="s">
        <v>1272</v>
      </c>
      <c r="L1151" s="7">
        <v>7889</v>
      </c>
      <c r="M1151" s="10" t="str">
        <f t="shared" si="102"/>
        <v>CMI01030400</v>
      </c>
      <c r="N1151" s="10" t="str">
        <f t="shared" si="103"/>
        <v>SUM231200</v>
      </c>
      <c r="O1151" s="10" t="str">
        <f t="shared" si="104"/>
        <v>E</v>
      </c>
      <c r="P1151" s="10" t="str">
        <f t="shared" si="105"/>
        <v>50</v>
      </c>
      <c r="Q1151" s="10" t="str">
        <f t="shared" si="106"/>
        <v>ZSUM</v>
      </c>
      <c r="R1151" s="10" t="str">
        <f t="shared" si="107"/>
        <v>56101515</v>
      </c>
    </row>
    <row r="1152" spans="1:18" ht="25.5" hidden="1" x14ac:dyDescent="0.2">
      <c r="A1152" s="21" t="s">
        <v>1271</v>
      </c>
      <c r="B1152" s="8" t="s">
        <v>1270</v>
      </c>
      <c r="C1152" s="8" t="s">
        <v>40</v>
      </c>
      <c r="D1152" s="8" t="s">
        <v>1269</v>
      </c>
      <c r="E1152" s="8" t="s">
        <v>40</v>
      </c>
      <c r="F1152" s="8" t="s">
        <v>39</v>
      </c>
      <c r="G1152" s="8" t="s">
        <v>60</v>
      </c>
      <c r="H1152" s="8" t="s">
        <v>37</v>
      </c>
      <c r="I1152" s="8" t="s">
        <v>53</v>
      </c>
      <c r="J1152" s="8" t="s">
        <v>59</v>
      </c>
      <c r="K1152" s="8" t="s">
        <v>1268</v>
      </c>
      <c r="L1152" s="7">
        <v>7890</v>
      </c>
      <c r="M1152" s="10" t="str">
        <f t="shared" si="102"/>
        <v>CMI03050100</v>
      </c>
      <c r="N1152" s="10" t="str">
        <f t="shared" si="103"/>
        <v>SUM231200</v>
      </c>
      <c r="O1152" s="10" t="str">
        <f t="shared" si="104"/>
        <v>E</v>
      </c>
      <c r="P1152" s="10" t="str">
        <f t="shared" si="105"/>
        <v>50</v>
      </c>
      <c r="Q1152" s="10" t="str">
        <f t="shared" si="106"/>
        <v>ZSUM</v>
      </c>
      <c r="R1152" s="10" t="str">
        <f t="shared" si="107"/>
        <v>24112404</v>
      </c>
    </row>
    <row r="1153" spans="1:18" ht="25.5" hidden="1" x14ac:dyDescent="0.2">
      <c r="A1153" s="21" t="s">
        <v>1267</v>
      </c>
      <c r="B1153" s="8" t="s">
        <v>1266</v>
      </c>
      <c r="C1153" s="8" t="s">
        <v>40</v>
      </c>
      <c r="D1153" s="8" t="s">
        <v>797</v>
      </c>
      <c r="E1153" s="8" t="s">
        <v>40</v>
      </c>
      <c r="F1153" s="8" t="s">
        <v>39</v>
      </c>
      <c r="G1153" s="8" t="s">
        <v>60</v>
      </c>
      <c r="H1153" s="8" t="s">
        <v>37</v>
      </c>
      <c r="I1153" s="8" t="s">
        <v>53</v>
      </c>
      <c r="J1153" s="8" t="s">
        <v>59</v>
      </c>
      <c r="K1153" s="8" t="s">
        <v>1265</v>
      </c>
      <c r="L1153" s="7">
        <v>7891</v>
      </c>
      <c r="M1153" s="10" t="str">
        <f t="shared" si="102"/>
        <v>CMI02100200</v>
      </c>
      <c r="N1153" s="10" t="str">
        <f t="shared" si="103"/>
        <v>SUM231200</v>
      </c>
      <c r="O1153" s="10" t="str">
        <f t="shared" si="104"/>
        <v>E</v>
      </c>
      <c r="P1153" s="10" t="str">
        <f t="shared" si="105"/>
        <v>50</v>
      </c>
      <c r="Q1153" s="10" t="str">
        <f t="shared" si="106"/>
        <v>ZSUM</v>
      </c>
      <c r="R1153" s="10" t="str">
        <f t="shared" si="107"/>
        <v>52141546</v>
      </c>
    </row>
    <row r="1154" spans="1:18" ht="25.5" hidden="1" x14ac:dyDescent="0.2">
      <c r="A1154" s="21" t="s">
        <v>1264</v>
      </c>
      <c r="B1154" s="8" t="s">
        <v>1263</v>
      </c>
      <c r="C1154" s="8" t="s">
        <v>40</v>
      </c>
      <c r="D1154" s="8" t="s">
        <v>363</v>
      </c>
      <c r="E1154" s="8" t="s">
        <v>40</v>
      </c>
      <c r="F1154" s="8" t="s">
        <v>39</v>
      </c>
      <c r="G1154" s="8" t="s">
        <v>60</v>
      </c>
      <c r="H1154" s="8" t="s">
        <v>37</v>
      </c>
      <c r="I1154" s="8" t="s">
        <v>53</v>
      </c>
      <c r="J1154" s="8" t="s">
        <v>59</v>
      </c>
      <c r="K1154" s="8" t="s">
        <v>1262</v>
      </c>
      <c r="L1154" s="7">
        <v>7892</v>
      </c>
      <c r="M1154" s="10" t="str">
        <f t="shared" si="102"/>
        <v>CMI02051300</v>
      </c>
      <c r="N1154" s="10" t="str">
        <f t="shared" si="103"/>
        <v>SUM231200</v>
      </c>
      <c r="O1154" s="10" t="str">
        <f t="shared" si="104"/>
        <v>E</v>
      </c>
      <c r="P1154" s="10" t="str">
        <f t="shared" si="105"/>
        <v>50</v>
      </c>
      <c r="Q1154" s="10" t="str">
        <f t="shared" si="106"/>
        <v>ZSUM</v>
      </c>
      <c r="R1154" s="10" t="str">
        <f t="shared" si="107"/>
        <v>56101712</v>
      </c>
    </row>
    <row r="1155" spans="1:18" ht="25.5" hidden="1" x14ac:dyDescent="0.2">
      <c r="A1155" s="21" t="s">
        <v>1261</v>
      </c>
      <c r="B1155" s="8" t="s">
        <v>1260</v>
      </c>
      <c r="C1155" s="8" t="s">
        <v>40</v>
      </c>
      <c r="D1155" s="8" t="s">
        <v>1181</v>
      </c>
      <c r="E1155" s="8" t="s">
        <v>40</v>
      </c>
      <c r="F1155" s="8" t="s">
        <v>39</v>
      </c>
      <c r="G1155" s="8" t="s">
        <v>60</v>
      </c>
      <c r="H1155" s="8" t="s">
        <v>37</v>
      </c>
      <c r="I1155" s="8" t="s">
        <v>53</v>
      </c>
      <c r="J1155" s="8" t="s">
        <v>59</v>
      </c>
      <c r="K1155" s="8" t="s">
        <v>1259</v>
      </c>
      <c r="L1155" s="7">
        <v>7893</v>
      </c>
      <c r="M1155" s="10" t="str">
        <f t="shared" ref="M1155:M1218" si="108">+LEFT(D1155,11)</f>
        <v>CMI02051600</v>
      </c>
      <c r="N1155" s="10" t="str">
        <f t="shared" ref="N1155:N1218" si="109">+LEFT(G1155,9)</f>
        <v>SUM231200</v>
      </c>
      <c r="O1155" s="10" t="str">
        <f t="shared" ref="O1155:O1218" si="110">+LEFT(H1155,1)</f>
        <v>E</v>
      </c>
      <c r="P1155" s="10" t="str">
        <f t="shared" ref="P1155:P1218" si="111">+LEFT(I1155,2)</f>
        <v>50</v>
      </c>
      <c r="Q1155" s="10" t="str">
        <f t="shared" ref="Q1155:Q1218" si="112">+LEFT(J1155,4)</f>
        <v>ZSUM</v>
      </c>
      <c r="R1155" s="10" t="str">
        <f t="shared" ref="R1155:R1218" si="113">+LEFT(K1155,8)</f>
        <v>13111300</v>
      </c>
    </row>
    <row r="1156" spans="1:18" ht="25.5" hidden="1" x14ac:dyDescent="0.2">
      <c r="A1156" s="21" t="s">
        <v>1258</v>
      </c>
      <c r="B1156" s="8" t="s">
        <v>1257</v>
      </c>
      <c r="C1156" s="8" t="s">
        <v>40</v>
      </c>
      <c r="D1156" s="8" t="s">
        <v>249</v>
      </c>
      <c r="E1156" s="8" t="s">
        <v>40</v>
      </c>
      <c r="F1156" s="8" t="s">
        <v>39</v>
      </c>
      <c r="G1156" s="8" t="s">
        <v>985</v>
      </c>
      <c r="H1156" s="8" t="s">
        <v>37</v>
      </c>
      <c r="I1156" s="8" t="s">
        <v>53</v>
      </c>
      <c r="J1156" s="8" t="s">
        <v>59</v>
      </c>
      <c r="K1156" s="8" t="s">
        <v>1234</v>
      </c>
      <c r="L1156" s="7">
        <v>7894</v>
      </c>
      <c r="M1156" s="10" t="str">
        <f t="shared" si="108"/>
        <v>CMI02090700</v>
      </c>
      <c r="N1156" s="10" t="str">
        <f t="shared" si="109"/>
        <v>SUM231600</v>
      </c>
      <c r="O1156" s="10" t="str">
        <f t="shared" si="110"/>
        <v>E</v>
      </c>
      <c r="P1156" s="10" t="str">
        <f t="shared" si="111"/>
        <v>50</v>
      </c>
      <c r="Q1156" s="10" t="str">
        <f t="shared" si="112"/>
        <v>ZSUM</v>
      </c>
      <c r="R1156" s="10" t="str">
        <f t="shared" si="113"/>
        <v>31162500</v>
      </c>
    </row>
    <row r="1157" spans="1:18" ht="25.5" x14ac:dyDescent="0.2">
      <c r="A1157" s="21" t="s">
        <v>1256</v>
      </c>
      <c r="B1157" s="8" t="s">
        <v>1255</v>
      </c>
      <c r="C1157" s="8" t="s">
        <v>40</v>
      </c>
      <c r="D1157" s="8" t="s">
        <v>216</v>
      </c>
      <c r="E1157" s="8" t="s">
        <v>40</v>
      </c>
      <c r="F1157" s="8" t="s">
        <v>39</v>
      </c>
      <c r="G1157" s="8" t="s">
        <v>60</v>
      </c>
      <c r="H1157" s="8" t="s">
        <v>37</v>
      </c>
      <c r="I1157" s="8" t="s">
        <v>53</v>
      </c>
      <c r="J1157" s="8" t="s">
        <v>59</v>
      </c>
      <c r="K1157" s="8" t="s">
        <v>1254</v>
      </c>
      <c r="L1157" s="7">
        <v>7895</v>
      </c>
      <c r="M1157" s="10" t="str">
        <f t="shared" si="108"/>
        <v>CMI02140500</v>
      </c>
      <c r="N1157" s="10" t="str">
        <f t="shared" si="109"/>
        <v>SUM231200</v>
      </c>
      <c r="O1157" s="10" t="str">
        <f t="shared" si="110"/>
        <v>E</v>
      </c>
      <c r="P1157" s="10" t="str">
        <f t="shared" si="111"/>
        <v>50</v>
      </c>
      <c r="Q1157" s="10" t="str">
        <f t="shared" si="112"/>
        <v>ZSUM</v>
      </c>
      <c r="R1157" s="10" t="str">
        <f t="shared" si="113"/>
        <v>27112838</v>
      </c>
    </row>
    <row r="1158" spans="1:18" ht="25.5" hidden="1" x14ac:dyDescent="0.2">
      <c r="A1158" s="21" t="s">
        <v>1253</v>
      </c>
      <c r="B1158" s="8" t="s">
        <v>1252</v>
      </c>
      <c r="C1158" s="8" t="s">
        <v>40</v>
      </c>
      <c r="D1158" s="8" t="s">
        <v>216</v>
      </c>
      <c r="E1158" s="8" t="s">
        <v>40</v>
      </c>
      <c r="F1158" s="8" t="s">
        <v>39</v>
      </c>
      <c r="G1158" s="8" t="s">
        <v>85</v>
      </c>
      <c r="H1158" s="8" t="s">
        <v>37</v>
      </c>
      <c r="I1158" s="8" t="s">
        <v>53</v>
      </c>
      <c r="J1158" s="8" t="s">
        <v>59</v>
      </c>
      <c r="K1158" s="8" t="s">
        <v>1251</v>
      </c>
      <c r="L1158" s="7">
        <v>7896</v>
      </c>
      <c r="M1158" s="10" t="str">
        <f t="shared" si="108"/>
        <v>CMI02140500</v>
      </c>
      <c r="N1158" s="10" t="str">
        <f t="shared" si="109"/>
        <v>SUM231500</v>
      </c>
      <c r="O1158" s="10" t="str">
        <f t="shared" si="110"/>
        <v>E</v>
      </c>
      <c r="P1158" s="10" t="str">
        <f t="shared" si="111"/>
        <v>50</v>
      </c>
      <c r="Q1158" s="10" t="str">
        <f t="shared" si="112"/>
        <v>ZSUM</v>
      </c>
      <c r="R1158" s="10" t="str">
        <f t="shared" si="113"/>
        <v>27111734</v>
      </c>
    </row>
    <row r="1159" spans="1:18" ht="25.5" hidden="1" x14ac:dyDescent="0.2">
      <c r="A1159" s="21" t="s">
        <v>1250</v>
      </c>
      <c r="B1159" s="8" t="s">
        <v>1249</v>
      </c>
      <c r="C1159" s="8" t="s">
        <v>40</v>
      </c>
      <c r="D1159" s="8" t="s">
        <v>1023</v>
      </c>
      <c r="E1159" s="8" t="s">
        <v>40</v>
      </c>
      <c r="F1159" s="8" t="s">
        <v>39</v>
      </c>
      <c r="G1159" s="8" t="s">
        <v>885</v>
      </c>
      <c r="H1159" s="8" t="s">
        <v>37</v>
      </c>
      <c r="I1159" s="8" t="s">
        <v>53</v>
      </c>
      <c r="J1159" s="8" t="s">
        <v>59</v>
      </c>
      <c r="K1159" s="8" t="s">
        <v>1248</v>
      </c>
      <c r="L1159" s="7">
        <v>7897</v>
      </c>
      <c r="M1159" s="10" t="str">
        <f t="shared" si="108"/>
        <v>CMI02050800</v>
      </c>
      <c r="N1159" s="10" t="str">
        <f t="shared" si="109"/>
        <v>SUM231000</v>
      </c>
      <c r="O1159" s="10" t="str">
        <f t="shared" si="110"/>
        <v>E</v>
      </c>
      <c r="P1159" s="10" t="str">
        <f t="shared" si="111"/>
        <v>50</v>
      </c>
      <c r="Q1159" s="10" t="str">
        <f t="shared" si="112"/>
        <v>ZSUM</v>
      </c>
      <c r="R1159" s="10" t="str">
        <f t="shared" si="113"/>
        <v>25172906</v>
      </c>
    </row>
    <row r="1160" spans="1:18" ht="25.5" hidden="1" x14ac:dyDescent="0.2">
      <c r="A1160" s="21" t="s">
        <v>1247</v>
      </c>
      <c r="B1160" s="8" t="s">
        <v>499</v>
      </c>
      <c r="C1160" s="8" t="s">
        <v>40</v>
      </c>
      <c r="D1160" s="8" t="s">
        <v>669</v>
      </c>
      <c r="E1160" s="8" t="s">
        <v>40</v>
      </c>
      <c r="F1160" s="8" t="s">
        <v>39</v>
      </c>
      <c r="G1160" s="8" t="s">
        <v>60</v>
      </c>
      <c r="H1160" s="8" t="s">
        <v>37</v>
      </c>
      <c r="I1160" s="8" t="s">
        <v>53</v>
      </c>
      <c r="J1160" s="8" t="s">
        <v>59</v>
      </c>
      <c r="K1160" s="8" t="s">
        <v>498</v>
      </c>
      <c r="L1160" s="7">
        <v>7898</v>
      </c>
      <c r="M1160" s="10" t="str">
        <f t="shared" si="108"/>
        <v>CMI02140700</v>
      </c>
      <c r="N1160" s="10" t="str">
        <f t="shared" si="109"/>
        <v>SUM231200</v>
      </c>
      <c r="O1160" s="10" t="str">
        <f t="shared" si="110"/>
        <v>E</v>
      </c>
      <c r="P1160" s="10" t="str">
        <f t="shared" si="111"/>
        <v>50</v>
      </c>
      <c r="Q1160" s="10" t="str">
        <f t="shared" si="112"/>
        <v>ZSUM</v>
      </c>
      <c r="R1160" s="10" t="str">
        <f t="shared" si="113"/>
        <v>40141742</v>
      </c>
    </row>
    <row r="1161" spans="1:18" ht="38.25" hidden="1" x14ac:dyDescent="0.2">
      <c r="A1161" s="21" t="s">
        <v>1246</v>
      </c>
      <c r="B1161" s="8" t="s">
        <v>1245</v>
      </c>
      <c r="C1161" s="8" t="s">
        <v>40</v>
      </c>
      <c r="D1161" s="8" t="s">
        <v>990</v>
      </c>
      <c r="E1161" s="8" t="s">
        <v>40</v>
      </c>
      <c r="F1161" s="8" t="s">
        <v>39</v>
      </c>
      <c r="G1161" s="8" t="s">
        <v>85</v>
      </c>
      <c r="H1161" s="8" t="s">
        <v>37</v>
      </c>
      <c r="I1161" s="8" t="s">
        <v>53</v>
      </c>
      <c r="J1161" s="8" t="s">
        <v>59</v>
      </c>
      <c r="K1161" s="8" t="s">
        <v>1244</v>
      </c>
      <c r="L1161" s="7">
        <v>7899</v>
      </c>
      <c r="M1161" s="10" t="str">
        <f t="shared" si="108"/>
        <v>CMI02090500</v>
      </c>
      <c r="N1161" s="10" t="str">
        <f t="shared" si="109"/>
        <v>SUM231500</v>
      </c>
      <c r="O1161" s="10" t="str">
        <f t="shared" si="110"/>
        <v>E</v>
      </c>
      <c r="P1161" s="10" t="str">
        <f t="shared" si="111"/>
        <v>50</v>
      </c>
      <c r="Q1161" s="10" t="str">
        <f t="shared" si="112"/>
        <v>ZSUM</v>
      </c>
      <c r="R1161" s="10" t="str">
        <f t="shared" si="113"/>
        <v>27111509</v>
      </c>
    </row>
    <row r="1162" spans="1:18" ht="25.5" hidden="1" x14ac:dyDescent="0.2">
      <c r="A1162" s="21" t="s">
        <v>1243</v>
      </c>
      <c r="B1162" s="8" t="s">
        <v>1242</v>
      </c>
      <c r="C1162" s="8" t="s">
        <v>40</v>
      </c>
      <c r="D1162" s="8" t="s">
        <v>1241</v>
      </c>
      <c r="E1162" s="8" t="s">
        <v>40</v>
      </c>
      <c r="F1162" s="8" t="s">
        <v>39</v>
      </c>
      <c r="G1162" s="8" t="s">
        <v>60</v>
      </c>
      <c r="H1162" s="8" t="s">
        <v>37</v>
      </c>
      <c r="I1162" s="8" t="s">
        <v>53</v>
      </c>
      <c r="J1162" s="8" t="s">
        <v>59</v>
      </c>
      <c r="K1162" s="8" t="s">
        <v>1240</v>
      </c>
      <c r="L1162" s="7">
        <v>7900</v>
      </c>
      <c r="M1162" s="10" t="str">
        <f t="shared" si="108"/>
        <v>CMI03110200</v>
      </c>
      <c r="N1162" s="10" t="str">
        <f t="shared" si="109"/>
        <v>SUM231200</v>
      </c>
      <c r="O1162" s="10" t="str">
        <f t="shared" si="110"/>
        <v>E</v>
      </c>
      <c r="P1162" s="10" t="str">
        <f t="shared" si="111"/>
        <v>50</v>
      </c>
      <c r="Q1162" s="10" t="str">
        <f t="shared" si="112"/>
        <v>ZSUM</v>
      </c>
      <c r="R1162" s="10" t="str">
        <f t="shared" si="113"/>
        <v>24121502</v>
      </c>
    </row>
    <row r="1163" spans="1:18" ht="38.25" hidden="1" x14ac:dyDescent="0.2">
      <c r="A1163" s="21" t="s">
        <v>1239</v>
      </c>
      <c r="B1163" s="8" t="s">
        <v>1238</v>
      </c>
      <c r="C1163" s="8" t="s">
        <v>40</v>
      </c>
      <c r="D1163" s="8" t="s">
        <v>990</v>
      </c>
      <c r="E1163" s="8" t="s">
        <v>40</v>
      </c>
      <c r="F1163" s="8" t="s">
        <v>39</v>
      </c>
      <c r="G1163" s="8" t="s">
        <v>85</v>
      </c>
      <c r="H1163" s="8" t="s">
        <v>37</v>
      </c>
      <c r="I1163" s="8" t="s">
        <v>53</v>
      </c>
      <c r="J1163" s="8" t="s">
        <v>59</v>
      </c>
      <c r="K1163" s="8" t="s">
        <v>1237</v>
      </c>
      <c r="L1163" s="7">
        <v>7901</v>
      </c>
      <c r="M1163" s="10" t="str">
        <f t="shared" si="108"/>
        <v>CMI02090500</v>
      </c>
      <c r="N1163" s="10" t="str">
        <f t="shared" si="109"/>
        <v>SUM231500</v>
      </c>
      <c r="O1163" s="10" t="str">
        <f t="shared" si="110"/>
        <v>E</v>
      </c>
      <c r="P1163" s="10" t="str">
        <f t="shared" si="111"/>
        <v>50</v>
      </c>
      <c r="Q1163" s="10" t="str">
        <f t="shared" si="112"/>
        <v>ZSUM</v>
      </c>
      <c r="R1163" s="10" t="str">
        <f t="shared" si="113"/>
        <v>27112503</v>
      </c>
    </row>
    <row r="1164" spans="1:18" ht="25.5" hidden="1" x14ac:dyDescent="0.2">
      <c r="A1164" s="21" t="s">
        <v>1236</v>
      </c>
      <c r="B1164" s="8" t="s">
        <v>1235</v>
      </c>
      <c r="C1164" s="8" t="s">
        <v>40</v>
      </c>
      <c r="D1164" s="8" t="s">
        <v>363</v>
      </c>
      <c r="E1164" s="8" t="s">
        <v>40</v>
      </c>
      <c r="F1164" s="8" t="s">
        <v>39</v>
      </c>
      <c r="G1164" s="8" t="s">
        <v>975</v>
      </c>
      <c r="H1164" s="8" t="s">
        <v>37</v>
      </c>
      <c r="I1164" s="8" t="s">
        <v>53</v>
      </c>
      <c r="J1164" s="8" t="s">
        <v>59</v>
      </c>
      <c r="K1164" s="8" t="s">
        <v>1234</v>
      </c>
      <c r="L1164" s="7">
        <v>7902</v>
      </c>
      <c r="M1164" s="10" t="str">
        <f t="shared" si="108"/>
        <v>CMI02051300</v>
      </c>
      <c r="N1164" s="10" t="str">
        <f t="shared" si="109"/>
        <v>SUM231100</v>
      </c>
      <c r="O1164" s="10" t="str">
        <f t="shared" si="110"/>
        <v>E</v>
      </c>
      <c r="P1164" s="10" t="str">
        <f t="shared" si="111"/>
        <v>50</v>
      </c>
      <c r="Q1164" s="10" t="str">
        <f t="shared" si="112"/>
        <v>ZSUM</v>
      </c>
      <c r="R1164" s="10" t="str">
        <f t="shared" si="113"/>
        <v>31162500</v>
      </c>
    </row>
    <row r="1165" spans="1:18" ht="38.25" hidden="1" x14ac:dyDescent="0.2">
      <c r="A1165" s="21" t="s">
        <v>1233</v>
      </c>
      <c r="B1165" s="8" t="s">
        <v>1232</v>
      </c>
      <c r="C1165" s="8" t="s">
        <v>40</v>
      </c>
      <c r="D1165" s="8" t="s">
        <v>990</v>
      </c>
      <c r="E1165" s="7">
        <v>6</v>
      </c>
      <c r="F1165" s="8" t="s">
        <v>39</v>
      </c>
      <c r="G1165" s="8" t="s">
        <v>60</v>
      </c>
      <c r="H1165" s="8" t="s">
        <v>37</v>
      </c>
      <c r="I1165" s="8" t="s">
        <v>53</v>
      </c>
      <c r="J1165" s="8" t="s">
        <v>59</v>
      </c>
      <c r="K1165" s="8" t="s">
        <v>1231</v>
      </c>
      <c r="L1165" s="7">
        <v>7903</v>
      </c>
      <c r="M1165" s="10" t="str">
        <f t="shared" si="108"/>
        <v>CMI02090500</v>
      </c>
      <c r="N1165" s="10" t="str">
        <f t="shared" si="109"/>
        <v>SUM231200</v>
      </c>
      <c r="O1165" s="10" t="str">
        <f t="shared" si="110"/>
        <v>E</v>
      </c>
      <c r="P1165" s="10" t="str">
        <f t="shared" si="111"/>
        <v>50</v>
      </c>
      <c r="Q1165" s="10" t="str">
        <f t="shared" si="112"/>
        <v>ZSUM</v>
      </c>
      <c r="R1165" s="10" t="str">
        <f t="shared" si="113"/>
        <v>27112841</v>
      </c>
    </row>
    <row r="1166" spans="1:18" ht="38.25" hidden="1" x14ac:dyDescent="0.2">
      <c r="A1166" s="21" t="s">
        <v>1230</v>
      </c>
      <c r="B1166" s="8" t="s">
        <v>1229</v>
      </c>
      <c r="C1166" s="8" t="s">
        <v>40</v>
      </c>
      <c r="D1166" s="8" t="s">
        <v>990</v>
      </c>
      <c r="E1166" s="8" t="s">
        <v>40</v>
      </c>
      <c r="F1166" s="8" t="s">
        <v>39</v>
      </c>
      <c r="G1166" s="8" t="s">
        <v>60</v>
      </c>
      <c r="H1166" s="8" t="s">
        <v>37</v>
      </c>
      <c r="I1166" s="8" t="s">
        <v>53</v>
      </c>
      <c r="J1166" s="8" t="s">
        <v>59</v>
      </c>
      <c r="K1166" s="8" t="s">
        <v>1228</v>
      </c>
      <c r="L1166" s="7">
        <v>7904</v>
      </c>
      <c r="M1166" s="10" t="str">
        <f t="shared" si="108"/>
        <v>CMI02090500</v>
      </c>
      <c r="N1166" s="10" t="str">
        <f t="shared" si="109"/>
        <v>SUM231200</v>
      </c>
      <c r="O1166" s="10" t="str">
        <f t="shared" si="110"/>
        <v>E</v>
      </c>
      <c r="P1166" s="10" t="str">
        <f t="shared" si="111"/>
        <v>50</v>
      </c>
      <c r="Q1166" s="10" t="str">
        <f t="shared" si="112"/>
        <v>ZSUM</v>
      </c>
      <c r="R1166" s="10" t="str">
        <f t="shared" si="113"/>
        <v>27112842</v>
      </c>
    </row>
    <row r="1167" spans="1:18" ht="25.5" hidden="1" x14ac:dyDescent="0.2">
      <c r="A1167" s="21" t="s">
        <v>1227</v>
      </c>
      <c r="B1167" s="8" t="s">
        <v>1226</v>
      </c>
      <c r="C1167" s="8" t="s">
        <v>40</v>
      </c>
      <c r="D1167" s="8" t="s">
        <v>216</v>
      </c>
      <c r="E1167" s="8" t="s">
        <v>40</v>
      </c>
      <c r="F1167" s="8" t="s">
        <v>39</v>
      </c>
      <c r="G1167" s="8" t="s">
        <v>60</v>
      </c>
      <c r="H1167" s="8" t="s">
        <v>37</v>
      </c>
      <c r="I1167" s="8" t="s">
        <v>53</v>
      </c>
      <c r="J1167" s="8" t="s">
        <v>59</v>
      </c>
      <c r="K1167" s="8" t="s">
        <v>1225</v>
      </c>
      <c r="L1167" s="7">
        <v>7905</v>
      </c>
      <c r="M1167" s="10" t="str">
        <f t="shared" si="108"/>
        <v>CMI02140500</v>
      </c>
      <c r="N1167" s="10" t="str">
        <f t="shared" si="109"/>
        <v>SUM231200</v>
      </c>
      <c r="O1167" s="10" t="str">
        <f t="shared" si="110"/>
        <v>E</v>
      </c>
      <c r="P1167" s="10" t="str">
        <f t="shared" si="111"/>
        <v>50</v>
      </c>
      <c r="Q1167" s="10" t="str">
        <f t="shared" si="112"/>
        <v>ZSUM</v>
      </c>
      <c r="R1167" s="10" t="str">
        <f t="shared" si="113"/>
        <v>27112802</v>
      </c>
    </row>
    <row r="1168" spans="1:18" ht="25.5" hidden="1" x14ac:dyDescent="0.2">
      <c r="A1168" s="21" t="s">
        <v>1224</v>
      </c>
      <c r="B1168" s="8" t="s">
        <v>1223</v>
      </c>
      <c r="C1168" s="8" t="s">
        <v>40</v>
      </c>
      <c r="D1168" s="8" t="s">
        <v>216</v>
      </c>
      <c r="E1168" s="8" t="s">
        <v>40</v>
      </c>
      <c r="F1168" s="8" t="s">
        <v>39</v>
      </c>
      <c r="G1168" s="8" t="s">
        <v>60</v>
      </c>
      <c r="H1168" s="8" t="s">
        <v>37</v>
      </c>
      <c r="I1168" s="8" t="s">
        <v>53</v>
      </c>
      <c r="J1168" s="8" t="s">
        <v>59</v>
      </c>
      <c r="K1168" s="8" t="s">
        <v>1220</v>
      </c>
      <c r="L1168" s="7">
        <v>7906</v>
      </c>
      <c r="M1168" s="10" t="str">
        <f t="shared" si="108"/>
        <v>CMI02140500</v>
      </c>
      <c r="N1168" s="10" t="str">
        <f t="shared" si="109"/>
        <v>SUM231200</v>
      </c>
      <c r="O1168" s="10" t="str">
        <f t="shared" si="110"/>
        <v>E</v>
      </c>
      <c r="P1168" s="10" t="str">
        <f t="shared" si="111"/>
        <v>50</v>
      </c>
      <c r="Q1168" s="10" t="str">
        <f t="shared" si="112"/>
        <v>ZSUM</v>
      </c>
      <c r="R1168" s="10" t="str">
        <f t="shared" si="113"/>
        <v>47131605</v>
      </c>
    </row>
    <row r="1169" spans="1:18" ht="25.5" hidden="1" x14ac:dyDescent="0.2">
      <c r="A1169" s="21" t="s">
        <v>1222</v>
      </c>
      <c r="B1169" s="8" t="s">
        <v>1221</v>
      </c>
      <c r="C1169" s="8" t="s">
        <v>40</v>
      </c>
      <c r="D1169" s="8" t="s">
        <v>216</v>
      </c>
      <c r="E1169" s="8" t="s">
        <v>40</v>
      </c>
      <c r="F1169" s="8" t="s">
        <v>39</v>
      </c>
      <c r="G1169" s="8" t="s">
        <v>60</v>
      </c>
      <c r="H1169" s="8" t="s">
        <v>37</v>
      </c>
      <c r="I1169" s="8" t="s">
        <v>53</v>
      </c>
      <c r="J1169" s="8" t="s">
        <v>59</v>
      </c>
      <c r="K1169" s="8" t="s">
        <v>1220</v>
      </c>
      <c r="L1169" s="7">
        <v>7907</v>
      </c>
      <c r="M1169" s="10" t="str">
        <f t="shared" si="108"/>
        <v>CMI02140500</v>
      </c>
      <c r="N1169" s="10" t="str">
        <f t="shared" si="109"/>
        <v>SUM231200</v>
      </c>
      <c r="O1169" s="10" t="str">
        <f t="shared" si="110"/>
        <v>E</v>
      </c>
      <c r="P1169" s="10" t="str">
        <f t="shared" si="111"/>
        <v>50</v>
      </c>
      <c r="Q1169" s="10" t="str">
        <f t="shared" si="112"/>
        <v>ZSUM</v>
      </c>
      <c r="R1169" s="10" t="str">
        <f t="shared" si="113"/>
        <v>47131605</v>
      </c>
    </row>
    <row r="1170" spans="1:18" ht="25.5" hidden="1" x14ac:dyDescent="0.2">
      <c r="A1170" s="21" t="s">
        <v>1219</v>
      </c>
      <c r="B1170" s="8" t="s">
        <v>1218</v>
      </c>
      <c r="C1170" s="8" t="s">
        <v>40</v>
      </c>
      <c r="D1170" s="8" t="s">
        <v>434</v>
      </c>
      <c r="E1170" s="8" t="s">
        <v>40</v>
      </c>
      <c r="F1170" s="8" t="s">
        <v>39</v>
      </c>
      <c r="G1170" s="8" t="s">
        <v>60</v>
      </c>
      <c r="H1170" s="8" t="s">
        <v>37</v>
      </c>
      <c r="I1170" s="8" t="s">
        <v>53</v>
      </c>
      <c r="J1170" s="8" t="s">
        <v>59</v>
      </c>
      <c r="K1170" s="8" t="s">
        <v>1217</v>
      </c>
      <c r="L1170" s="7">
        <v>7908</v>
      </c>
      <c r="M1170" s="10" t="str">
        <f t="shared" si="108"/>
        <v>CMI02130300</v>
      </c>
      <c r="N1170" s="10" t="str">
        <f t="shared" si="109"/>
        <v>SUM231200</v>
      </c>
      <c r="O1170" s="10" t="str">
        <f t="shared" si="110"/>
        <v>E</v>
      </c>
      <c r="P1170" s="10" t="str">
        <f t="shared" si="111"/>
        <v>50</v>
      </c>
      <c r="Q1170" s="10" t="str">
        <f t="shared" si="112"/>
        <v>ZSUM</v>
      </c>
      <c r="R1170" s="10" t="str">
        <f t="shared" si="113"/>
        <v>47121804</v>
      </c>
    </row>
    <row r="1171" spans="1:18" ht="25.5" hidden="1" x14ac:dyDescent="0.2">
      <c r="A1171" s="21" t="s">
        <v>1216</v>
      </c>
      <c r="B1171" s="8" t="s">
        <v>1215</v>
      </c>
      <c r="C1171" s="8" t="s">
        <v>40</v>
      </c>
      <c r="D1171" s="8" t="s">
        <v>249</v>
      </c>
      <c r="E1171" s="8" t="s">
        <v>40</v>
      </c>
      <c r="F1171" s="8" t="s">
        <v>39</v>
      </c>
      <c r="G1171" s="8" t="s">
        <v>885</v>
      </c>
      <c r="H1171" s="8" t="s">
        <v>37</v>
      </c>
      <c r="I1171" s="8" t="s">
        <v>53</v>
      </c>
      <c r="J1171" s="8" t="s">
        <v>59</v>
      </c>
      <c r="K1171" s="8" t="s">
        <v>1214</v>
      </c>
      <c r="L1171" s="7">
        <v>7909</v>
      </c>
      <c r="M1171" s="10" t="str">
        <f t="shared" si="108"/>
        <v>CMI02090700</v>
      </c>
      <c r="N1171" s="10" t="str">
        <f t="shared" si="109"/>
        <v>SUM231000</v>
      </c>
      <c r="O1171" s="10" t="str">
        <f t="shared" si="110"/>
        <v>E</v>
      </c>
      <c r="P1171" s="10" t="str">
        <f t="shared" si="111"/>
        <v>50</v>
      </c>
      <c r="Q1171" s="10" t="str">
        <f t="shared" si="112"/>
        <v>ZSUM</v>
      </c>
      <c r="R1171" s="10" t="str">
        <f t="shared" si="113"/>
        <v>31162900</v>
      </c>
    </row>
    <row r="1172" spans="1:18" ht="25.5" hidden="1" x14ac:dyDescent="0.2">
      <c r="A1172" s="21" t="s">
        <v>1213</v>
      </c>
      <c r="B1172" s="8" t="s">
        <v>1212</v>
      </c>
      <c r="C1172" s="8" t="s">
        <v>40</v>
      </c>
      <c r="D1172" s="8" t="s">
        <v>1181</v>
      </c>
      <c r="E1172" s="8" t="s">
        <v>40</v>
      </c>
      <c r="F1172" s="8" t="s">
        <v>39</v>
      </c>
      <c r="G1172" s="8" t="s">
        <v>60</v>
      </c>
      <c r="H1172" s="8" t="s">
        <v>37</v>
      </c>
      <c r="I1172" s="8" t="s">
        <v>53</v>
      </c>
      <c r="J1172" s="8" t="s">
        <v>59</v>
      </c>
      <c r="K1172" s="8" t="s">
        <v>1211</v>
      </c>
      <c r="L1172" s="7">
        <v>7910</v>
      </c>
      <c r="M1172" s="10" t="str">
        <f t="shared" si="108"/>
        <v>CMI02051600</v>
      </c>
      <c r="N1172" s="10" t="str">
        <f t="shared" si="109"/>
        <v>SUM231200</v>
      </c>
      <c r="O1172" s="10" t="str">
        <f t="shared" si="110"/>
        <v>E</v>
      </c>
      <c r="P1172" s="10" t="str">
        <f t="shared" si="111"/>
        <v>50</v>
      </c>
      <c r="Q1172" s="10" t="str">
        <f t="shared" si="112"/>
        <v>ZSUM</v>
      </c>
      <c r="R1172" s="10" t="str">
        <f t="shared" si="113"/>
        <v>23131501</v>
      </c>
    </row>
    <row r="1173" spans="1:18" ht="38.25" hidden="1" x14ac:dyDescent="0.2">
      <c r="A1173" s="21" t="s">
        <v>1210</v>
      </c>
      <c r="B1173" s="8" t="s">
        <v>1209</v>
      </c>
      <c r="C1173" s="8" t="s">
        <v>40</v>
      </c>
      <c r="D1173" s="8" t="s">
        <v>969</v>
      </c>
      <c r="E1173" s="8" t="s">
        <v>40</v>
      </c>
      <c r="F1173" s="8" t="s">
        <v>39</v>
      </c>
      <c r="G1173" s="8" t="s">
        <v>885</v>
      </c>
      <c r="H1173" s="8" t="s">
        <v>37</v>
      </c>
      <c r="I1173" s="8" t="s">
        <v>53</v>
      </c>
      <c r="J1173" s="8" t="s">
        <v>59</v>
      </c>
      <c r="K1173" s="8" t="s">
        <v>1208</v>
      </c>
      <c r="L1173" s="7">
        <v>7911</v>
      </c>
      <c r="M1173" s="10" t="str">
        <f t="shared" si="108"/>
        <v>CMI02051200</v>
      </c>
      <c r="N1173" s="10" t="str">
        <f t="shared" si="109"/>
        <v>SUM231000</v>
      </c>
      <c r="O1173" s="10" t="str">
        <f t="shared" si="110"/>
        <v>E</v>
      </c>
      <c r="P1173" s="10" t="str">
        <f t="shared" si="111"/>
        <v>50</v>
      </c>
      <c r="Q1173" s="10" t="str">
        <f t="shared" si="112"/>
        <v>ZSUM</v>
      </c>
      <c r="R1173" s="10" t="str">
        <f t="shared" si="113"/>
        <v>39121400</v>
      </c>
    </row>
    <row r="1174" spans="1:18" ht="25.5" hidden="1" x14ac:dyDescent="0.2">
      <c r="A1174" s="21" t="s">
        <v>1207</v>
      </c>
      <c r="B1174" s="8" t="s">
        <v>1206</v>
      </c>
      <c r="C1174" s="8" t="s">
        <v>40</v>
      </c>
      <c r="D1174" s="8" t="s">
        <v>969</v>
      </c>
      <c r="E1174" s="8" t="s">
        <v>40</v>
      </c>
      <c r="F1174" s="8" t="s">
        <v>39</v>
      </c>
      <c r="G1174" s="8" t="s">
        <v>885</v>
      </c>
      <c r="H1174" s="8" t="s">
        <v>37</v>
      </c>
      <c r="I1174" s="8" t="s">
        <v>53</v>
      </c>
      <c r="J1174" s="8" t="s">
        <v>59</v>
      </c>
      <c r="K1174" s="8" t="s">
        <v>1205</v>
      </c>
      <c r="L1174" s="7">
        <v>7912</v>
      </c>
      <c r="M1174" s="10" t="str">
        <f t="shared" si="108"/>
        <v>CMI02051200</v>
      </c>
      <c r="N1174" s="10" t="str">
        <f t="shared" si="109"/>
        <v>SUM231000</v>
      </c>
      <c r="O1174" s="10" t="str">
        <f t="shared" si="110"/>
        <v>E</v>
      </c>
      <c r="P1174" s="10" t="str">
        <f t="shared" si="111"/>
        <v>50</v>
      </c>
      <c r="Q1174" s="10" t="str">
        <f t="shared" si="112"/>
        <v>ZSUM</v>
      </c>
      <c r="R1174" s="10" t="str">
        <f t="shared" si="113"/>
        <v>39121440</v>
      </c>
    </row>
    <row r="1175" spans="1:18" ht="25.5" hidden="1" x14ac:dyDescent="0.2">
      <c r="A1175" s="21" t="s">
        <v>1204</v>
      </c>
      <c r="B1175" s="8" t="s">
        <v>1203</v>
      </c>
      <c r="C1175" s="8" t="s">
        <v>40</v>
      </c>
      <c r="D1175" s="8" t="s">
        <v>249</v>
      </c>
      <c r="E1175" s="8" t="s">
        <v>40</v>
      </c>
      <c r="F1175" s="8" t="s">
        <v>39</v>
      </c>
      <c r="G1175" s="8" t="s">
        <v>885</v>
      </c>
      <c r="H1175" s="8" t="s">
        <v>37</v>
      </c>
      <c r="I1175" s="8" t="s">
        <v>53</v>
      </c>
      <c r="J1175" s="8" t="s">
        <v>59</v>
      </c>
      <c r="K1175" s="8" t="s">
        <v>1202</v>
      </c>
      <c r="L1175" s="7">
        <v>7913</v>
      </c>
      <c r="M1175" s="10" t="str">
        <f t="shared" si="108"/>
        <v>CMI02090700</v>
      </c>
      <c r="N1175" s="10" t="str">
        <f t="shared" si="109"/>
        <v>SUM231000</v>
      </c>
      <c r="O1175" s="10" t="str">
        <f t="shared" si="110"/>
        <v>E</v>
      </c>
      <c r="P1175" s="10" t="str">
        <f t="shared" si="111"/>
        <v>50</v>
      </c>
      <c r="Q1175" s="10" t="str">
        <f t="shared" si="112"/>
        <v>ZSUM</v>
      </c>
      <c r="R1175" s="10" t="str">
        <f t="shared" si="113"/>
        <v>40141734</v>
      </c>
    </row>
    <row r="1176" spans="1:18" ht="25.5" hidden="1" x14ac:dyDescent="0.2">
      <c r="A1176" s="21" t="s">
        <v>1201</v>
      </c>
      <c r="B1176" s="8" t="s">
        <v>1200</v>
      </c>
      <c r="C1176" s="8" t="s">
        <v>40</v>
      </c>
      <c r="D1176" s="8" t="s">
        <v>216</v>
      </c>
      <c r="E1176" s="8" t="s">
        <v>40</v>
      </c>
      <c r="F1176" s="8" t="s">
        <v>39</v>
      </c>
      <c r="G1176" s="8" t="s">
        <v>60</v>
      </c>
      <c r="H1176" s="8" t="s">
        <v>37</v>
      </c>
      <c r="I1176" s="8" t="s">
        <v>53</v>
      </c>
      <c r="J1176" s="8" t="s">
        <v>59</v>
      </c>
      <c r="K1176" s="8" t="s">
        <v>1199</v>
      </c>
      <c r="L1176" s="7">
        <v>7914</v>
      </c>
      <c r="M1176" s="10" t="str">
        <f t="shared" si="108"/>
        <v>CMI02140500</v>
      </c>
      <c r="N1176" s="10" t="str">
        <f t="shared" si="109"/>
        <v>SUM231200</v>
      </c>
      <c r="O1176" s="10" t="str">
        <f t="shared" si="110"/>
        <v>E</v>
      </c>
      <c r="P1176" s="10" t="str">
        <f t="shared" si="111"/>
        <v>50</v>
      </c>
      <c r="Q1176" s="10" t="str">
        <f t="shared" si="112"/>
        <v>ZSUM</v>
      </c>
      <c r="R1176" s="10" t="str">
        <f t="shared" si="113"/>
        <v>39122113</v>
      </c>
    </row>
    <row r="1177" spans="1:18" ht="25.5" hidden="1" x14ac:dyDescent="0.2">
      <c r="A1177" s="21" t="s">
        <v>1198</v>
      </c>
      <c r="B1177" s="8" t="s">
        <v>1197</v>
      </c>
      <c r="C1177" s="8" t="s">
        <v>40</v>
      </c>
      <c r="D1177" s="8" t="s">
        <v>216</v>
      </c>
      <c r="E1177" s="8" t="s">
        <v>40</v>
      </c>
      <c r="F1177" s="8" t="s">
        <v>39</v>
      </c>
      <c r="G1177" s="8" t="s">
        <v>60</v>
      </c>
      <c r="H1177" s="8" t="s">
        <v>37</v>
      </c>
      <c r="I1177" s="8" t="s">
        <v>53</v>
      </c>
      <c r="J1177" s="8" t="s">
        <v>59</v>
      </c>
      <c r="K1177" s="8" t="s">
        <v>1196</v>
      </c>
      <c r="L1177" s="7">
        <v>7915</v>
      </c>
      <c r="M1177" s="10" t="str">
        <f t="shared" si="108"/>
        <v>CMI02140500</v>
      </c>
      <c r="N1177" s="10" t="str">
        <f t="shared" si="109"/>
        <v>SUM231200</v>
      </c>
      <c r="O1177" s="10" t="str">
        <f t="shared" si="110"/>
        <v>E</v>
      </c>
      <c r="P1177" s="10" t="str">
        <f t="shared" si="111"/>
        <v>50</v>
      </c>
      <c r="Q1177" s="10" t="str">
        <f t="shared" si="112"/>
        <v>ZSUM</v>
      </c>
      <c r="R1177" s="10" t="str">
        <f t="shared" si="113"/>
        <v>27111756</v>
      </c>
    </row>
    <row r="1178" spans="1:18" ht="25.5" hidden="1" x14ac:dyDescent="0.2">
      <c r="A1178" s="21" t="s">
        <v>1195</v>
      </c>
      <c r="B1178" s="8" t="s">
        <v>1194</v>
      </c>
      <c r="C1178" s="8" t="s">
        <v>40</v>
      </c>
      <c r="D1178" s="8" t="s">
        <v>216</v>
      </c>
      <c r="E1178" s="8" t="s">
        <v>40</v>
      </c>
      <c r="F1178" s="8" t="s">
        <v>39</v>
      </c>
      <c r="G1178" s="8" t="s">
        <v>85</v>
      </c>
      <c r="H1178" s="8" t="s">
        <v>37</v>
      </c>
      <c r="I1178" s="8" t="s">
        <v>36</v>
      </c>
      <c r="J1178" s="8" t="s">
        <v>59</v>
      </c>
      <c r="K1178" s="8" t="s">
        <v>1193</v>
      </c>
      <c r="L1178" s="7">
        <v>7916</v>
      </c>
      <c r="M1178" s="10" t="str">
        <f t="shared" si="108"/>
        <v>CMI02140500</v>
      </c>
      <c r="N1178" s="10" t="str">
        <f t="shared" si="109"/>
        <v>SUM231500</v>
      </c>
      <c r="O1178" s="10" t="str">
        <f t="shared" si="110"/>
        <v>E</v>
      </c>
      <c r="P1178" s="10" t="str">
        <f t="shared" si="111"/>
        <v>10</v>
      </c>
      <c r="Q1178" s="10" t="str">
        <f t="shared" si="112"/>
        <v>ZSUM</v>
      </c>
      <c r="R1178" s="10" t="str">
        <f t="shared" si="113"/>
        <v>27111511</v>
      </c>
    </row>
    <row r="1179" spans="1:18" ht="25.5" hidden="1" x14ac:dyDescent="0.2">
      <c r="A1179" s="21" t="s">
        <v>1192</v>
      </c>
      <c r="B1179" s="8" t="s">
        <v>1191</v>
      </c>
      <c r="C1179" s="8" t="s">
        <v>40</v>
      </c>
      <c r="D1179" s="8" t="s">
        <v>249</v>
      </c>
      <c r="E1179" s="8" t="s">
        <v>40</v>
      </c>
      <c r="F1179" s="8" t="s">
        <v>39</v>
      </c>
      <c r="G1179" s="8" t="s">
        <v>975</v>
      </c>
      <c r="H1179" s="8" t="s">
        <v>37</v>
      </c>
      <c r="I1179" s="8" t="s">
        <v>53</v>
      </c>
      <c r="J1179" s="8" t="s">
        <v>59</v>
      </c>
      <c r="K1179" s="8" t="s">
        <v>1190</v>
      </c>
      <c r="L1179" s="7">
        <v>7917</v>
      </c>
      <c r="M1179" s="10" t="str">
        <f t="shared" si="108"/>
        <v>CMI02090700</v>
      </c>
      <c r="N1179" s="10" t="str">
        <f t="shared" si="109"/>
        <v>SUM231100</v>
      </c>
      <c r="O1179" s="10" t="str">
        <f t="shared" si="110"/>
        <v>E</v>
      </c>
      <c r="P1179" s="10" t="str">
        <f t="shared" si="111"/>
        <v>50</v>
      </c>
      <c r="Q1179" s="10" t="str">
        <f t="shared" si="112"/>
        <v>ZSUM</v>
      </c>
      <c r="R1179" s="10" t="str">
        <f t="shared" si="113"/>
        <v>31242204</v>
      </c>
    </row>
    <row r="1180" spans="1:18" ht="38.25" hidden="1" x14ac:dyDescent="0.2">
      <c r="A1180" s="21" t="s">
        <v>1189</v>
      </c>
      <c r="B1180" s="8" t="s">
        <v>1188</v>
      </c>
      <c r="C1180" s="8" t="s">
        <v>40</v>
      </c>
      <c r="D1180" s="8" t="s">
        <v>86</v>
      </c>
      <c r="E1180" s="8" t="s">
        <v>40</v>
      </c>
      <c r="F1180" s="8" t="s">
        <v>39</v>
      </c>
      <c r="G1180" s="8" t="s">
        <v>208</v>
      </c>
      <c r="H1180" s="8" t="s">
        <v>37</v>
      </c>
      <c r="I1180" s="8" t="s">
        <v>53</v>
      </c>
      <c r="J1180" s="8" t="s">
        <v>59</v>
      </c>
      <c r="K1180" s="8" t="s">
        <v>1187</v>
      </c>
      <c r="L1180" s="7">
        <v>7918</v>
      </c>
      <c r="M1180" s="10" t="str">
        <f t="shared" si="108"/>
        <v>CMI02160300</v>
      </c>
      <c r="N1180" s="10" t="str">
        <f t="shared" si="109"/>
        <v>SUM301000</v>
      </c>
      <c r="O1180" s="10" t="str">
        <f t="shared" si="110"/>
        <v>E</v>
      </c>
      <c r="P1180" s="10" t="str">
        <f t="shared" si="111"/>
        <v>50</v>
      </c>
      <c r="Q1180" s="10" t="str">
        <f t="shared" si="112"/>
        <v>ZSUM</v>
      </c>
      <c r="R1180" s="10" t="str">
        <f t="shared" si="113"/>
        <v>43202005</v>
      </c>
    </row>
    <row r="1181" spans="1:18" ht="25.5" hidden="1" x14ac:dyDescent="0.2">
      <c r="A1181" s="21" t="s">
        <v>1186</v>
      </c>
      <c r="B1181" s="8" t="s">
        <v>1185</v>
      </c>
      <c r="C1181" s="8" t="s">
        <v>40</v>
      </c>
      <c r="D1181" s="8" t="s">
        <v>216</v>
      </c>
      <c r="E1181" s="8" t="s">
        <v>40</v>
      </c>
      <c r="F1181" s="8" t="s">
        <v>39</v>
      </c>
      <c r="G1181" s="8" t="s">
        <v>85</v>
      </c>
      <c r="H1181" s="8" t="s">
        <v>37</v>
      </c>
      <c r="I1181" s="8" t="s">
        <v>53</v>
      </c>
      <c r="J1181" s="8" t="s">
        <v>59</v>
      </c>
      <c r="K1181" s="8" t="s">
        <v>1184</v>
      </c>
      <c r="L1181" s="7">
        <v>7919</v>
      </c>
      <c r="M1181" s="10" t="str">
        <f t="shared" si="108"/>
        <v>CMI02140500</v>
      </c>
      <c r="N1181" s="10" t="str">
        <f t="shared" si="109"/>
        <v>SUM231500</v>
      </c>
      <c r="O1181" s="10" t="str">
        <f t="shared" si="110"/>
        <v>E</v>
      </c>
      <c r="P1181" s="10" t="str">
        <f t="shared" si="111"/>
        <v>50</v>
      </c>
      <c r="Q1181" s="10" t="str">
        <f t="shared" si="112"/>
        <v>ZSUM</v>
      </c>
      <c r="R1181" s="10" t="str">
        <f t="shared" si="113"/>
        <v>27111702</v>
      </c>
    </row>
    <row r="1182" spans="1:18" ht="25.5" hidden="1" x14ac:dyDescent="0.2">
      <c r="A1182" s="21" t="s">
        <v>1183</v>
      </c>
      <c r="B1182" s="8" t="s">
        <v>1182</v>
      </c>
      <c r="C1182" s="8" t="s">
        <v>40</v>
      </c>
      <c r="D1182" s="8" t="s">
        <v>1181</v>
      </c>
      <c r="E1182" s="8" t="s">
        <v>40</v>
      </c>
      <c r="F1182" s="8" t="s">
        <v>39</v>
      </c>
      <c r="G1182" s="8" t="s">
        <v>60</v>
      </c>
      <c r="H1182" s="8" t="s">
        <v>37</v>
      </c>
      <c r="I1182" s="8" t="s">
        <v>53</v>
      </c>
      <c r="J1182" s="8" t="s">
        <v>59</v>
      </c>
      <c r="K1182" s="8" t="s">
        <v>1180</v>
      </c>
      <c r="L1182" s="7">
        <v>7920</v>
      </c>
      <c r="M1182" s="10" t="str">
        <f t="shared" si="108"/>
        <v>CMI02051600</v>
      </c>
      <c r="N1182" s="10" t="str">
        <f t="shared" si="109"/>
        <v>SUM231200</v>
      </c>
      <c r="O1182" s="10" t="str">
        <f t="shared" si="110"/>
        <v>E</v>
      </c>
      <c r="P1182" s="10" t="str">
        <f t="shared" si="111"/>
        <v>50</v>
      </c>
      <c r="Q1182" s="10" t="str">
        <f t="shared" si="112"/>
        <v>ZSUM</v>
      </c>
      <c r="R1182" s="10" t="str">
        <f t="shared" si="113"/>
        <v>12171500</v>
      </c>
    </row>
    <row r="1183" spans="1:18" ht="25.5" hidden="1" x14ac:dyDescent="0.2">
      <c r="A1183" s="21" t="s">
        <v>1179</v>
      </c>
      <c r="B1183" s="8" t="s">
        <v>1178</v>
      </c>
      <c r="C1183" s="8" t="s">
        <v>40</v>
      </c>
      <c r="D1183" s="8" t="s">
        <v>1177</v>
      </c>
      <c r="E1183" s="8" t="s">
        <v>40</v>
      </c>
      <c r="F1183" s="8" t="s">
        <v>39</v>
      </c>
      <c r="G1183" s="8" t="s">
        <v>60</v>
      </c>
      <c r="H1183" s="8" t="s">
        <v>37</v>
      </c>
      <c r="I1183" s="8" t="s">
        <v>53</v>
      </c>
      <c r="J1183" s="8" t="s">
        <v>59</v>
      </c>
      <c r="K1183" s="8" t="s">
        <v>1176</v>
      </c>
      <c r="L1183" s="7">
        <v>7921</v>
      </c>
      <c r="M1183" s="10" t="str">
        <f t="shared" si="108"/>
        <v>CMI02051400</v>
      </c>
      <c r="N1183" s="10" t="str">
        <f t="shared" si="109"/>
        <v>SUM231200</v>
      </c>
      <c r="O1183" s="10" t="str">
        <f t="shared" si="110"/>
        <v>E</v>
      </c>
      <c r="P1183" s="10" t="str">
        <f t="shared" si="111"/>
        <v>50</v>
      </c>
      <c r="Q1183" s="10" t="str">
        <f t="shared" si="112"/>
        <v>ZSUM</v>
      </c>
      <c r="R1183" s="10" t="str">
        <f t="shared" si="113"/>
        <v>30101800</v>
      </c>
    </row>
    <row r="1184" spans="1:18" ht="25.5" hidden="1" x14ac:dyDescent="0.2">
      <c r="A1184" s="21" t="s">
        <v>1175</v>
      </c>
      <c r="B1184" s="8" t="s">
        <v>1174</v>
      </c>
      <c r="C1184" s="8" t="s">
        <v>40</v>
      </c>
      <c r="D1184" s="8" t="s">
        <v>216</v>
      </c>
      <c r="E1184" s="8" t="s">
        <v>40</v>
      </c>
      <c r="F1184" s="8" t="s">
        <v>39</v>
      </c>
      <c r="G1184" s="8" t="s">
        <v>631</v>
      </c>
      <c r="H1184" s="8" t="s">
        <v>37</v>
      </c>
      <c r="I1184" s="8" t="s">
        <v>53</v>
      </c>
      <c r="J1184" s="8" t="s">
        <v>59</v>
      </c>
      <c r="K1184" s="8" t="s">
        <v>981</v>
      </c>
      <c r="L1184" s="7">
        <v>7922</v>
      </c>
      <c r="M1184" s="10" t="str">
        <f t="shared" si="108"/>
        <v>CMI02140500</v>
      </c>
      <c r="N1184" s="10" t="str">
        <f t="shared" si="109"/>
        <v>SUM231300</v>
      </c>
      <c r="O1184" s="10" t="str">
        <f t="shared" si="110"/>
        <v>E</v>
      </c>
      <c r="P1184" s="10" t="str">
        <f t="shared" si="111"/>
        <v>50</v>
      </c>
      <c r="Q1184" s="10" t="str">
        <f t="shared" si="112"/>
        <v>ZSUM</v>
      </c>
      <c r="R1184" s="10" t="str">
        <f t="shared" si="113"/>
        <v>41111621</v>
      </c>
    </row>
    <row r="1185" spans="1:18" ht="25.5" hidden="1" x14ac:dyDescent="0.2">
      <c r="A1185" s="21" t="s">
        <v>1173</v>
      </c>
      <c r="B1185" s="8" t="s">
        <v>1172</v>
      </c>
      <c r="C1185" s="8" t="s">
        <v>40</v>
      </c>
      <c r="D1185" s="8" t="s">
        <v>212</v>
      </c>
      <c r="E1185" s="8" t="s">
        <v>40</v>
      </c>
      <c r="F1185" s="8" t="s">
        <v>39</v>
      </c>
      <c r="G1185" s="8" t="s">
        <v>631</v>
      </c>
      <c r="H1185" s="8" t="s">
        <v>37</v>
      </c>
      <c r="I1185" s="8" t="s">
        <v>53</v>
      </c>
      <c r="J1185" s="8" t="s">
        <v>59</v>
      </c>
      <c r="K1185" s="8" t="s">
        <v>1171</v>
      </c>
      <c r="L1185" s="7">
        <v>7923</v>
      </c>
      <c r="M1185" s="10" t="str">
        <f t="shared" si="108"/>
        <v>CMI01010500</v>
      </c>
      <c r="N1185" s="10" t="str">
        <f t="shared" si="109"/>
        <v>SUM231300</v>
      </c>
      <c r="O1185" s="10" t="str">
        <f t="shared" si="110"/>
        <v>E</v>
      </c>
      <c r="P1185" s="10" t="str">
        <f t="shared" si="111"/>
        <v>50</v>
      </c>
      <c r="Q1185" s="10" t="str">
        <f t="shared" si="112"/>
        <v>ZSUM</v>
      </c>
      <c r="R1185" s="10" t="str">
        <f t="shared" si="113"/>
        <v>52161518</v>
      </c>
    </row>
    <row r="1186" spans="1:18" ht="25.5" hidden="1" x14ac:dyDescent="0.2">
      <c r="A1186" s="21" t="s">
        <v>1170</v>
      </c>
      <c r="B1186" s="8" t="s">
        <v>1169</v>
      </c>
      <c r="C1186" s="8" t="s">
        <v>40</v>
      </c>
      <c r="D1186" s="8" t="s">
        <v>216</v>
      </c>
      <c r="E1186" s="8" t="s">
        <v>40</v>
      </c>
      <c r="F1186" s="8" t="s">
        <v>39</v>
      </c>
      <c r="G1186" s="8" t="s">
        <v>85</v>
      </c>
      <c r="H1186" s="8" t="s">
        <v>37</v>
      </c>
      <c r="I1186" s="8" t="s">
        <v>53</v>
      </c>
      <c r="J1186" s="8" t="s">
        <v>59</v>
      </c>
      <c r="K1186" s="8" t="s">
        <v>1168</v>
      </c>
      <c r="L1186" s="7">
        <v>7924</v>
      </c>
      <c r="M1186" s="10" t="str">
        <f t="shared" si="108"/>
        <v>CMI02140500</v>
      </c>
      <c r="N1186" s="10" t="str">
        <f t="shared" si="109"/>
        <v>SUM231500</v>
      </c>
      <c r="O1186" s="10" t="str">
        <f t="shared" si="110"/>
        <v>E</v>
      </c>
      <c r="P1186" s="10" t="str">
        <f t="shared" si="111"/>
        <v>50</v>
      </c>
      <c r="Q1186" s="10" t="str">
        <f t="shared" si="112"/>
        <v>ZSUM</v>
      </c>
      <c r="R1186" s="10" t="str">
        <f t="shared" si="113"/>
        <v>27112719</v>
      </c>
    </row>
    <row r="1187" spans="1:18" ht="25.5" hidden="1" x14ac:dyDescent="0.2">
      <c r="A1187" s="21" t="s">
        <v>1167</v>
      </c>
      <c r="B1187" s="8" t="s">
        <v>1166</v>
      </c>
      <c r="C1187" s="8" t="s">
        <v>40</v>
      </c>
      <c r="D1187" s="8" t="s">
        <v>216</v>
      </c>
      <c r="E1187" s="8" t="s">
        <v>40</v>
      </c>
      <c r="F1187" s="8" t="s">
        <v>39</v>
      </c>
      <c r="G1187" s="8" t="s">
        <v>85</v>
      </c>
      <c r="H1187" s="8" t="s">
        <v>37</v>
      </c>
      <c r="I1187" s="8" t="s">
        <v>53</v>
      </c>
      <c r="J1187" s="8" t="s">
        <v>59</v>
      </c>
      <c r="K1187" s="8" t="s">
        <v>1165</v>
      </c>
      <c r="L1187" s="7">
        <v>7925</v>
      </c>
      <c r="M1187" s="10" t="str">
        <f t="shared" si="108"/>
        <v>CMI02140500</v>
      </c>
      <c r="N1187" s="10" t="str">
        <f t="shared" si="109"/>
        <v>SUM231500</v>
      </c>
      <c r="O1187" s="10" t="str">
        <f t="shared" si="110"/>
        <v>E</v>
      </c>
      <c r="P1187" s="10" t="str">
        <f t="shared" si="111"/>
        <v>50</v>
      </c>
      <c r="Q1187" s="10" t="str">
        <f t="shared" si="112"/>
        <v>ZSUM</v>
      </c>
      <c r="R1187" s="10" t="str">
        <f t="shared" si="113"/>
        <v>27111618</v>
      </c>
    </row>
    <row r="1188" spans="1:18" ht="25.5" hidden="1" x14ac:dyDescent="0.2">
      <c r="A1188" s="21" t="s">
        <v>1164</v>
      </c>
      <c r="B1188" s="8" t="s">
        <v>1163</v>
      </c>
      <c r="C1188" s="8" t="s">
        <v>40</v>
      </c>
      <c r="D1188" s="8" t="s">
        <v>363</v>
      </c>
      <c r="E1188" s="8" t="s">
        <v>40</v>
      </c>
      <c r="F1188" s="8" t="s">
        <v>39</v>
      </c>
      <c r="G1188" s="8" t="s">
        <v>60</v>
      </c>
      <c r="H1188" s="8" t="s">
        <v>37</v>
      </c>
      <c r="I1188" s="8" t="s">
        <v>53</v>
      </c>
      <c r="J1188" s="8" t="s">
        <v>59</v>
      </c>
      <c r="K1188" s="8" t="s">
        <v>1162</v>
      </c>
      <c r="L1188" s="7">
        <v>7926</v>
      </c>
      <c r="M1188" s="10" t="str">
        <f t="shared" si="108"/>
        <v>CMI02051300</v>
      </c>
      <c r="N1188" s="10" t="str">
        <f t="shared" si="109"/>
        <v>SUM231200</v>
      </c>
      <c r="O1188" s="10" t="str">
        <f t="shared" si="110"/>
        <v>E</v>
      </c>
      <c r="P1188" s="10" t="str">
        <f t="shared" si="111"/>
        <v>50</v>
      </c>
      <c r="Q1188" s="10" t="str">
        <f t="shared" si="112"/>
        <v>ZSUM</v>
      </c>
      <c r="R1188" s="10" t="str">
        <f t="shared" si="113"/>
        <v>31162801</v>
      </c>
    </row>
    <row r="1189" spans="1:18" ht="25.5" hidden="1" x14ac:dyDescent="0.2">
      <c r="A1189" s="21" t="s">
        <v>1161</v>
      </c>
      <c r="B1189" s="8" t="s">
        <v>1160</v>
      </c>
      <c r="C1189" s="8" t="s">
        <v>40</v>
      </c>
      <c r="D1189" s="8" t="s">
        <v>363</v>
      </c>
      <c r="E1189" s="8" t="s">
        <v>40</v>
      </c>
      <c r="F1189" s="8" t="s">
        <v>39</v>
      </c>
      <c r="G1189" s="8" t="s">
        <v>60</v>
      </c>
      <c r="H1189" s="8" t="s">
        <v>37</v>
      </c>
      <c r="I1189" s="8" t="s">
        <v>53</v>
      </c>
      <c r="J1189" s="8" t="s">
        <v>59</v>
      </c>
      <c r="K1189" s="8" t="s">
        <v>1159</v>
      </c>
      <c r="L1189" s="7">
        <v>7927</v>
      </c>
      <c r="M1189" s="10" t="str">
        <f t="shared" si="108"/>
        <v>CMI02051300</v>
      </c>
      <c r="N1189" s="10" t="str">
        <f t="shared" si="109"/>
        <v>SUM231200</v>
      </c>
      <c r="O1189" s="10" t="str">
        <f t="shared" si="110"/>
        <v>E</v>
      </c>
      <c r="P1189" s="10" t="str">
        <f t="shared" si="111"/>
        <v>50</v>
      </c>
      <c r="Q1189" s="10" t="str">
        <f t="shared" si="112"/>
        <v>ZSUM</v>
      </c>
      <c r="R1189" s="10" t="str">
        <f t="shared" si="113"/>
        <v>31162403</v>
      </c>
    </row>
    <row r="1190" spans="1:18" ht="25.5" hidden="1" x14ac:dyDescent="0.2">
      <c r="A1190" s="21" t="s">
        <v>1158</v>
      </c>
      <c r="B1190" s="8" t="s">
        <v>1157</v>
      </c>
      <c r="C1190" s="8" t="s">
        <v>40</v>
      </c>
      <c r="D1190" s="8" t="s">
        <v>245</v>
      </c>
      <c r="E1190" s="8" t="s">
        <v>40</v>
      </c>
      <c r="F1190" s="8" t="s">
        <v>39</v>
      </c>
      <c r="G1190" s="8" t="s">
        <v>985</v>
      </c>
      <c r="H1190" s="8" t="s">
        <v>37</v>
      </c>
      <c r="I1190" s="8" t="s">
        <v>53</v>
      </c>
      <c r="J1190" s="8" t="s">
        <v>59</v>
      </c>
      <c r="K1190" s="8" t="s">
        <v>1156</v>
      </c>
      <c r="L1190" s="7">
        <v>7928</v>
      </c>
      <c r="M1190" s="10" t="str">
        <f t="shared" si="108"/>
        <v>CMI01020300</v>
      </c>
      <c r="N1190" s="10" t="str">
        <f t="shared" si="109"/>
        <v>SUM231600</v>
      </c>
      <c r="O1190" s="10" t="str">
        <f t="shared" si="110"/>
        <v>E</v>
      </c>
      <c r="P1190" s="10" t="str">
        <f t="shared" si="111"/>
        <v>50</v>
      </c>
      <c r="Q1190" s="10" t="str">
        <f t="shared" si="112"/>
        <v>ZSUM</v>
      </c>
      <c r="R1190" s="10" t="str">
        <f t="shared" si="113"/>
        <v>24101602</v>
      </c>
    </row>
    <row r="1191" spans="1:18" ht="38.25" hidden="1" x14ac:dyDescent="0.2">
      <c r="A1191" s="21" t="s">
        <v>1155</v>
      </c>
      <c r="B1191" s="8" t="s">
        <v>1154</v>
      </c>
      <c r="C1191" s="8" t="s">
        <v>40</v>
      </c>
      <c r="D1191" s="8" t="s">
        <v>990</v>
      </c>
      <c r="E1191" s="8" t="s">
        <v>40</v>
      </c>
      <c r="F1191" s="8" t="s">
        <v>39</v>
      </c>
      <c r="G1191" s="8" t="s">
        <v>60</v>
      </c>
      <c r="H1191" s="8" t="s">
        <v>37</v>
      </c>
      <c r="I1191" s="8" t="s">
        <v>53</v>
      </c>
      <c r="J1191" s="8" t="s">
        <v>59</v>
      </c>
      <c r="K1191" s="8" t="s">
        <v>644</v>
      </c>
      <c r="L1191" s="7">
        <v>7929</v>
      </c>
      <c r="M1191" s="10" t="str">
        <f t="shared" si="108"/>
        <v>CMI02090500</v>
      </c>
      <c r="N1191" s="10" t="str">
        <f t="shared" si="109"/>
        <v>SUM231200</v>
      </c>
      <c r="O1191" s="10" t="str">
        <f t="shared" si="110"/>
        <v>E</v>
      </c>
      <c r="P1191" s="10" t="str">
        <f t="shared" si="111"/>
        <v>50</v>
      </c>
      <c r="Q1191" s="10" t="str">
        <f t="shared" si="112"/>
        <v>ZSUM</v>
      </c>
      <c r="R1191" s="10" t="str">
        <f t="shared" si="113"/>
        <v>39121006</v>
      </c>
    </row>
    <row r="1192" spans="1:18" ht="25.5" hidden="1" x14ac:dyDescent="0.2">
      <c r="A1192" s="21" t="s">
        <v>1153</v>
      </c>
      <c r="B1192" s="8" t="s">
        <v>1152</v>
      </c>
      <c r="C1192" s="8" t="s">
        <v>40</v>
      </c>
      <c r="D1192" s="8" t="s">
        <v>249</v>
      </c>
      <c r="E1192" s="8" t="s">
        <v>40</v>
      </c>
      <c r="F1192" s="8" t="s">
        <v>39</v>
      </c>
      <c r="G1192" s="8" t="s">
        <v>60</v>
      </c>
      <c r="H1192" s="8" t="s">
        <v>37</v>
      </c>
      <c r="I1192" s="8" t="s">
        <v>53</v>
      </c>
      <c r="J1192" s="8" t="s">
        <v>59</v>
      </c>
      <c r="K1192" s="8" t="s">
        <v>1151</v>
      </c>
      <c r="L1192" s="7">
        <v>7930</v>
      </c>
      <c r="M1192" s="10" t="str">
        <f t="shared" si="108"/>
        <v>CMI02090700</v>
      </c>
      <c r="N1192" s="10" t="str">
        <f t="shared" si="109"/>
        <v>SUM231200</v>
      </c>
      <c r="O1192" s="10" t="str">
        <f t="shared" si="110"/>
        <v>E</v>
      </c>
      <c r="P1192" s="10" t="str">
        <f t="shared" si="111"/>
        <v>50</v>
      </c>
      <c r="Q1192" s="10" t="str">
        <f t="shared" si="112"/>
        <v>ZSUM</v>
      </c>
      <c r="R1192" s="10" t="str">
        <f t="shared" si="113"/>
        <v>31162407</v>
      </c>
    </row>
    <row r="1193" spans="1:18" ht="25.5" hidden="1" x14ac:dyDescent="0.2">
      <c r="A1193" s="21" t="s">
        <v>1150</v>
      </c>
      <c r="B1193" s="8" t="s">
        <v>1149</v>
      </c>
      <c r="C1193" s="8" t="s">
        <v>40</v>
      </c>
      <c r="D1193" s="8" t="s">
        <v>245</v>
      </c>
      <c r="E1193" s="8" t="s">
        <v>40</v>
      </c>
      <c r="F1193" s="8" t="s">
        <v>39</v>
      </c>
      <c r="G1193" s="8" t="s">
        <v>631</v>
      </c>
      <c r="H1193" s="8" t="s">
        <v>37</v>
      </c>
      <c r="I1193" s="8" t="s">
        <v>53</v>
      </c>
      <c r="J1193" s="8" t="s">
        <v>59</v>
      </c>
      <c r="K1193" s="8" t="s">
        <v>1148</v>
      </c>
      <c r="L1193" s="7">
        <v>7931</v>
      </c>
      <c r="M1193" s="10" t="str">
        <f t="shared" si="108"/>
        <v>CMI01020300</v>
      </c>
      <c r="N1193" s="10" t="str">
        <f t="shared" si="109"/>
        <v>SUM231300</v>
      </c>
      <c r="O1193" s="10" t="str">
        <f t="shared" si="110"/>
        <v>E</v>
      </c>
      <c r="P1193" s="10" t="str">
        <f t="shared" si="111"/>
        <v>50</v>
      </c>
      <c r="Q1193" s="10" t="str">
        <f t="shared" si="112"/>
        <v>ZSUM</v>
      </c>
      <c r="R1193" s="10" t="str">
        <f t="shared" si="113"/>
        <v>41111601</v>
      </c>
    </row>
    <row r="1194" spans="1:18" ht="25.5" hidden="1" x14ac:dyDescent="0.2">
      <c r="A1194" s="21" t="s">
        <v>1147</v>
      </c>
      <c r="B1194" s="8" t="s">
        <v>1146</v>
      </c>
      <c r="C1194" s="8" t="s">
        <v>40</v>
      </c>
      <c r="D1194" s="8" t="s">
        <v>245</v>
      </c>
      <c r="E1194" s="8" t="s">
        <v>40</v>
      </c>
      <c r="F1194" s="8" t="s">
        <v>39</v>
      </c>
      <c r="G1194" s="8" t="s">
        <v>60</v>
      </c>
      <c r="H1194" s="8" t="s">
        <v>37</v>
      </c>
      <c r="I1194" s="8" t="s">
        <v>53</v>
      </c>
      <c r="J1194" s="8" t="s">
        <v>59</v>
      </c>
      <c r="K1194" s="8" t="s">
        <v>1145</v>
      </c>
      <c r="L1194" s="7">
        <v>7932</v>
      </c>
      <c r="M1194" s="10" t="str">
        <f t="shared" si="108"/>
        <v>CMI01020300</v>
      </c>
      <c r="N1194" s="10" t="str">
        <f t="shared" si="109"/>
        <v>SUM231200</v>
      </c>
      <c r="O1194" s="10" t="str">
        <f t="shared" si="110"/>
        <v>E</v>
      </c>
      <c r="P1194" s="10" t="str">
        <f t="shared" si="111"/>
        <v>50</v>
      </c>
      <c r="Q1194" s="10" t="str">
        <f t="shared" si="112"/>
        <v>ZSUM</v>
      </c>
      <c r="R1194" s="10" t="str">
        <f t="shared" si="113"/>
        <v>30111504</v>
      </c>
    </row>
    <row r="1195" spans="1:18" ht="25.5" hidden="1" x14ac:dyDescent="0.2">
      <c r="A1195" s="21" t="s">
        <v>1144</v>
      </c>
      <c r="B1195" s="8" t="s">
        <v>1143</v>
      </c>
      <c r="C1195" s="8" t="s">
        <v>40</v>
      </c>
      <c r="D1195" s="8" t="s">
        <v>95</v>
      </c>
      <c r="E1195" s="8" t="s">
        <v>40</v>
      </c>
      <c r="F1195" s="8" t="s">
        <v>39</v>
      </c>
      <c r="G1195" s="8" t="s">
        <v>60</v>
      </c>
      <c r="H1195" s="8" t="s">
        <v>37</v>
      </c>
      <c r="I1195" s="8" t="s">
        <v>53</v>
      </c>
      <c r="J1195" s="8" t="s">
        <v>59</v>
      </c>
      <c r="K1195" s="8" t="s">
        <v>1142</v>
      </c>
      <c r="L1195" s="7">
        <v>7933</v>
      </c>
      <c r="M1195" s="10" t="str">
        <f t="shared" si="108"/>
        <v>CMI02160100</v>
      </c>
      <c r="N1195" s="10" t="str">
        <f t="shared" si="109"/>
        <v>SUM231200</v>
      </c>
      <c r="O1195" s="10" t="str">
        <f t="shared" si="110"/>
        <v>E</v>
      </c>
      <c r="P1195" s="10" t="str">
        <f t="shared" si="111"/>
        <v>50</v>
      </c>
      <c r="Q1195" s="10" t="str">
        <f t="shared" si="112"/>
        <v>ZSUM</v>
      </c>
      <c r="R1195" s="10" t="str">
        <f t="shared" si="113"/>
        <v>14122200</v>
      </c>
    </row>
    <row r="1196" spans="1:18" ht="25.5" hidden="1" x14ac:dyDescent="0.2">
      <c r="A1196" s="21" t="s">
        <v>1141</v>
      </c>
      <c r="B1196" s="8" t="s">
        <v>1140</v>
      </c>
      <c r="C1196" s="8" t="s">
        <v>40</v>
      </c>
      <c r="D1196" s="8" t="s">
        <v>216</v>
      </c>
      <c r="E1196" s="8" t="s">
        <v>40</v>
      </c>
      <c r="F1196" s="8" t="s">
        <v>39</v>
      </c>
      <c r="G1196" s="8" t="s">
        <v>85</v>
      </c>
      <c r="H1196" s="8" t="s">
        <v>37</v>
      </c>
      <c r="I1196" s="8" t="s">
        <v>53</v>
      </c>
      <c r="J1196" s="8" t="s">
        <v>59</v>
      </c>
      <c r="K1196" s="8" t="s">
        <v>1139</v>
      </c>
      <c r="L1196" s="7">
        <v>7934</v>
      </c>
      <c r="M1196" s="10" t="str">
        <f t="shared" si="108"/>
        <v>CMI02140500</v>
      </c>
      <c r="N1196" s="10" t="str">
        <f t="shared" si="109"/>
        <v>SUM231500</v>
      </c>
      <c r="O1196" s="10" t="str">
        <f t="shared" si="110"/>
        <v>E</v>
      </c>
      <c r="P1196" s="10" t="str">
        <f t="shared" si="111"/>
        <v>50</v>
      </c>
      <c r="Q1196" s="10" t="str">
        <f t="shared" si="112"/>
        <v>ZSUM</v>
      </c>
      <c r="R1196" s="10" t="str">
        <f t="shared" si="113"/>
        <v>27112208</v>
      </c>
    </row>
    <row r="1197" spans="1:18" ht="25.5" hidden="1" x14ac:dyDescent="0.2">
      <c r="A1197" s="21" t="s">
        <v>1138</v>
      </c>
      <c r="B1197" s="8" t="s">
        <v>1137</v>
      </c>
      <c r="C1197" s="8" t="s">
        <v>40</v>
      </c>
      <c r="D1197" s="8" t="s">
        <v>363</v>
      </c>
      <c r="E1197" s="8" t="s">
        <v>40</v>
      </c>
      <c r="F1197" s="8" t="s">
        <v>39</v>
      </c>
      <c r="G1197" s="8" t="s">
        <v>985</v>
      </c>
      <c r="H1197" s="8" t="s">
        <v>37</v>
      </c>
      <c r="I1197" s="8" t="s">
        <v>53</v>
      </c>
      <c r="J1197" s="8" t="s">
        <v>59</v>
      </c>
      <c r="K1197" s="8" t="s">
        <v>1136</v>
      </c>
      <c r="L1197" s="7">
        <v>7935</v>
      </c>
      <c r="M1197" s="10" t="str">
        <f t="shared" si="108"/>
        <v>CMI02051300</v>
      </c>
      <c r="N1197" s="10" t="str">
        <f t="shared" si="109"/>
        <v>SUM231600</v>
      </c>
      <c r="O1197" s="10" t="str">
        <f t="shared" si="110"/>
        <v>E</v>
      </c>
      <c r="P1197" s="10" t="str">
        <f t="shared" si="111"/>
        <v>50</v>
      </c>
      <c r="Q1197" s="10" t="str">
        <f t="shared" si="112"/>
        <v>ZSUM</v>
      </c>
      <c r="R1197" s="10" t="str">
        <f t="shared" si="113"/>
        <v>20121508</v>
      </c>
    </row>
    <row r="1198" spans="1:18" ht="38.25" hidden="1" x14ac:dyDescent="0.2">
      <c r="A1198" s="21" t="s">
        <v>1135</v>
      </c>
      <c r="B1198" s="8" t="s">
        <v>1134</v>
      </c>
      <c r="C1198" s="8" t="s">
        <v>40</v>
      </c>
      <c r="D1198" s="8" t="s">
        <v>990</v>
      </c>
      <c r="E1198" s="8" t="s">
        <v>40</v>
      </c>
      <c r="F1198" s="8" t="s">
        <v>39</v>
      </c>
      <c r="G1198" s="8" t="s">
        <v>85</v>
      </c>
      <c r="H1198" s="8" t="s">
        <v>37</v>
      </c>
      <c r="I1198" s="8" t="s">
        <v>53</v>
      </c>
      <c r="J1198" s="8" t="s">
        <v>59</v>
      </c>
      <c r="K1198" s="8" t="s">
        <v>1133</v>
      </c>
      <c r="L1198" s="7">
        <v>7936</v>
      </c>
      <c r="M1198" s="10" t="str">
        <f t="shared" si="108"/>
        <v>CMI02090500</v>
      </c>
      <c r="N1198" s="10" t="str">
        <f t="shared" si="109"/>
        <v>SUM231500</v>
      </c>
      <c r="O1198" s="10" t="str">
        <f t="shared" si="110"/>
        <v>E</v>
      </c>
      <c r="P1198" s="10" t="str">
        <f t="shared" si="111"/>
        <v>50</v>
      </c>
      <c r="Q1198" s="10" t="str">
        <f t="shared" si="112"/>
        <v>ZSUM</v>
      </c>
      <c r="R1198" s="10" t="str">
        <f t="shared" si="113"/>
        <v>27112147</v>
      </c>
    </row>
    <row r="1199" spans="1:18" ht="38.25" hidden="1" x14ac:dyDescent="0.2">
      <c r="A1199" s="21" t="s">
        <v>1132</v>
      </c>
      <c r="B1199" s="8" t="s">
        <v>1131</v>
      </c>
      <c r="C1199" s="8" t="s">
        <v>40</v>
      </c>
      <c r="D1199" s="8" t="s">
        <v>990</v>
      </c>
      <c r="E1199" s="8" t="s">
        <v>40</v>
      </c>
      <c r="F1199" s="8" t="s">
        <v>39</v>
      </c>
      <c r="G1199" s="8" t="s">
        <v>85</v>
      </c>
      <c r="H1199" s="8" t="s">
        <v>37</v>
      </c>
      <c r="I1199" s="8" t="s">
        <v>53</v>
      </c>
      <c r="J1199" s="8" t="s">
        <v>59</v>
      </c>
      <c r="K1199" s="8" t="s">
        <v>1130</v>
      </c>
      <c r="L1199" s="7">
        <v>7937</v>
      </c>
      <c r="M1199" s="10" t="str">
        <f t="shared" si="108"/>
        <v>CMI02090500</v>
      </c>
      <c r="N1199" s="10" t="str">
        <f t="shared" si="109"/>
        <v>SUM231500</v>
      </c>
      <c r="O1199" s="10" t="str">
        <f t="shared" si="110"/>
        <v>E</v>
      </c>
      <c r="P1199" s="10" t="str">
        <f t="shared" si="111"/>
        <v>50</v>
      </c>
      <c r="Q1199" s="10" t="str">
        <f t="shared" si="112"/>
        <v>ZSUM</v>
      </c>
      <c r="R1199" s="10" t="str">
        <f t="shared" si="113"/>
        <v>27112151</v>
      </c>
    </row>
    <row r="1200" spans="1:18" ht="38.25" hidden="1" x14ac:dyDescent="0.2">
      <c r="A1200" s="21" t="s">
        <v>1129</v>
      </c>
      <c r="B1200" s="8" t="s">
        <v>1128</v>
      </c>
      <c r="C1200" s="8" t="s">
        <v>40</v>
      </c>
      <c r="D1200" s="8" t="s">
        <v>990</v>
      </c>
      <c r="E1200" s="8" t="s">
        <v>40</v>
      </c>
      <c r="F1200" s="8" t="s">
        <v>39</v>
      </c>
      <c r="G1200" s="8" t="s">
        <v>85</v>
      </c>
      <c r="H1200" s="8" t="s">
        <v>37</v>
      </c>
      <c r="I1200" s="8" t="s">
        <v>53</v>
      </c>
      <c r="J1200" s="8" t="s">
        <v>59</v>
      </c>
      <c r="K1200" s="8" t="s">
        <v>1127</v>
      </c>
      <c r="L1200" s="7">
        <v>7938</v>
      </c>
      <c r="M1200" s="10" t="str">
        <f t="shared" si="108"/>
        <v>CMI02090500</v>
      </c>
      <c r="N1200" s="10" t="str">
        <f t="shared" si="109"/>
        <v>SUM231500</v>
      </c>
      <c r="O1200" s="10" t="str">
        <f t="shared" si="110"/>
        <v>E</v>
      </c>
      <c r="P1200" s="10" t="str">
        <f t="shared" si="111"/>
        <v>50</v>
      </c>
      <c r="Q1200" s="10" t="str">
        <f t="shared" si="112"/>
        <v>ZSUM</v>
      </c>
      <c r="R1200" s="10" t="str">
        <f t="shared" si="113"/>
        <v>27113100</v>
      </c>
    </row>
    <row r="1201" spans="1:18" ht="38.25" hidden="1" x14ac:dyDescent="0.2">
      <c r="A1201" s="21" t="s">
        <v>1126</v>
      </c>
      <c r="B1201" s="8" t="s">
        <v>1125</v>
      </c>
      <c r="C1201" s="8" t="s">
        <v>40</v>
      </c>
      <c r="D1201" s="8" t="s">
        <v>990</v>
      </c>
      <c r="E1201" s="8" t="s">
        <v>40</v>
      </c>
      <c r="F1201" s="8" t="s">
        <v>39</v>
      </c>
      <c r="G1201" s="8" t="s">
        <v>985</v>
      </c>
      <c r="H1201" s="8" t="s">
        <v>37</v>
      </c>
      <c r="I1201" s="8" t="s">
        <v>53</v>
      </c>
      <c r="J1201" s="8" t="s">
        <v>59</v>
      </c>
      <c r="K1201" s="8" t="s">
        <v>1124</v>
      </c>
      <c r="L1201" s="7">
        <v>7939</v>
      </c>
      <c r="M1201" s="10" t="str">
        <f t="shared" si="108"/>
        <v>CMI02090500</v>
      </c>
      <c r="N1201" s="10" t="str">
        <f t="shared" si="109"/>
        <v>SUM231600</v>
      </c>
      <c r="O1201" s="10" t="str">
        <f t="shared" si="110"/>
        <v>E</v>
      </c>
      <c r="P1201" s="10" t="str">
        <f t="shared" si="111"/>
        <v>50</v>
      </c>
      <c r="Q1201" s="10" t="str">
        <f t="shared" si="112"/>
        <v>ZSUM</v>
      </c>
      <c r="R1201" s="10" t="str">
        <f t="shared" si="113"/>
        <v>24101613</v>
      </c>
    </row>
    <row r="1202" spans="1:18" ht="38.25" hidden="1" x14ac:dyDescent="0.2">
      <c r="A1202" s="21" t="s">
        <v>1123</v>
      </c>
      <c r="B1202" s="8" t="s">
        <v>1122</v>
      </c>
      <c r="C1202" s="8" t="s">
        <v>40</v>
      </c>
      <c r="D1202" s="8" t="s">
        <v>990</v>
      </c>
      <c r="E1202" s="7">
        <v>6</v>
      </c>
      <c r="F1202" s="8" t="s">
        <v>39</v>
      </c>
      <c r="G1202" s="8" t="s">
        <v>85</v>
      </c>
      <c r="H1202" s="8" t="s">
        <v>37</v>
      </c>
      <c r="I1202" s="8" t="s">
        <v>53</v>
      </c>
      <c r="J1202" s="8" t="s">
        <v>59</v>
      </c>
      <c r="K1202" s="8" t="s">
        <v>1121</v>
      </c>
      <c r="L1202" s="7">
        <v>7940</v>
      </c>
      <c r="M1202" s="10" t="str">
        <f t="shared" si="108"/>
        <v>CMI02090500</v>
      </c>
      <c r="N1202" s="10" t="str">
        <f t="shared" si="109"/>
        <v>SUM231500</v>
      </c>
      <c r="O1202" s="10" t="str">
        <f t="shared" si="110"/>
        <v>E</v>
      </c>
      <c r="P1202" s="10" t="str">
        <f t="shared" si="111"/>
        <v>50</v>
      </c>
      <c r="Q1202" s="10" t="str">
        <f t="shared" si="112"/>
        <v>ZSUM</v>
      </c>
      <c r="R1202" s="10" t="str">
        <f t="shared" si="113"/>
        <v>27111555</v>
      </c>
    </row>
    <row r="1203" spans="1:18" ht="38.25" hidden="1" x14ac:dyDescent="0.2">
      <c r="A1203" s="21" t="s">
        <v>1120</v>
      </c>
      <c r="B1203" s="8" t="s">
        <v>1119</v>
      </c>
      <c r="C1203" s="8" t="s">
        <v>40</v>
      </c>
      <c r="D1203" s="8" t="s">
        <v>990</v>
      </c>
      <c r="E1203" s="7">
        <v>6</v>
      </c>
      <c r="F1203" s="8" t="s">
        <v>39</v>
      </c>
      <c r="G1203" s="8" t="s">
        <v>885</v>
      </c>
      <c r="H1203" s="8" t="s">
        <v>37</v>
      </c>
      <c r="I1203" s="8" t="s">
        <v>36</v>
      </c>
      <c r="J1203" s="8" t="s">
        <v>59</v>
      </c>
      <c r="K1203" s="8" t="s">
        <v>1118</v>
      </c>
      <c r="L1203" s="7">
        <v>7941</v>
      </c>
      <c r="M1203" s="10" t="str">
        <f t="shared" si="108"/>
        <v>CMI02090500</v>
      </c>
      <c r="N1203" s="10" t="str">
        <f t="shared" si="109"/>
        <v>SUM231000</v>
      </c>
      <c r="O1203" s="10" t="str">
        <f t="shared" si="110"/>
        <v>E</v>
      </c>
      <c r="P1203" s="10" t="str">
        <f t="shared" si="111"/>
        <v>10</v>
      </c>
      <c r="Q1203" s="10" t="str">
        <f t="shared" si="112"/>
        <v>ZSUM</v>
      </c>
      <c r="R1203" s="10" t="str">
        <f t="shared" si="113"/>
        <v>30103100</v>
      </c>
    </row>
    <row r="1204" spans="1:18" ht="25.5" hidden="1" x14ac:dyDescent="0.2">
      <c r="A1204" s="21" t="s">
        <v>1117</v>
      </c>
      <c r="B1204" s="8" t="s">
        <v>1116</v>
      </c>
      <c r="C1204" s="8" t="s">
        <v>40</v>
      </c>
      <c r="D1204" s="8" t="s">
        <v>216</v>
      </c>
      <c r="E1204" s="8" t="s">
        <v>40</v>
      </c>
      <c r="F1204" s="8" t="s">
        <v>39</v>
      </c>
      <c r="G1204" s="8" t="s">
        <v>85</v>
      </c>
      <c r="H1204" s="8" t="s">
        <v>37</v>
      </c>
      <c r="I1204" s="8" t="s">
        <v>53</v>
      </c>
      <c r="J1204" s="8" t="s">
        <v>59</v>
      </c>
      <c r="K1204" s="8" t="s">
        <v>1115</v>
      </c>
      <c r="L1204" s="7">
        <v>7942</v>
      </c>
      <c r="M1204" s="10" t="str">
        <f t="shared" si="108"/>
        <v>CMI02140500</v>
      </c>
      <c r="N1204" s="10" t="str">
        <f t="shared" si="109"/>
        <v>SUM231500</v>
      </c>
      <c r="O1204" s="10" t="str">
        <f t="shared" si="110"/>
        <v>E</v>
      </c>
      <c r="P1204" s="10" t="str">
        <f t="shared" si="111"/>
        <v>50</v>
      </c>
      <c r="Q1204" s="10" t="str">
        <f t="shared" si="112"/>
        <v>ZSUM</v>
      </c>
      <c r="R1204" s="10" t="str">
        <f t="shared" si="113"/>
        <v>27112003</v>
      </c>
    </row>
    <row r="1205" spans="1:18" ht="25.5" hidden="1" x14ac:dyDescent="0.2">
      <c r="A1205" s="21" t="s">
        <v>1114</v>
      </c>
      <c r="B1205" s="8" t="s">
        <v>1113</v>
      </c>
      <c r="C1205" s="8" t="s">
        <v>40</v>
      </c>
      <c r="D1205" s="8" t="s">
        <v>300</v>
      </c>
      <c r="E1205" s="8" t="s">
        <v>40</v>
      </c>
      <c r="F1205" s="8" t="s">
        <v>39</v>
      </c>
      <c r="G1205" s="8" t="s">
        <v>60</v>
      </c>
      <c r="H1205" s="8" t="s">
        <v>37</v>
      </c>
      <c r="I1205" s="8" t="s">
        <v>53</v>
      </c>
      <c r="J1205" s="8" t="s">
        <v>59</v>
      </c>
      <c r="K1205" s="8" t="s">
        <v>1112</v>
      </c>
      <c r="L1205" s="7">
        <v>7943</v>
      </c>
      <c r="M1205" s="10" t="str">
        <f t="shared" si="108"/>
        <v>CMI02200200</v>
      </c>
      <c r="N1205" s="10" t="str">
        <f t="shared" si="109"/>
        <v>SUM231200</v>
      </c>
      <c r="O1205" s="10" t="str">
        <f t="shared" si="110"/>
        <v>E</v>
      </c>
      <c r="P1205" s="10" t="str">
        <f t="shared" si="111"/>
        <v>50</v>
      </c>
      <c r="Q1205" s="10" t="str">
        <f t="shared" si="112"/>
        <v>ZSUM</v>
      </c>
      <c r="R1205" s="10" t="str">
        <f t="shared" si="113"/>
        <v>13111000</v>
      </c>
    </row>
    <row r="1206" spans="1:18" ht="25.5" hidden="1" x14ac:dyDescent="0.2">
      <c r="A1206" s="21" t="s">
        <v>1111</v>
      </c>
      <c r="B1206" s="8" t="s">
        <v>1110</v>
      </c>
      <c r="C1206" s="8" t="s">
        <v>40</v>
      </c>
      <c r="D1206" s="8" t="s">
        <v>1109</v>
      </c>
      <c r="E1206" s="8" t="s">
        <v>40</v>
      </c>
      <c r="F1206" s="8" t="s">
        <v>39</v>
      </c>
      <c r="G1206" s="8" t="s">
        <v>975</v>
      </c>
      <c r="H1206" s="8" t="s">
        <v>37</v>
      </c>
      <c r="I1206" s="8" t="s">
        <v>53</v>
      </c>
      <c r="J1206" s="8" t="s">
        <v>59</v>
      </c>
      <c r="K1206" s="8" t="s">
        <v>1108</v>
      </c>
      <c r="L1206" s="7">
        <v>7944</v>
      </c>
      <c r="M1206" s="10" t="str">
        <f t="shared" si="108"/>
        <v>CMI02050700</v>
      </c>
      <c r="N1206" s="10" t="str">
        <f t="shared" si="109"/>
        <v>SUM231100</v>
      </c>
      <c r="O1206" s="10" t="str">
        <f t="shared" si="110"/>
        <v>E</v>
      </c>
      <c r="P1206" s="10" t="str">
        <f t="shared" si="111"/>
        <v>50</v>
      </c>
      <c r="Q1206" s="10" t="str">
        <f t="shared" si="112"/>
        <v>ZSUM</v>
      </c>
      <c r="R1206" s="10" t="str">
        <f t="shared" si="113"/>
        <v>31161618</v>
      </c>
    </row>
    <row r="1207" spans="1:18" ht="38.25" hidden="1" x14ac:dyDescent="0.2">
      <c r="A1207" s="21" t="s">
        <v>1107</v>
      </c>
      <c r="B1207" s="8" t="s">
        <v>1106</v>
      </c>
      <c r="C1207" s="8" t="s">
        <v>40</v>
      </c>
      <c r="D1207" s="8" t="s">
        <v>990</v>
      </c>
      <c r="E1207" s="8" t="s">
        <v>40</v>
      </c>
      <c r="F1207" s="8" t="s">
        <v>39</v>
      </c>
      <c r="G1207" s="8" t="s">
        <v>624</v>
      </c>
      <c r="H1207" s="8" t="s">
        <v>37</v>
      </c>
      <c r="I1207" s="8" t="s">
        <v>53</v>
      </c>
      <c r="J1207" s="8" t="s">
        <v>59</v>
      </c>
      <c r="K1207" s="8" t="s">
        <v>1105</v>
      </c>
      <c r="L1207" s="7">
        <v>7945</v>
      </c>
      <c r="M1207" s="10" t="str">
        <f t="shared" si="108"/>
        <v>CMI02090500</v>
      </c>
      <c r="N1207" s="10" t="str">
        <f t="shared" si="109"/>
        <v>SUM231400</v>
      </c>
      <c r="O1207" s="10" t="str">
        <f t="shared" si="110"/>
        <v>E</v>
      </c>
      <c r="P1207" s="10" t="str">
        <f t="shared" si="111"/>
        <v>50</v>
      </c>
      <c r="Q1207" s="10" t="str">
        <f t="shared" si="112"/>
        <v>ZSUM</v>
      </c>
      <c r="R1207" s="10" t="str">
        <f t="shared" si="113"/>
        <v>27112826</v>
      </c>
    </row>
    <row r="1208" spans="1:18" ht="38.25" hidden="1" x14ac:dyDescent="0.2">
      <c r="A1208" s="21" t="s">
        <v>1104</v>
      </c>
      <c r="B1208" s="8" t="s">
        <v>1103</v>
      </c>
      <c r="C1208" s="8" t="s">
        <v>40</v>
      </c>
      <c r="D1208" s="8" t="s">
        <v>990</v>
      </c>
      <c r="E1208" s="8" t="s">
        <v>40</v>
      </c>
      <c r="F1208" s="8" t="s">
        <v>39</v>
      </c>
      <c r="G1208" s="8" t="s">
        <v>60</v>
      </c>
      <c r="H1208" s="8" t="s">
        <v>37</v>
      </c>
      <c r="I1208" s="8" t="s">
        <v>53</v>
      </c>
      <c r="J1208" s="8" t="s">
        <v>59</v>
      </c>
      <c r="K1208" s="8" t="s">
        <v>1102</v>
      </c>
      <c r="L1208" s="7">
        <v>7946</v>
      </c>
      <c r="M1208" s="10" t="str">
        <f t="shared" si="108"/>
        <v>CMI02090500</v>
      </c>
      <c r="N1208" s="10" t="str">
        <f t="shared" si="109"/>
        <v>SUM231200</v>
      </c>
      <c r="O1208" s="10" t="str">
        <f t="shared" si="110"/>
        <v>E</v>
      </c>
      <c r="P1208" s="10" t="str">
        <f t="shared" si="111"/>
        <v>50</v>
      </c>
      <c r="Q1208" s="10" t="str">
        <f t="shared" si="112"/>
        <v>ZSUM</v>
      </c>
      <c r="R1208" s="10" t="str">
        <f t="shared" si="113"/>
        <v>27112009</v>
      </c>
    </row>
    <row r="1209" spans="1:18" ht="38.25" hidden="1" x14ac:dyDescent="0.2">
      <c r="A1209" s="21" t="s">
        <v>1101</v>
      </c>
      <c r="B1209" s="8" t="s">
        <v>1100</v>
      </c>
      <c r="C1209" s="8" t="s">
        <v>40</v>
      </c>
      <c r="D1209" s="8" t="s">
        <v>990</v>
      </c>
      <c r="E1209" s="8" t="s">
        <v>40</v>
      </c>
      <c r="F1209" s="8" t="s">
        <v>39</v>
      </c>
      <c r="G1209" s="8" t="s">
        <v>60</v>
      </c>
      <c r="H1209" s="8" t="s">
        <v>37</v>
      </c>
      <c r="I1209" s="8" t="s">
        <v>53</v>
      </c>
      <c r="J1209" s="8" t="s">
        <v>59</v>
      </c>
      <c r="K1209" s="8" t="s">
        <v>1099</v>
      </c>
      <c r="L1209" s="7">
        <v>7947</v>
      </c>
      <c r="M1209" s="10" t="str">
        <f t="shared" si="108"/>
        <v>CMI02090500</v>
      </c>
      <c r="N1209" s="10" t="str">
        <f t="shared" si="109"/>
        <v>SUM231200</v>
      </c>
      <c r="O1209" s="10" t="str">
        <f t="shared" si="110"/>
        <v>E</v>
      </c>
      <c r="P1209" s="10" t="str">
        <f t="shared" si="111"/>
        <v>50</v>
      </c>
      <c r="Q1209" s="10" t="str">
        <f t="shared" si="112"/>
        <v>ZSUM</v>
      </c>
      <c r="R1209" s="10" t="str">
        <f t="shared" si="113"/>
        <v>31161501</v>
      </c>
    </row>
    <row r="1210" spans="1:18" ht="38.25" hidden="1" x14ac:dyDescent="0.2">
      <c r="A1210" s="21" t="s">
        <v>1098</v>
      </c>
      <c r="B1210" s="8" t="s">
        <v>1097</v>
      </c>
      <c r="C1210" s="8" t="s">
        <v>40</v>
      </c>
      <c r="D1210" s="8" t="s">
        <v>990</v>
      </c>
      <c r="E1210" s="8" t="s">
        <v>40</v>
      </c>
      <c r="F1210" s="8" t="s">
        <v>39</v>
      </c>
      <c r="G1210" s="8" t="s">
        <v>85</v>
      </c>
      <c r="H1210" s="8" t="s">
        <v>37</v>
      </c>
      <c r="I1210" s="8" t="s">
        <v>53</v>
      </c>
      <c r="J1210" s="8" t="s">
        <v>59</v>
      </c>
      <c r="K1210" s="8" t="s">
        <v>1096</v>
      </c>
      <c r="L1210" s="7">
        <v>7948</v>
      </c>
      <c r="M1210" s="10" t="str">
        <f t="shared" si="108"/>
        <v>CMI02090500</v>
      </c>
      <c r="N1210" s="10" t="str">
        <f t="shared" si="109"/>
        <v>SUM231500</v>
      </c>
      <c r="O1210" s="10" t="str">
        <f t="shared" si="110"/>
        <v>E</v>
      </c>
      <c r="P1210" s="10" t="str">
        <f t="shared" si="111"/>
        <v>50</v>
      </c>
      <c r="Q1210" s="10" t="str">
        <f t="shared" si="112"/>
        <v>ZSUM</v>
      </c>
      <c r="R1210" s="10" t="str">
        <f t="shared" si="113"/>
        <v>27111701</v>
      </c>
    </row>
    <row r="1211" spans="1:18" ht="38.25" hidden="1" x14ac:dyDescent="0.2">
      <c r="A1211" s="21" t="s">
        <v>1095</v>
      </c>
      <c r="B1211" s="8" t="s">
        <v>1094</v>
      </c>
      <c r="C1211" s="8" t="s">
        <v>40</v>
      </c>
      <c r="D1211" s="8" t="s">
        <v>990</v>
      </c>
      <c r="E1211" s="8" t="s">
        <v>40</v>
      </c>
      <c r="F1211" s="8" t="s">
        <v>39</v>
      </c>
      <c r="G1211" s="8" t="s">
        <v>85</v>
      </c>
      <c r="H1211" s="8" t="s">
        <v>37</v>
      </c>
      <c r="I1211" s="8" t="s">
        <v>53</v>
      </c>
      <c r="J1211" s="8" t="s">
        <v>59</v>
      </c>
      <c r="K1211" s="8" t="s">
        <v>1093</v>
      </c>
      <c r="L1211" s="7">
        <v>7949</v>
      </c>
      <c r="M1211" s="10" t="str">
        <f t="shared" si="108"/>
        <v>CMI02090500</v>
      </c>
      <c r="N1211" s="10" t="str">
        <f t="shared" si="109"/>
        <v>SUM231500</v>
      </c>
      <c r="O1211" s="10" t="str">
        <f t="shared" si="110"/>
        <v>E</v>
      </c>
      <c r="P1211" s="10" t="str">
        <f t="shared" si="111"/>
        <v>50</v>
      </c>
      <c r="Q1211" s="10" t="str">
        <f t="shared" si="112"/>
        <v>ZSUM</v>
      </c>
      <c r="R1211" s="10" t="str">
        <f t="shared" si="113"/>
        <v>27111728</v>
      </c>
    </row>
    <row r="1212" spans="1:18" ht="25.5" hidden="1" x14ac:dyDescent="0.2">
      <c r="A1212" s="21" t="s">
        <v>1092</v>
      </c>
      <c r="B1212" s="8" t="s">
        <v>1091</v>
      </c>
      <c r="C1212" s="8" t="s">
        <v>40</v>
      </c>
      <c r="D1212" s="8" t="s">
        <v>434</v>
      </c>
      <c r="E1212" s="8" t="s">
        <v>40</v>
      </c>
      <c r="F1212" s="8" t="s">
        <v>39</v>
      </c>
      <c r="G1212" s="8" t="s">
        <v>60</v>
      </c>
      <c r="H1212" s="8" t="s">
        <v>37</v>
      </c>
      <c r="I1212" s="8" t="s">
        <v>53</v>
      </c>
      <c r="J1212" s="8" t="s">
        <v>59</v>
      </c>
      <c r="K1212" s="8" t="s">
        <v>775</v>
      </c>
      <c r="L1212" s="7">
        <v>7950</v>
      </c>
      <c r="M1212" s="10" t="str">
        <f t="shared" si="108"/>
        <v>CMI02130300</v>
      </c>
      <c r="N1212" s="10" t="str">
        <f t="shared" si="109"/>
        <v>SUM231200</v>
      </c>
      <c r="O1212" s="10" t="str">
        <f t="shared" si="110"/>
        <v>E</v>
      </c>
      <c r="P1212" s="10" t="str">
        <f t="shared" si="111"/>
        <v>50</v>
      </c>
      <c r="Q1212" s="10" t="str">
        <f t="shared" si="112"/>
        <v>ZSUM</v>
      </c>
      <c r="R1212" s="10" t="str">
        <f t="shared" si="113"/>
        <v>53131608</v>
      </c>
    </row>
    <row r="1213" spans="1:18" ht="25.5" hidden="1" x14ac:dyDescent="0.2">
      <c r="A1213" s="21" t="s">
        <v>1090</v>
      </c>
      <c r="B1213" s="8" t="s">
        <v>1089</v>
      </c>
      <c r="C1213" s="8" t="s">
        <v>40</v>
      </c>
      <c r="D1213" s="8" t="s">
        <v>249</v>
      </c>
      <c r="E1213" s="8" t="s">
        <v>40</v>
      </c>
      <c r="F1213" s="8" t="s">
        <v>39</v>
      </c>
      <c r="G1213" s="8" t="s">
        <v>60</v>
      </c>
      <c r="H1213" s="8" t="s">
        <v>37</v>
      </c>
      <c r="I1213" s="8" t="s">
        <v>53</v>
      </c>
      <c r="J1213" s="8" t="s">
        <v>59</v>
      </c>
      <c r="K1213" s="8" t="s">
        <v>1088</v>
      </c>
      <c r="L1213" s="7">
        <v>7951</v>
      </c>
      <c r="M1213" s="10" t="str">
        <f t="shared" si="108"/>
        <v>CMI02090700</v>
      </c>
      <c r="N1213" s="10" t="str">
        <f t="shared" si="109"/>
        <v>SUM231200</v>
      </c>
      <c r="O1213" s="10" t="str">
        <f t="shared" si="110"/>
        <v>E</v>
      </c>
      <c r="P1213" s="10" t="str">
        <f t="shared" si="111"/>
        <v>50</v>
      </c>
      <c r="Q1213" s="10" t="str">
        <f t="shared" si="112"/>
        <v>ZSUM</v>
      </c>
      <c r="R1213" s="10" t="str">
        <f t="shared" si="113"/>
        <v>27111704</v>
      </c>
    </row>
    <row r="1214" spans="1:18" ht="25.5" hidden="1" x14ac:dyDescent="0.2">
      <c r="A1214" s="21" t="s">
        <v>1087</v>
      </c>
      <c r="B1214" s="8" t="s">
        <v>1086</v>
      </c>
      <c r="C1214" s="8" t="s">
        <v>40</v>
      </c>
      <c r="D1214" s="8" t="s">
        <v>241</v>
      </c>
      <c r="E1214" s="8" t="s">
        <v>40</v>
      </c>
      <c r="F1214" s="8" t="s">
        <v>39</v>
      </c>
      <c r="G1214" s="8" t="s">
        <v>60</v>
      </c>
      <c r="H1214" s="8" t="s">
        <v>37</v>
      </c>
      <c r="I1214" s="8" t="s">
        <v>53</v>
      </c>
      <c r="J1214" s="8" t="s">
        <v>59</v>
      </c>
      <c r="K1214" s="8" t="s">
        <v>1085</v>
      </c>
      <c r="L1214" s="7">
        <v>7952</v>
      </c>
      <c r="M1214" s="10" t="str">
        <f t="shared" si="108"/>
        <v>CMI02090300</v>
      </c>
      <c r="N1214" s="10" t="str">
        <f t="shared" si="109"/>
        <v>SUM231200</v>
      </c>
      <c r="O1214" s="10" t="str">
        <f t="shared" si="110"/>
        <v>E</v>
      </c>
      <c r="P1214" s="10" t="str">
        <f t="shared" si="111"/>
        <v>50</v>
      </c>
      <c r="Q1214" s="10" t="str">
        <f t="shared" si="112"/>
        <v>ZSUM</v>
      </c>
      <c r="R1214" s="10" t="str">
        <f t="shared" si="113"/>
        <v>23271806</v>
      </c>
    </row>
    <row r="1215" spans="1:18" ht="25.5" hidden="1" x14ac:dyDescent="0.2">
      <c r="A1215" s="21" t="s">
        <v>1084</v>
      </c>
      <c r="B1215" s="8" t="s">
        <v>1083</v>
      </c>
      <c r="C1215" s="8" t="s">
        <v>40</v>
      </c>
      <c r="D1215" s="8" t="s">
        <v>1082</v>
      </c>
      <c r="E1215" s="8" t="s">
        <v>40</v>
      </c>
      <c r="F1215" s="8" t="s">
        <v>39</v>
      </c>
      <c r="G1215" s="8" t="s">
        <v>60</v>
      </c>
      <c r="H1215" s="8" t="s">
        <v>37</v>
      </c>
      <c r="I1215" s="8" t="s">
        <v>53</v>
      </c>
      <c r="J1215" s="8" t="s">
        <v>59</v>
      </c>
      <c r="K1215" s="8" t="s">
        <v>1081</v>
      </c>
      <c r="L1215" s="7">
        <v>7953</v>
      </c>
      <c r="M1215" s="10" t="str">
        <f t="shared" si="108"/>
        <v>CMI02050500</v>
      </c>
      <c r="N1215" s="10" t="str">
        <f t="shared" si="109"/>
        <v>SUM231200</v>
      </c>
      <c r="O1215" s="10" t="str">
        <f t="shared" si="110"/>
        <v>E</v>
      </c>
      <c r="P1215" s="10" t="str">
        <f t="shared" si="111"/>
        <v>50</v>
      </c>
      <c r="Q1215" s="10" t="str">
        <f t="shared" si="112"/>
        <v>ZSUM</v>
      </c>
      <c r="R1215" s="10" t="str">
        <f t="shared" si="113"/>
        <v>31151900</v>
      </c>
    </row>
    <row r="1216" spans="1:18" ht="38.25" hidden="1" x14ac:dyDescent="0.2">
      <c r="A1216" s="21" t="s">
        <v>1080</v>
      </c>
      <c r="B1216" s="8" t="s">
        <v>1079</v>
      </c>
      <c r="C1216" s="8" t="s">
        <v>40</v>
      </c>
      <c r="D1216" s="8" t="s">
        <v>990</v>
      </c>
      <c r="E1216" s="8" t="s">
        <v>40</v>
      </c>
      <c r="F1216" s="8" t="s">
        <v>39</v>
      </c>
      <c r="G1216" s="8" t="s">
        <v>85</v>
      </c>
      <c r="H1216" s="8" t="s">
        <v>37</v>
      </c>
      <c r="I1216" s="8" t="s">
        <v>53</v>
      </c>
      <c r="J1216" s="8" t="s">
        <v>59</v>
      </c>
      <c r="K1216" s="8" t="s">
        <v>1078</v>
      </c>
      <c r="L1216" s="7">
        <v>7954</v>
      </c>
      <c r="M1216" s="10" t="str">
        <f t="shared" si="108"/>
        <v>CMI02090500</v>
      </c>
      <c r="N1216" s="10" t="str">
        <f t="shared" si="109"/>
        <v>SUM231500</v>
      </c>
      <c r="O1216" s="10" t="str">
        <f t="shared" si="110"/>
        <v>E</v>
      </c>
      <c r="P1216" s="10" t="str">
        <f t="shared" si="111"/>
        <v>50</v>
      </c>
      <c r="Q1216" s="10" t="str">
        <f t="shared" si="112"/>
        <v>ZSUM</v>
      </c>
      <c r="R1216" s="10" t="str">
        <f t="shared" si="113"/>
        <v>27112806</v>
      </c>
    </row>
    <row r="1217" spans="1:18" ht="25.5" hidden="1" x14ac:dyDescent="0.2">
      <c r="A1217" s="21" t="s">
        <v>1077</v>
      </c>
      <c r="B1217" s="8" t="s">
        <v>1076</v>
      </c>
      <c r="C1217" s="8" t="s">
        <v>40</v>
      </c>
      <c r="D1217" s="8" t="s">
        <v>1075</v>
      </c>
      <c r="E1217" s="7">
        <v>6</v>
      </c>
      <c r="F1217" s="8" t="s">
        <v>39</v>
      </c>
      <c r="G1217" s="8" t="s">
        <v>60</v>
      </c>
      <c r="H1217" s="8" t="s">
        <v>37</v>
      </c>
      <c r="I1217" s="8" t="s">
        <v>36</v>
      </c>
      <c r="J1217" s="8" t="s">
        <v>59</v>
      </c>
      <c r="K1217" s="8" t="s">
        <v>1074</v>
      </c>
      <c r="L1217" s="7">
        <v>7955</v>
      </c>
      <c r="M1217" s="10" t="str">
        <f t="shared" si="108"/>
        <v>CMI02052300</v>
      </c>
      <c r="N1217" s="10" t="str">
        <f t="shared" si="109"/>
        <v>SUM231200</v>
      </c>
      <c r="O1217" s="10" t="str">
        <f t="shared" si="110"/>
        <v>E</v>
      </c>
      <c r="P1217" s="10" t="str">
        <f t="shared" si="111"/>
        <v>10</v>
      </c>
      <c r="Q1217" s="10" t="str">
        <f t="shared" si="112"/>
        <v>ZSUM</v>
      </c>
      <c r="R1217" s="10" t="str">
        <f t="shared" si="113"/>
        <v>31201500</v>
      </c>
    </row>
    <row r="1218" spans="1:18" ht="25.5" hidden="1" x14ac:dyDescent="0.2">
      <c r="A1218" s="21" t="s">
        <v>1073</v>
      </c>
      <c r="B1218" s="8" t="s">
        <v>1072</v>
      </c>
      <c r="C1218" s="8" t="s">
        <v>40</v>
      </c>
      <c r="D1218" s="8" t="s">
        <v>216</v>
      </c>
      <c r="E1218" s="8" t="s">
        <v>40</v>
      </c>
      <c r="F1218" s="8" t="s">
        <v>39</v>
      </c>
      <c r="G1218" s="8" t="s">
        <v>60</v>
      </c>
      <c r="H1218" s="8" t="s">
        <v>37</v>
      </c>
      <c r="I1218" s="8" t="s">
        <v>53</v>
      </c>
      <c r="J1218" s="8" t="s">
        <v>59</v>
      </c>
      <c r="K1218" s="8" t="s">
        <v>1071</v>
      </c>
      <c r="L1218" s="7">
        <v>7956</v>
      </c>
      <c r="M1218" s="10" t="str">
        <f t="shared" si="108"/>
        <v>CMI02140500</v>
      </c>
      <c r="N1218" s="10" t="str">
        <f t="shared" si="109"/>
        <v>SUM231200</v>
      </c>
      <c r="O1218" s="10" t="str">
        <f t="shared" si="110"/>
        <v>E</v>
      </c>
      <c r="P1218" s="10" t="str">
        <f t="shared" si="111"/>
        <v>50</v>
      </c>
      <c r="Q1218" s="10" t="str">
        <f t="shared" si="112"/>
        <v>ZSUM</v>
      </c>
      <c r="R1218" s="10" t="str">
        <f t="shared" si="113"/>
        <v>23271706</v>
      </c>
    </row>
    <row r="1219" spans="1:18" ht="25.5" hidden="1" x14ac:dyDescent="0.2">
      <c r="A1219" s="21" t="s">
        <v>1070</v>
      </c>
      <c r="B1219" s="8" t="s">
        <v>1069</v>
      </c>
      <c r="C1219" s="8" t="s">
        <v>40</v>
      </c>
      <c r="D1219" s="8" t="s">
        <v>216</v>
      </c>
      <c r="E1219" s="8" t="s">
        <v>40</v>
      </c>
      <c r="F1219" s="8" t="s">
        <v>39</v>
      </c>
      <c r="G1219" s="8" t="s">
        <v>85</v>
      </c>
      <c r="H1219" s="8" t="s">
        <v>37</v>
      </c>
      <c r="I1219" s="8" t="s">
        <v>53</v>
      </c>
      <c r="J1219" s="8" t="s">
        <v>59</v>
      </c>
      <c r="K1219" s="8" t="s">
        <v>1068</v>
      </c>
      <c r="L1219" s="7">
        <v>7957</v>
      </c>
      <c r="M1219" s="10" t="str">
        <f t="shared" ref="M1219:M1282" si="114">+LEFT(D1219,11)</f>
        <v>CMI02140500</v>
      </c>
      <c r="N1219" s="10" t="str">
        <f t="shared" ref="N1219:N1282" si="115">+LEFT(G1219,9)</f>
        <v>SUM231500</v>
      </c>
      <c r="O1219" s="10" t="str">
        <f t="shared" ref="O1219:O1282" si="116">+LEFT(H1219,1)</f>
        <v>E</v>
      </c>
      <c r="P1219" s="10" t="str">
        <f t="shared" ref="P1219:P1282" si="117">+LEFT(I1219,2)</f>
        <v>50</v>
      </c>
      <c r="Q1219" s="10" t="str">
        <f t="shared" ref="Q1219:Q1282" si="118">+LEFT(J1219,4)</f>
        <v>ZSUM</v>
      </c>
      <c r="R1219" s="10" t="str">
        <f t="shared" ref="R1219:R1282" si="119">+LEFT(K1219,8)</f>
        <v>27112104</v>
      </c>
    </row>
    <row r="1220" spans="1:18" ht="25.5" hidden="1" x14ac:dyDescent="0.2">
      <c r="A1220" s="21" t="s">
        <v>1067</v>
      </c>
      <c r="B1220" s="8" t="s">
        <v>1066</v>
      </c>
      <c r="C1220" s="8" t="s">
        <v>40</v>
      </c>
      <c r="D1220" s="8" t="s">
        <v>969</v>
      </c>
      <c r="E1220" s="8" t="s">
        <v>40</v>
      </c>
      <c r="F1220" s="8" t="s">
        <v>39</v>
      </c>
      <c r="G1220" s="8" t="s">
        <v>60</v>
      </c>
      <c r="H1220" s="8" t="s">
        <v>37</v>
      </c>
      <c r="I1220" s="8" t="s">
        <v>53</v>
      </c>
      <c r="J1220" s="8" t="s">
        <v>59</v>
      </c>
      <c r="K1220" s="8" t="s">
        <v>1065</v>
      </c>
      <c r="L1220" s="7">
        <v>7958</v>
      </c>
      <c r="M1220" s="10" t="str">
        <f t="shared" si="114"/>
        <v>CMI02051200</v>
      </c>
      <c r="N1220" s="10" t="str">
        <f t="shared" si="115"/>
        <v>SUM231200</v>
      </c>
      <c r="O1220" s="10" t="str">
        <f t="shared" si="116"/>
        <v>E</v>
      </c>
      <c r="P1220" s="10" t="str">
        <f t="shared" si="117"/>
        <v>50</v>
      </c>
      <c r="Q1220" s="10" t="str">
        <f t="shared" si="118"/>
        <v>ZSUM</v>
      </c>
      <c r="R1220" s="10" t="str">
        <f t="shared" si="119"/>
        <v>39131704</v>
      </c>
    </row>
    <row r="1221" spans="1:18" ht="25.5" hidden="1" x14ac:dyDescent="0.2">
      <c r="A1221" s="21" t="s">
        <v>1064</v>
      </c>
      <c r="B1221" s="8" t="s">
        <v>1063</v>
      </c>
      <c r="C1221" s="8" t="s">
        <v>40</v>
      </c>
      <c r="D1221" s="8" t="s">
        <v>245</v>
      </c>
      <c r="E1221" s="8" t="s">
        <v>40</v>
      </c>
      <c r="F1221" s="8" t="s">
        <v>39</v>
      </c>
      <c r="G1221" s="8" t="s">
        <v>624</v>
      </c>
      <c r="H1221" s="8" t="s">
        <v>37</v>
      </c>
      <c r="I1221" s="8" t="s">
        <v>53</v>
      </c>
      <c r="J1221" s="8" t="s">
        <v>59</v>
      </c>
      <c r="K1221" s="8" t="s">
        <v>1062</v>
      </c>
      <c r="L1221" s="7">
        <v>7959</v>
      </c>
      <c r="M1221" s="10" t="str">
        <f t="shared" si="114"/>
        <v>CMI01020300</v>
      </c>
      <c r="N1221" s="10" t="str">
        <f t="shared" si="115"/>
        <v>SUM231400</v>
      </c>
      <c r="O1221" s="10" t="str">
        <f t="shared" si="116"/>
        <v>E</v>
      </c>
      <c r="P1221" s="10" t="str">
        <f t="shared" si="117"/>
        <v>50</v>
      </c>
      <c r="Q1221" s="10" t="str">
        <f t="shared" si="118"/>
        <v>ZSUM</v>
      </c>
      <c r="R1221" s="10" t="str">
        <f t="shared" si="119"/>
        <v>47121602</v>
      </c>
    </row>
    <row r="1222" spans="1:18" ht="38.25" hidden="1" x14ac:dyDescent="0.2">
      <c r="A1222" s="21" t="s">
        <v>1061</v>
      </c>
      <c r="B1222" s="8" t="s">
        <v>1060</v>
      </c>
      <c r="C1222" s="8" t="s">
        <v>40</v>
      </c>
      <c r="D1222" s="8" t="s">
        <v>1059</v>
      </c>
      <c r="E1222" s="8" t="s">
        <v>40</v>
      </c>
      <c r="F1222" s="8" t="s">
        <v>39</v>
      </c>
      <c r="G1222" s="8" t="s">
        <v>60</v>
      </c>
      <c r="H1222" s="8" t="s">
        <v>37</v>
      </c>
      <c r="I1222" s="8" t="s">
        <v>53</v>
      </c>
      <c r="J1222" s="8" t="s">
        <v>59</v>
      </c>
      <c r="K1222" s="8" t="s">
        <v>1058</v>
      </c>
      <c r="L1222" s="7">
        <v>7960</v>
      </c>
      <c r="M1222" s="10" t="str">
        <f t="shared" si="114"/>
        <v>CMI02090600</v>
      </c>
      <c r="N1222" s="10" t="str">
        <f t="shared" si="115"/>
        <v>SUM231200</v>
      </c>
      <c r="O1222" s="10" t="str">
        <f t="shared" si="116"/>
        <v>E</v>
      </c>
      <c r="P1222" s="10" t="str">
        <f t="shared" si="117"/>
        <v>50</v>
      </c>
      <c r="Q1222" s="10" t="str">
        <f t="shared" si="118"/>
        <v>ZSUM</v>
      </c>
      <c r="R1222" s="10" t="str">
        <f t="shared" si="119"/>
        <v>40141603</v>
      </c>
    </row>
    <row r="1223" spans="1:18" ht="25.5" hidden="1" x14ac:dyDescent="0.2">
      <c r="A1223" s="21" t="s">
        <v>1057</v>
      </c>
      <c r="B1223" s="8" t="s">
        <v>1056</v>
      </c>
      <c r="C1223" s="8" t="s">
        <v>40</v>
      </c>
      <c r="D1223" s="8" t="s">
        <v>245</v>
      </c>
      <c r="E1223" s="8" t="s">
        <v>40</v>
      </c>
      <c r="F1223" s="8" t="s">
        <v>39</v>
      </c>
      <c r="G1223" s="8" t="s">
        <v>985</v>
      </c>
      <c r="H1223" s="8" t="s">
        <v>37</v>
      </c>
      <c r="I1223" s="8" t="s">
        <v>53</v>
      </c>
      <c r="J1223" s="8" t="s">
        <v>59</v>
      </c>
      <c r="K1223" s="8" t="s">
        <v>1055</v>
      </c>
      <c r="L1223" s="7">
        <v>7961</v>
      </c>
      <c r="M1223" s="10" t="str">
        <f t="shared" si="114"/>
        <v>CMI01020300</v>
      </c>
      <c r="N1223" s="10" t="str">
        <f t="shared" si="115"/>
        <v>SUM231600</v>
      </c>
      <c r="O1223" s="10" t="str">
        <f t="shared" si="116"/>
        <v>E</v>
      </c>
      <c r="P1223" s="10" t="str">
        <f t="shared" si="117"/>
        <v>50</v>
      </c>
      <c r="Q1223" s="10" t="str">
        <f t="shared" si="118"/>
        <v>ZSUM</v>
      </c>
      <c r="R1223" s="10" t="str">
        <f t="shared" si="119"/>
        <v>23152105</v>
      </c>
    </row>
    <row r="1224" spans="1:18" ht="25.5" hidden="1" x14ac:dyDescent="0.2">
      <c r="A1224" s="21" t="s">
        <v>1054</v>
      </c>
      <c r="B1224" s="8" t="s">
        <v>1053</v>
      </c>
      <c r="C1224" s="8" t="s">
        <v>40</v>
      </c>
      <c r="D1224" s="8" t="s">
        <v>730</v>
      </c>
      <c r="E1224" s="8" t="s">
        <v>40</v>
      </c>
      <c r="F1224" s="8" t="s">
        <v>39</v>
      </c>
      <c r="G1224" s="8" t="s">
        <v>60</v>
      </c>
      <c r="H1224" s="8" t="s">
        <v>37</v>
      </c>
      <c r="I1224" s="8" t="s">
        <v>53</v>
      </c>
      <c r="J1224" s="8" t="s">
        <v>59</v>
      </c>
      <c r="K1224" s="8" t="s">
        <v>757</v>
      </c>
      <c r="L1224" s="7">
        <v>7962</v>
      </c>
      <c r="M1224" s="10" t="str">
        <f t="shared" si="114"/>
        <v>CMI02130200</v>
      </c>
      <c r="N1224" s="10" t="str">
        <f t="shared" si="115"/>
        <v>SUM231200</v>
      </c>
      <c r="O1224" s="10" t="str">
        <f t="shared" si="116"/>
        <v>E</v>
      </c>
      <c r="P1224" s="10" t="str">
        <f t="shared" si="117"/>
        <v>50</v>
      </c>
      <c r="Q1224" s="10" t="str">
        <f t="shared" si="118"/>
        <v>ZSUM</v>
      </c>
      <c r="R1224" s="10" t="str">
        <f t="shared" si="119"/>
        <v>12181500</v>
      </c>
    </row>
    <row r="1225" spans="1:18" ht="25.5" hidden="1" x14ac:dyDescent="0.2">
      <c r="A1225" s="21" t="s">
        <v>1052</v>
      </c>
      <c r="B1225" s="8" t="s">
        <v>1051</v>
      </c>
      <c r="C1225" s="8" t="s">
        <v>40</v>
      </c>
      <c r="D1225" s="8" t="s">
        <v>245</v>
      </c>
      <c r="E1225" s="8" t="s">
        <v>40</v>
      </c>
      <c r="F1225" s="8" t="s">
        <v>39</v>
      </c>
      <c r="G1225" s="8" t="s">
        <v>624</v>
      </c>
      <c r="H1225" s="8" t="s">
        <v>37</v>
      </c>
      <c r="I1225" s="8" t="s">
        <v>53</v>
      </c>
      <c r="J1225" s="8" t="s">
        <v>59</v>
      </c>
      <c r="K1225" s="8" t="s">
        <v>1050</v>
      </c>
      <c r="L1225" s="7">
        <v>7963</v>
      </c>
      <c r="M1225" s="10" t="str">
        <f t="shared" si="114"/>
        <v>CMI01020300</v>
      </c>
      <c r="N1225" s="10" t="str">
        <f t="shared" si="115"/>
        <v>SUM231400</v>
      </c>
      <c r="O1225" s="10" t="str">
        <f t="shared" si="116"/>
        <v>E</v>
      </c>
      <c r="P1225" s="10" t="str">
        <f t="shared" si="117"/>
        <v>50</v>
      </c>
      <c r="Q1225" s="10" t="str">
        <f t="shared" si="118"/>
        <v>ZSUM</v>
      </c>
      <c r="R1225" s="10" t="str">
        <f t="shared" si="119"/>
        <v>23271400</v>
      </c>
    </row>
    <row r="1226" spans="1:18" ht="25.5" hidden="1" x14ac:dyDescent="0.2">
      <c r="A1226" s="21" t="s">
        <v>1049</v>
      </c>
      <c r="B1226" s="8" t="s">
        <v>1048</v>
      </c>
      <c r="C1226" s="8" t="s">
        <v>40</v>
      </c>
      <c r="D1226" s="8" t="s">
        <v>249</v>
      </c>
      <c r="E1226" s="8" t="s">
        <v>40</v>
      </c>
      <c r="F1226" s="8" t="s">
        <v>39</v>
      </c>
      <c r="G1226" s="8" t="s">
        <v>975</v>
      </c>
      <c r="H1226" s="8" t="s">
        <v>37</v>
      </c>
      <c r="I1226" s="8" t="s">
        <v>53</v>
      </c>
      <c r="J1226" s="8" t="s">
        <v>59</v>
      </c>
      <c r="K1226" s="8" t="s">
        <v>1047</v>
      </c>
      <c r="L1226" s="7">
        <v>7964</v>
      </c>
      <c r="M1226" s="10" t="str">
        <f t="shared" si="114"/>
        <v>CMI02090700</v>
      </c>
      <c r="N1226" s="10" t="str">
        <f t="shared" si="115"/>
        <v>SUM231100</v>
      </c>
      <c r="O1226" s="10" t="str">
        <f t="shared" si="116"/>
        <v>E</v>
      </c>
      <c r="P1226" s="10" t="str">
        <f t="shared" si="117"/>
        <v>50</v>
      </c>
      <c r="Q1226" s="10" t="str">
        <f t="shared" si="118"/>
        <v>ZSUM</v>
      </c>
      <c r="R1226" s="10" t="str">
        <f t="shared" si="119"/>
        <v>31162702</v>
      </c>
    </row>
    <row r="1227" spans="1:18" ht="25.5" hidden="1" x14ac:dyDescent="0.2">
      <c r="A1227" s="21" t="s">
        <v>1046</v>
      </c>
      <c r="B1227" s="8" t="s">
        <v>1045</v>
      </c>
      <c r="C1227" s="8" t="s">
        <v>40</v>
      </c>
      <c r="D1227" s="8" t="s">
        <v>249</v>
      </c>
      <c r="E1227" s="8" t="s">
        <v>40</v>
      </c>
      <c r="F1227" s="8" t="s">
        <v>39</v>
      </c>
      <c r="G1227" s="8" t="s">
        <v>985</v>
      </c>
      <c r="H1227" s="8" t="s">
        <v>37</v>
      </c>
      <c r="I1227" s="8" t="s">
        <v>53</v>
      </c>
      <c r="J1227" s="8" t="s">
        <v>59</v>
      </c>
      <c r="K1227" s="8" t="s">
        <v>1044</v>
      </c>
      <c r="L1227" s="7">
        <v>7965</v>
      </c>
      <c r="M1227" s="10" t="str">
        <f t="shared" si="114"/>
        <v>CMI02090700</v>
      </c>
      <c r="N1227" s="10" t="str">
        <f t="shared" si="115"/>
        <v>SUM231600</v>
      </c>
      <c r="O1227" s="10" t="str">
        <f t="shared" si="116"/>
        <v>E</v>
      </c>
      <c r="P1227" s="10" t="str">
        <f t="shared" si="117"/>
        <v>50</v>
      </c>
      <c r="Q1227" s="10" t="str">
        <f t="shared" si="118"/>
        <v>ZSUM</v>
      </c>
      <c r="R1227" s="10" t="str">
        <f t="shared" si="119"/>
        <v>24101608</v>
      </c>
    </row>
    <row r="1228" spans="1:18" ht="25.5" hidden="1" x14ac:dyDescent="0.2">
      <c r="A1228" s="21" t="s">
        <v>1043</v>
      </c>
      <c r="B1228" s="8" t="s">
        <v>1042</v>
      </c>
      <c r="C1228" s="8" t="s">
        <v>40</v>
      </c>
      <c r="D1228" s="8" t="s">
        <v>249</v>
      </c>
      <c r="E1228" s="8" t="s">
        <v>40</v>
      </c>
      <c r="F1228" s="8" t="s">
        <v>39</v>
      </c>
      <c r="G1228" s="8" t="s">
        <v>60</v>
      </c>
      <c r="H1228" s="8" t="s">
        <v>37</v>
      </c>
      <c r="I1228" s="8" t="s">
        <v>53</v>
      </c>
      <c r="J1228" s="8" t="s">
        <v>59</v>
      </c>
      <c r="K1228" s="8" t="s">
        <v>1041</v>
      </c>
      <c r="L1228" s="7">
        <v>7966</v>
      </c>
      <c r="M1228" s="10" t="str">
        <f t="shared" si="114"/>
        <v>CMI02090700</v>
      </c>
      <c r="N1228" s="10" t="str">
        <f t="shared" si="115"/>
        <v>SUM231200</v>
      </c>
      <c r="O1228" s="10" t="str">
        <f t="shared" si="116"/>
        <v>E</v>
      </c>
      <c r="P1228" s="10" t="str">
        <f t="shared" si="117"/>
        <v>50</v>
      </c>
      <c r="Q1228" s="10" t="str">
        <f t="shared" si="118"/>
        <v>ZSUM</v>
      </c>
      <c r="R1228" s="10" t="str">
        <f t="shared" si="119"/>
        <v>31152200</v>
      </c>
    </row>
    <row r="1229" spans="1:18" ht="38.25" hidden="1" x14ac:dyDescent="0.2">
      <c r="A1229" s="21" t="s">
        <v>1040</v>
      </c>
      <c r="B1229" s="8" t="s">
        <v>1039</v>
      </c>
      <c r="C1229" s="8" t="s">
        <v>40</v>
      </c>
      <c r="D1229" s="8" t="s">
        <v>990</v>
      </c>
      <c r="E1229" s="8" t="s">
        <v>40</v>
      </c>
      <c r="F1229" s="8" t="s">
        <v>39</v>
      </c>
      <c r="G1229" s="8" t="s">
        <v>85</v>
      </c>
      <c r="H1229" s="8" t="s">
        <v>37</v>
      </c>
      <c r="I1229" s="8" t="s">
        <v>53</v>
      </c>
      <c r="J1229" s="8" t="s">
        <v>59</v>
      </c>
      <c r="K1229" s="8" t="s">
        <v>1038</v>
      </c>
      <c r="L1229" s="7">
        <v>7967</v>
      </c>
      <c r="M1229" s="10" t="str">
        <f t="shared" si="114"/>
        <v>CMI02090500</v>
      </c>
      <c r="N1229" s="10" t="str">
        <f t="shared" si="115"/>
        <v>SUM231500</v>
      </c>
      <c r="O1229" s="10" t="str">
        <f t="shared" si="116"/>
        <v>E</v>
      </c>
      <c r="P1229" s="10" t="str">
        <f t="shared" si="117"/>
        <v>50</v>
      </c>
      <c r="Q1229" s="10" t="str">
        <f t="shared" si="118"/>
        <v>ZSUM</v>
      </c>
      <c r="R1229" s="10" t="str">
        <f t="shared" si="119"/>
        <v>25191720</v>
      </c>
    </row>
    <row r="1230" spans="1:18" ht="38.25" hidden="1" x14ac:dyDescent="0.2">
      <c r="A1230" s="21" t="s">
        <v>1037</v>
      </c>
      <c r="B1230" s="8" t="s">
        <v>1036</v>
      </c>
      <c r="C1230" s="8" t="s">
        <v>40</v>
      </c>
      <c r="D1230" s="8" t="s">
        <v>990</v>
      </c>
      <c r="E1230" s="8" t="s">
        <v>40</v>
      </c>
      <c r="F1230" s="8" t="s">
        <v>39</v>
      </c>
      <c r="G1230" s="8" t="s">
        <v>85</v>
      </c>
      <c r="H1230" s="8" t="s">
        <v>37</v>
      </c>
      <c r="I1230" s="8" t="s">
        <v>53</v>
      </c>
      <c r="J1230" s="8" t="s">
        <v>59</v>
      </c>
      <c r="K1230" s="8" t="s">
        <v>1035</v>
      </c>
      <c r="L1230" s="7">
        <v>7968</v>
      </c>
      <c r="M1230" s="10" t="str">
        <f t="shared" si="114"/>
        <v>CMI02090500</v>
      </c>
      <c r="N1230" s="10" t="str">
        <f t="shared" si="115"/>
        <v>SUM231500</v>
      </c>
      <c r="O1230" s="10" t="str">
        <f t="shared" si="116"/>
        <v>E</v>
      </c>
      <c r="P1230" s="10" t="str">
        <f t="shared" si="117"/>
        <v>50</v>
      </c>
      <c r="Q1230" s="10" t="str">
        <f t="shared" si="118"/>
        <v>ZSUM</v>
      </c>
      <c r="R1230" s="10" t="str">
        <f t="shared" si="119"/>
        <v>27111705</v>
      </c>
    </row>
    <row r="1231" spans="1:18" ht="38.25" hidden="1" x14ac:dyDescent="0.2">
      <c r="A1231" s="21" t="s">
        <v>1034</v>
      </c>
      <c r="B1231" s="8" t="s">
        <v>1033</v>
      </c>
      <c r="C1231" s="8" t="s">
        <v>40</v>
      </c>
      <c r="D1231" s="8" t="s">
        <v>990</v>
      </c>
      <c r="E1231" s="8" t="s">
        <v>40</v>
      </c>
      <c r="F1231" s="8" t="s">
        <v>39</v>
      </c>
      <c r="G1231" s="8" t="s">
        <v>60</v>
      </c>
      <c r="H1231" s="8" t="s">
        <v>37</v>
      </c>
      <c r="I1231" s="8" t="s">
        <v>53</v>
      </c>
      <c r="J1231" s="8" t="s">
        <v>59</v>
      </c>
      <c r="K1231" s="8" t="s">
        <v>1032</v>
      </c>
      <c r="L1231" s="7">
        <v>7969</v>
      </c>
      <c r="M1231" s="10" t="str">
        <f t="shared" si="114"/>
        <v>CMI02090500</v>
      </c>
      <c r="N1231" s="10" t="str">
        <f t="shared" si="115"/>
        <v>SUM231200</v>
      </c>
      <c r="O1231" s="10" t="str">
        <f t="shared" si="116"/>
        <v>E</v>
      </c>
      <c r="P1231" s="10" t="str">
        <f t="shared" si="117"/>
        <v>50</v>
      </c>
      <c r="Q1231" s="10" t="str">
        <f t="shared" si="118"/>
        <v>ZSUM</v>
      </c>
      <c r="R1231" s="10" t="str">
        <f t="shared" si="119"/>
        <v>27111713</v>
      </c>
    </row>
    <row r="1232" spans="1:18" ht="38.25" hidden="1" x14ac:dyDescent="0.2">
      <c r="A1232" s="21" t="s">
        <v>1031</v>
      </c>
      <c r="B1232" s="8" t="s">
        <v>1030</v>
      </c>
      <c r="C1232" s="8" t="s">
        <v>40</v>
      </c>
      <c r="D1232" s="8" t="s">
        <v>990</v>
      </c>
      <c r="E1232" s="8" t="s">
        <v>40</v>
      </c>
      <c r="F1232" s="8" t="s">
        <v>39</v>
      </c>
      <c r="G1232" s="8" t="s">
        <v>60</v>
      </c>
      <c r="H1232" s="8" t="s">
        <v>37</v>
      </c>
      <c r="I1232" s="8" t="s">
        <v>53</v>
      </c>
      <c r="J1232" s="8" t="s">
        <v>59</v>
      </c>
      <c r="K1232" s="8" t="s">
        <v>1029</v>
      </c>
      <c r="L1232" s="7">
        <v>7970</v>
      </c>
      <c r="M1232" s="10" t="str">
        <f t="shared" si="114"/>
        <v>CMI02090500</v>
      </c>
      <c r="N1232" s="10" t="str">
        <f t="shared" si="115"/>
        <v>SUM231200</v>
      </c>
      <c r="O1232" s="10" t="str">
        <f t="shared" si="116"/>
        <v>E</v>
      </c>
      <c r="P1232" s="10" t="str">
        <f t="shared" si="117"/>
        <v>50</v>
      </c>
      <c r="Q1232" s="10" t="str">
        <f t="shared" si="118"/>
        <v>ZSUM</v>
      </c>
      <c r="R1232" s="10" t="str">
        <f t="shared" si="119"/>
        <v>31160000</v>
      </c>
    </row>
    <row r="1233" spans="1:18" ht="38.25" hidden="1" x14ac:dyDescent="0.2">
      <c r="A1233" s="21" t="s">
        <v>1028</v>
      </c>
      <c r="B1233" s="8" t="s">
        <v>1027</v>
      </c>
      <c r="C1233" s="8" t="s">
        <v>40</v>
      </c>
      <c r="D1233" s="8" t="s">
        <v>990</v>
      </c>
      <c r="E1233" s="8" t="s">
        <v>40</v>
      </c>
      <c r="F1233" s="8" t="s">
        <v>39</v>
      </c>
      <c r="G1233" s="8" t="s">
        <v>85</v>
      </c>
      <c r="H1233" s="8" t="s">
        <v>37</v>
      </c>
      <c r="I1233" s="8" t="s">
        <v>53</v>
      </c>
      <c r="J1233" s="8" t="s">
        <v>59</v>
      </c>
      <c r="K1233" s="8" t="s">
        <v>1026</v>
      </c>
      <c r="L1233" s="7">
        <v>7971</v>
      </c>
      <c r="M1233" s="10" t="str">
        <f t="shared" si="114"/>
        <v>CMI02090500</v>
      </c>
      <c r="N1233" s="10" t="str">
        <f t="shared" si="115"/>
        <v>SUM231500</v>
      </c>
      <c r="O1233" s="10" t="str">
        <f t="shared" si="116"/>
        <v>E</v>
      </c>
      <c r="P1233" s="10" t="str">
        <f t="shared" si="117"/>
        <v>50</v>
      </c>
      <c r="Q1233" s="10" t="str">
        <f t="shared" si="118"/>
        <v>ZSUM</v>
      </c>
      <c r="R1233" s="10" t="str">
        <f t="shared" si="119"/>
        <v>27112813</v>
      </c>
    </row>
    <row r="1234" spans="1:18" ht="25.5" hidden="1" x14ac:dyDescent="0.2">
      <c r="A1234" s="21" t="s">
        <v>1025</v>
      </c>
      <c r="B1234" s="8" t="s">
        <v>1024</v>
      </c>
      <c r="C1234" s="8" t="s">
        <v>40</v>
      </c>
      <c r="D1234" s="8" t="s">
        <v>1023</v>
      </c>
      <c r="E1234" s="8" t="s">
        <v>40</v>
      </c>
      <c r="F1234" s="8" t="s">
        <v>39</v>
      </c>
      <c r="G1234" s="8" t="s">
        <v>885</v>
      </c>
      <c r="H1234" s="8" t="s">
        <v>37</v>
      </c>
      <c r="I1234" s="8" t="s">
        <v>53</v>
      </c>
      <c r="J1234" s="8" t="s">
        <v>59</v>
      </c>
      <c r="K1234" s="8" t="s">
        <v>1022</v>
      </c>
      <c r="L1234" s="7">
        <v>7972</v>
      </c>
      <c r="M1234" s="10" t="str">
        <f t="shared" si="114"/>
        <v>CMI02050800</v>
      </c>
      <c r="N1234" s="10" t="str">
        <f t="shared" si="115"/>
        <v>SUM231000</v>
      </c>
      <c r="O1234" s="10" t="str">
        <f t="shared" si="116"/>
        <v>E</v>
      </c>
      <c r="P1234" s="10" t="str">
        <f t="shared" si="117"/>
        <v>50</v>
      </c>
      <c r="Q1234" s="10" t="str">
        <f t="shared" si="118"/>
        <v>ZSUM</v>
      </c>
      <c r="R1234" s="10" t="str">
        <f t="shared" si="119"/>
        <v>39112102</v>
      </c>
    </row>
    <row r="1235" spans="1:18" ht="38.25" hidden="1" x14ac:dyDescent="0.2">
      <c r="A1235" s="21" t="s">
        <v>1021</v>
      </c>
      <c r="B1235" s="8" t="s">
        <v>1020</v>
      </c>
      <c r="C1235" s="8" t="s">
        <v>40</v>
      </c>
      <c r="D1235" s="8" t="s">
        <v>363</v>
      </c>
      <c r="E1235" s="8" t="s">
        <v>40</v>
      </c>
      <c r="F1235" s="8" t="s">
        <v>39</v>
      </c>
      <c r="G1235" s="8" t="s">
        <v>60</v>
      </c>
      <c r="H1235" s="8" t="s">
        <v>37</v>
      </c>
      <c r="I1235" s="8" t="s">
        <v>53</v>
      </c>
      <c r="J1235" s="8" t="s">
        <v>59</v>
      </c>
      <c r="K1235" s="8" t="s">
        <v>1019</v>
      </c>
      <c r="L1235" s="7">
        <v>7973</v>
      </c>
      <c r="M1235" s="10" t="str">
        <f t="shared" si="114"/>
        <v>CMI02051300</v>
      </c>
      <c r="N1235" s="10" t="str">
        <f t="shared" si="115"/>
        <v>SUM231200</v>
      </c>
      <c r="O1235" s="10" t="str">
        <f t="shared" si="116"/>
        <v>E</v>
      </c>
      <c r="P1235" s="10" t="str">
        <f t="shared" si="117"/>
        <v>50</v>
      </c>
      <c r="Q1235" s="10" t="str">
        <f t="shared" si="118"/>
        <v>ZSUM</v>
      </c>
      <c r="R1235" s="10" t="str">
        <f t="shared" si="119"/>
        <v>23271700</v>
      </c>
    </row>
    <row r="1236" spans="1:18" ht="25.5" hidden="1" x14ac:dyDescent="0.2">
      <c r="A1236" s="22" t="s">
        <v>1018</v>
      </c>
      <c r="B1236" s="8" t="s">
        <v>1017</v>
      </c>
      <c r="C1236" s="8" t="s">
        <v>40</v>
      </c>
      <c r="D1236" s="8" t="s">
        <v>216</v>
      </c>
      <c r="E1236" s="8" t="s">
        <v>40</v>
      </c>
      <c r="F1236" s="8" t="s">
        <v>39</v>
      </c>
      <c r="G1236" s="8" t="s">
        <v>85</v>
      </c>
      <c r="H1236" s="8" t="s">
        <v>37</v>
      </c>
      <c r="I1236" s="8" t="s">
        <v>53</v>
      </c>
      <c r="J1236" s="8" t="s">
        <v>59</v>
      </c>
      <c r="K1236" s="8" t="s">
        <v>1016</v>
      </c>
      <c r="L1236" s="7">
        <v>7974</v>
      </c>
      <c r="M1236" s="10" t="str">
        <f t="shared" si="114"/>
        <v>CMI02140500</v>
      </c>
      <c r="N1236" s="10" t="str">
        <f t="shared" si="115"/>
        <v>SUM231500</v>
      </c>
      <c r="O1236" s="10" t="str">
        <f t="shared" si="116"/>
        <v>E</v>
      </c>
      <c r="P1236" s="10" t="str">
        <f t="shared" si="117"/>
        <v>50</v>
      </c>
      <c r="Q1236" s="10" t="str">
        <f t="shared" si="118"/>
        <v>ZSUM</v>
      </c>
      <c r="R1236" s="10" t="str">
        <f t="shared" si="119"/>
        <v>27111736</v>
      </c>
    </row>
    <row r="1237" spans="1:18" ht="38.25" hidden="1" x14ac:dyDescent="0.2">
      <c r="A1237" s="22" t="s">
        <v>1015</v>
      </c>
      <c r="B1237" s="8" t="s">
        <v>1014</v>
      </c>
      <c r="C1237" s="8" t="s">
        <v>40</v>
      </c>
      <c r="D1237" s="8" t="s">
        <v>216</v>
      </c>
      <c r="E1237" s="8" t="s">
        <v>40</v>
      </c>
      <c r="F1237" s="8" t="s">
        <v>39</v>
      </c>
      <c r="G1237" s="8" t="s">
        <v>85</v>
      </c>
      <c r="H1237" s="8" t="s">
        <v>37</v>
      </c>
      <c r="I1237" s="8" t="s">
        <v>53</v>
      </c>
      <c r="J1237" s="8" t="s">
        <v>59</v>
      </c>
      <c r="K1237" s="8" t="s">
        <v>1013</v>
      </c>
      <c r="L1237" s="7">
        <v>7975</v>
      </c>
      <c r="M1237" s="10" t="str">
        <f t="shared" si="114"/>
        <v>CMI02140500</v>
      </c>
      <c r="N1237" s="10" t="str">
        <f t="shared" si="115"/>
        <v>SUM231500</v>
      </c>
      <c r="O1237" s="10" t="str">
        <f t="shared" si="116"/>
        <v>E</v>
      </c>
      <c r="P1237" s="10" t="str">
        <f t="shared" si="117"/>
        <v>50</v>
      </c>
      <c r="Q1237" s="10" t="str">
        <f t="shared" si="118"/>
        <v>ZSUM</v>
      </c>
      <c r="R1237" s="10" t="str">
        <f t="shared" si="119"/>
        <v>27111740</v>
      </c>
    </row>
    <row r="1238" spans="1:18" ht="25.5" hidden="1" x14ac:dyDescent="0.2">
      <c r="A1238" s="22" t="s">
        <v>1012</v>
      </c>
      <c r="B1238" s="8" t="s">
        <v>1011</v>
      </c>
      <c r="C1238" s="8" t="s">
        <v>40</v>
      </c>
      <c r="D1238" s="8" t="s">
        <v>212</v>
      </c>
      <c r="E1238" s="8" t="s">
        <v>40</v>
      </c>
      <c r="F1238" s="8" t="s">
        <v>39</v>
      </c>
      <c r="G1238" s="8" t="s">
        <v>208</v>
      </c>
      <c r="H1238" s="8" t="s">
        <v>37</v>
      </c>
      <c r="I1238" s="8" t="s">
        <v>53</v>
      </c>
      <c r="J1238" s="8" t="s">
        <v>59</v>
      </c>
      <c r="K1238" s="8" t="s">
        <v>1010</v>
      </c>
      <c r="L1238" s="7">
        <v>7976</v>
      </c>
      <c r="M1238" s="10" t="str">
        <f t="shared" si="114"/>
        <v>CMI01010500</v>
      </c>
      <c r="N1238" s="10" t="str">
        <f t="shared" si="115"/>
        <v>SUM301000</v>
      </c>
      <c r="O1238" s="10" t="str">
        <f t="shared" si="116"/>
        <v>E</v>
      </c>
      <c r="P1238" s="10" t="str">
        <f t="shared" si="117"/>
        <v>50</v>
      </c>
      <c r="Q1238" s="10" t="str">
        <f t="shared" si="118"/>
        <v>ZSUM</v>
      </c>
      <c r="R1238" s="10" t="str">
        <f t="shared" si="119"/>
        <v>43211617</v>
      </c>
    </row>
    <row r="1239" spans="1:18" ht="25.5" hidden="1" x14ac:dyDescent="0.2">
      <c r="A1239" s="22" t="s">
        <v>1009</v>
      </c>
      <c r="B1239" s="8" t="s">
        <v>1008</v>
      </c>
      <c r="C1239" s="8" t="s">
        <v>40</v>
      </c>
      <c r="D1239" s="8" t="s">
        <v>249</v>
      </c>
      <c r="E1239" s="8" t="s">
        <v>40</v>
      </c>
      <c r="F1239" s="8" t="s">
        <v>39</v>
      </c>
      <c r="G1239" s="8" t="s">
        <v>60</v>
      </c>
      <c r="H1239" s="8" t="s">
        <v>37</v>
      </c>
      <c r="I1239" s="8" t="s">
        <v>53</v>
      </c>
      <c r="J1239" s="8" t="s">
        <v>59</v>
      </c>
      <c r="K1239" s="8" t="s">
        <v>1007</v>
      </c>
      <c r="L1239" s="7">
        <v>7977</v>
      </c>
      <c r="M1239" s="10" t="str">
        <f t="shared" si="114"/>
        <v>CMI02090700</v>
      </c>
      <c r="N1239" s="10" t="str">
        <f t="shared" si="115"/>
        <v>SUM231200</v>
      </c>
      <c r="O1239" s="10" t="str">
        <f t="shared" si="116"/>
        <v>E</v>
      </c>
      <c r="P1239" s="10" t="str">
        <f t="shared" si="117"/>
        <v>50</v>
      </c>
      <c r="Q1239" s="10" t="str">
        <f t="shared" si="118"/>
        <v>ZSUM</v>
      </c>
      <c r="R1239" s="10" t="str">
        <f t="shared" si="119"/>
        <v>40141736</v>
      </c>
    </row>
    <row r="1240" spans="1:18" ht="38.25" hidden="1" x14ac:dyDescent="0.2">
      <c r="A1240" s="22" t="s">
        <v>1006</v>
      </c>
      <c r="B1240" s="8" t="s">
        <v>1005</v>
      </c>
      <c r="C1240" s="8" t="s">
        <v>40</v>
      </c>
      <c r="D1240" s="8" t="s">
        <v>55</v>
      </c>
      <c r="E1240" s="8" t="s">
        <v>40</v>
      </c>
      <c r="F1240" s="8" t="s">
        <v>39</v>
      </c>
      <c r="G1240" s="8" t="s">
        <v>631</v>
      </c>
      <c r="H1240" s="8" t="s">
        <v>37</v>
      </c>
      <c r="I1240" s="8" t="s">
        <v>53</v>
      </c>
      <c r="J1240" s="8" t="s">
        <v>59</v>
      </c>
      <c r="K1240" s="8" t="s">
        <v>1004</v>
      </c>
      <c r="L1240" s="7">
        <v>7978</v>
      </c>
      <c r="M1240" s="10" t="str">
        <f t="shared" si="114"/>
        <v>CMI02140300</v>
      </c>
      <c r="N1240" s="10" t="str">
        <f t="shared" si="115"/>
        <v>SUM231300</v>
      </c>
      <c r="O1240" s="10" t="str">
        <f t="shared" si="116"/>
        <v>E</v>
      </c>
      <c r="P1240" s="10" t="str">
        <f t="shared" si="117"/>
        <v>50</v>
      </c>
      <c r="Q1240" s="10" t="str">
        <f t="shared" si="118"/>
        <v>ZSUM</v>
      </c>
      <c r="R1240" s="10" t="str">
        <f t="shared" si="119"/>
        <v>41113801</v>
      </c>
    </row>
    <row r="1241" spans="1:18" ht="38.25" hidden="1" x14ac:dyDescent="0.2">
      <c r="A1241" s="22" t="s">
        <v>1003</v>
      </c>
      <c r="B1241" s="8" t="s">
        <v>1002</v>
      </c>
      <c r="C1241" s="8" t="s">
        <v>40</v>
      </c>
      <c r="D1241" s="8" t="s">
        <v>990</v>
      </c>
      <c r="E1241" s="8" t="s">
        <v>40</v>
      </c>
      <c r="F1241" s="8" t="s">
        <v>39</v>
      </c>
      <c r="G1241" s="8" t="s">
        <v>85</v>
      </c>
      <c r="H1241" s="8" t="s">
        <v>37</v>
      </c>
      <c r="I1241" s="8" t="s">
        <v>53</v>
      </c>
      <c r="J1241" s="8" t="s">
        <v>59</v>
      </c>
      <c r="K1241" s="8" t="s">
        <v>1001</v>
      </c>
      <c r="L1241" s="7">
        <v>7979</v>
      </c>
      <c r="M1241" s="10" t="str">
        <f t="shared" si="114"/>
        <v>CMI02090500</v>
      </c>
      <c r="N1241" s="10" t="str">
        <f t="shared" si="115"/>
        <v>SUM231500</v>
      </c>
      <c r="O1241" s="10" t="str">
        <f t="shared" si="116"/>
        <v>E</v>
      </c>
      <c r="P1241" s="10" t="str">
        <f t="shared" si="117"/>
        <v>50</v>
      </c>
      <c r="Q1241" s="10" t="str">
        <f t="shared" si="118"/>
        <v>ZSUM</v>
      </c>
      <c r="R1241" s="10" t="str">
        <f t="shared" si="119"/>
        <v>31191500</v>
      </c>
    </row>
    <row r="1242" spans="1:18" ht="25.5" hidden="1" x14ac:dyDescent="0.2">
      <c r="A1242" s="22" t="s">
        <v>1000</v>
      </c>
      <c r="B1242" s="8" t="s">
        <v>999</v>
      </c>
      <c r="C1242" s="8" t="s">
        <v>40</v>
      </c>
      <c r="D1242" s="8" t="s">
        <v>969</v>
      </c>
      <c r="E1242" s="8" t="s">
        <v>40</v>
      </c>
      <c r="F1242" s="8" t="s">
        <v>39</v>
      </c>
      <c r="G1242" s="8" t="s">
        <v>885</v>
      </c>
      <c r="H1242" s="8" t="s">
        <v>37</v>
      </c>
      <c r="I1242" s="8" t="s">
        <v>53</v>
      </c>
      <c r="J1242" s="8" t="s">
        <v>59</v>
      </c>
      <c r="K1242" s="8" t="s">
        <v>211</v>
      </c>
      <c r="L1242" s="7">
        <v>7980</v>
      </c>
      <c r="M1242" s="10" t="str">
        <f t="shared" si="114"/>
        <v>CMI02051200</v>
      </c>
      <c r="N1242" s="10" t="str">
        <f t="shared" si="115"/>
        <v>SUM231000</v>
      </c>
      <c r="O1242" s="10" t="str">
        <f t="shared" si="116"/>
        <v>E</v>
      </c>
      <c r="P1242" s="10" t="str">
        <f t="shared" si="117"/>
        <v>50</v>
      </c>
      <c r="Q1242" s="10" t="str">
        <f t="shared" si="118"/>
        <v>ZSUM</v>
      </c>
      <c r="R1242" s="10" t="str">
        <f t="shared" si="119"/>
        <v>32131023</v>
      </c>
    </row>
    <row r="1243" spans="1:18" ht="25.5" hidden="1" x14ac:dyDescent="0.2">
      <c r="A1243" s="22" t="s">
        <v>998</v>
      </c>
      <c r="B1243" s="8" t="s">
        <v>997</v>
      </c>
      <c r="C1243" s="8" t="s">
        <v>40</v>
      </c>
      <c r="D1243" s="8" t="s">
        <v>249</v>
      </c>
      <c r="E1243" s="8" t="s">
        <v>40</v>
      </c>
      <c r="F1243" s="8" t="s">
        <v>39</v>
      </c>
      <c r="G1243" s="8" t="s">
        <v>985</v>
      </c>
      <c r="H1243" s="8" t="s">
        <v>37</v>
      </c>
      <c r="I1243" s="8" t="s">
        <v>53</v>
      </c>
      <c r="J1243" s="8" t="s">
        <v>59</v>
      </c>
      <c r="K1243" s="8" t="s">
        <v>996</v>
      </c>
      <c r="L1243" s="7">
        <v>7981</v>
      </c>
      <c r="M1243" s="10" t="str">
        <f t="shared" si="114"/>
        <v>CMI02090700</v>
      </c>
      <c r="N1243" s="10" t="str">
        <f t="shared" si="115"/>
        <v>SUM231600</v>
      </c>
      <c r="O1243" s="10" t="str">
        <f t="shared" si="116"/>
        <v>E</v>
      </c>
      <c r="P1243" s="10" t="str">
        <f t="shared" si="117"/>
        <v>50</v>
      </c>
      <c r="Q1243" s="10" t="str">
        <f t="shared" si="118"/>
        <v>ZSUM</v>
      </c>
      <c r="R1243" s="10" t="str">
        <f t="shared" si="119"/>
        <v>23153145</v>
      </c>
    </row>
    <row r="1244" spans="1:18" ht="38.25" hidden="1" x14ac:dyDescent="0.2">
      <c r="A1244" s="22" t="s">
        <v>995</v>
      </c>
      <c r="B1244" s="8" t="s">
        <v>994</v>
      </c>
      <c r="C1244" s="8" t="s">
        <v>40</v>
      </c>
      <c r="D1244" s="8" t="s">
        <v>990</v>
      </c>
      <c r="E1244" s="8" t="s">
        <v>40</v>
      </c>
      <c r="F1244" s="8" t="s">
        <v>39</v>
      </c>
      <c r="G1244" s="8" t="s">
        <v>85</v>
      </c>
      <c r="H1244" s="8" t="s">
        <v>37</v>
      </c>
      <c r="I1244" s="8" t="s">
        <v>53</v>
      </c>
      <c r="J1244" s="8" t="s">
        <v>59</v>
      </c>
      <c r="K1244" s="8" t="s">
        <v>993</v>
      </c>
      <c r="L1244" s="7">
        <v>7982</v>
      </c>
      <c r="M1244" s="10" t="str">
        <f t="shared" si="114"/>
        <v>CMI02090500</v>
      </c>
      <c r="N1244" s="10" t="str">
        <f t="shared" si="115"/>
        <v>SUM231500</v>
      </c>
      <c r="O1244" s="10" t="str">
        <f t="shared" si="116"/>
        <v>E</v>
      </c>
      <c r="P1244" s="10" t="str">
        <f t="shared" si="117"/>
        <v>50</v>
      </c>
      <c r="Q1244" s="10" t="str">
        <f t="shared" si="118"/>
        <v>ZSUM</v>
      </c>
      <c r="R1244" s="10" t="str">
        <f t="shared" si="119"/>
        <v>27111931</v>
      </c>
    </row>
    <row r="1245" spans="1:18" ht="38.25" hidden="1" x14ac:dyDescent="0.2">
      <c r="A1245" s="22" t="s">
        <v>992</v>
      </c>
      <c r="B1245" s="8" t="s">
        <v>991</v>
      </c>
      <c r="C1245" s="8" t="s">
        <v>40</v>
      </c>
      <c r="D1245" s="8" t="s">
        <v>990</v>
      </c>
      <c r="E1245" s="8" t="s">
        <v>40</v>
      </c>
      <c r="F1245" s="8" t="s">
        <v>39</v>
      </c>
      <c r="G1245" s="8" t="s">
        <v>85</v>
      </c>
      <c r="H1245" s="8" t="s">
        <v>37</v>
      </c>
      <c r="I1245" s="8" t="s">
        <v>53</v>
      </c>
      <c r="J1245" s="8" t="s">
        <v>59</v>
      </c>
      <c r="K1245" s="8" t="s">
        <v>989</v>
      </c>
      <c r="L1245" s="7">
        <v>7983</v>
      </c>
      <c r="M1245" s="10" t="str">
        <f t="shared" si="114"/>
        <v>CMI02090500</v>
      </c>
      <c r="N1245" s="10" t="str">
        <f t="shared" si="115"/>
        <v>SUM231500</v>
      </c>
      <c r="O1245" s="10" t="str">
        <f t="shared" si="116"/>
        <v>E</v>
      </c>
      <c r="P1245" s="10" t="str">
        <f t="shared" si="117"/>
        <v>50</v>
      </c>
      <c r="Q1245" s="10" t="str">
        <f t="shared" si="118"/>
        <v>ZSUM</v>
      </c>
      <c r="R1245" s="10" t="str">
        <f t="shared" si="119"/>
        <v>27111930</v>
      </c>
    </row>
    <row r="1246" spans="1:18" ht="38.25" hidden="1" x14ac:dyDescent="0.2">
      <c r="A1246" s="22" t="s">
        <v>988</v>
      </c>
      <c r="B1246" s="8" t="s">
        <v>987</v>
      </c>
      <c r="C1246" s="8" t="s">
        <v>40</v>
      </c>
      <c r="D1246" s="8" t="s">
        <v>986</v>
      </c>
      <c r="E1246" s="8" t="s">
        <v>40</v>
      </c>
      <c r="F1246" s="8" t="s">
        <v>39</v>
      </c>
      <c r="G1246" s="8" t="s">
        <v>985</v>
      </c>
      <c r="H1246" s="8" t="s">
        <v>37</v>
      </c>
      <c r="I1246" s="8" t="s">
        <v>53</v>
      </c>
      <c r="J1246" s="8" t="s">
        <v>59</v>
      </c>
      <c r="K1246" s="8" t="s">
        <v>984</v>
      </c>
      <c r="L1246" s="7">
        <v>7984</v>
      </c>
      <c r="M1246" s="10" t="str">
        <f t="shared" si="114"/>
        <v>CMI02070300</v>
      </c>
      <c r="N1246" s="10" t="str">
        <f t="shared" si="115"/>
        <v>SUM231600</v>
      </c>
      <c r="O1246" s="10" t="str">
        <f t="shared" si="116"/>
        <v>E</v>
      </c>
      <c r="P1246" s="10" t="str">
        <f t="shared" si="117"/>
        <v>50</v>
      </c>
      <c r="Q1246" s="10" t="str">
        <f t="shared" si="118"/>
        <v>ZSUM</v>
      </c>
      <c r="R1246" s="10" t="str">
        <f t="shared" si="119"/>
        <v>25191719</v>
      </c>
    </row>
    <row r="1247" spans="1:18" ht="25.5" hidden="1" x14ac:dyDescent="0.2">
      <c r="A1247" s="22" t="s">
        <v>983</v>
      </c>
      <c r="B1247" s="8" t="s">
        <v>982</v>
      </c>
      <c r="C1247" s="8" t="s">
        <v>40</v>
      </c>
      <c r="D1247" s="8" t="s">
        <v>249</v>
      </c>
      <c r="E1247" s="8" t="s">
        <v>40</v>
      </c>
      <c r="F1247" s="8" t="s">
        <v>39</v>
      </c>
      <c r="G1247" s="8" t="s">
        <v>85</v>
      </c>
      <c r="H1247" s="8" t="s">
        <v>37</v>
      </c>
      <c r="I1247" s="8" t="s">
        <v>53</v>
      </c>
      <c r="J1247" s="8" t="s">
        <v>59</v>
      </c>
      <c r="K1247" s="8" t="s">
        <v>981</v>
      </c>
      <c r="L1247" s="7">
        <v>7985</v>
      </c>
      <c r="M1247" s="10" t="str">
        <f t="shared" si="114"/>
        <v>CMI02090700</v>
      </c>
      <c r="N1247" s="10" t="str">
        <f t="shared" si="115"/>
        <v>SUM231500</v>
      </c>
      <c r="O1247" s="10" t="str">
        <f t="shared" si="116"/>
        <v>E</v>
      </c>
      <c r="P1247" s="10" t="str">
        <f t="shared" si="117"/>
        <v>50</v>
      </c>
      <c r="Q1247" s="10" t="str">
        <f t="shared" si="118"/>
        <v>ZSUM</v>
      </c>
      <c r="R1247" s="10" t="str">
        <f t="shared" si="119"/>
        <v>41111621</v>
      </c>
    </row>
    <row r="1248" spans="1:18" ht="25.5" hidden="1" x14ac:dyDescent="0.2">
      <c r="A1248" s="22" t="s">
        <v>980</v>
      </c>
      <c r="B1248" s="8" t="s">
        <v>979</v>
      </c>
      <c r="C1248" s="8" t="s">
        <v>40</v>
      </c>
      <c r="D1248" s="8" t="s">
        <v>305</v>
      </c>
      <c r="E1248" s="8" t="s">
        <v>40</v>
      </c>
      <c r="F1248" s="8" t="s">
        <v>39</v>
      </c>
      <c r="G1248" s="8" t="s">
        <v>60</v>
      </c>
      <c r="H1248" s="8" t="s">
        <v>37</v>
      </c>
      <c r="I1248" s="8" t="s">
        <v>53</v>
      </c>
      <c r="J1248" s="8" t="s">
        <v>59</v>
      </c>
      <c r="K1248" s="8" t="s">
        <v>978</v>
      </c>
      <c r="L1248" s="7">
        <v>7986</v>
      </c>
      <c r="M1248" s="10" t="str">
        <f t="shared" si="114"/>
        <v>CMI02200300</v>
      </c>
      <c r="N1248" s="10" t="str">
        <f t="shared" si="115"/>
        <v>SUM231200</v>
      </c>
      <c r="O1248" s="10" t="str">
        <f t="shared" si="116"/>
        <v>E</v>
      </c>
      <c r="P1248" s="10" t="str">
        <f t="shared" si="117"/>
        <v>50</v>
      </c>
      <c r="Q1248" s="10" t="str">
        <f t="shared" si="118"/>
        <v>ZSUM</v>
      </c>
      <c r="R1248" s="10" t="str">
        <f t="shared" si="119"/>
        <v>40170000</v>
      </c>
    </row>
    <row r="1249" spans="1:18" ht="25.5" hidden="1" x14ac:dyDescent="0.2">
      <c r="A1249" s="22" t="s">
        <v>977</v>
      </c>
      <c r="B1249" s="8" t="s">
        <v>976</v>
      </c>
      <c r="C1249" s="8" t="s">
        <v>40</v>
      </c>
      <c r="D1249" s="8" t="s">
        <v>305</v>
      </c>
      <c r="E1249" s="8" t="s">
        <v>40</v>
      </c>
      <c r="F1249" s="8" t="s">
        <v>39</v>
      </c>
      <c r="G1249" s="8" t="s">
        <v>975</v>
      </c>
      <c r="H1249" s="8" t="s">
        <v>37</v>
      </c>
      <c r="I1249" s="8" t="s">
        <v>53</v>
      </c>
      <c r="J1249" s="8" t="s">
        <v>59</v>
      </c>
      <c r="K1249" s="8" t="s">
        <v>133</v>
      </c>
      <c r="L1249" s="7">
        <v>7987</v>
      </c>
      <c r="M1249" s="10" t="str">
        <f t="shared" si="114"/>
        <v>CMI02200300</v>
      </c>
      <c r="N1249" s="10" t="str">
        <f t="shared" si="115"/>
        <v>SUM231100</v>
      </c>
      <c r="O1249" s="10" t="str">
        <f t="shared" si="116"/>
        <v>E</v>
      </c>
      <c r="P1249" s="10" t="str">
        <f t="shared" si="117"/>
        <v>50</v>
      </c>
      <c r="Q1249" s="10" t="str">
        <f t="shared" si="118"/>
        <v>ZSUM</v>
      </c>
      <c r="R1249" s="10" t="str">
        <f t="shared" si="119"/>
        <v>40183100</v>
      </c>
    </row>
    <row r="1250" spans="1:18" ht="25.5" hidden="1" x14ac:dyDescent="0.2">
      <c r="A1250" s="22" t="s">
        <v>974</v>
      </c>
      <c r="B1250" s="8" t="s">
        <v>973</v>
      </c>
      <c r="C1250" s="8" t="s">
        <v>40</v>
      </c>
      <c r="D1250" s="8" t="s">
        <v>363</v>
      </c>
      <c r="E1250" s="8" t="s">
        <v>40</v>
      </c>
      <c r="F1250" s="8" t="s">
        <v>39</v>
      </c>
      <c r="G1250" s="8" t="s">
        <v>60</v>
      </c>
      <c r="H1250" s="8" t="s">
        <v>37</v>
      </c>
      <c r="I1250" s="8" t="s">
        <v>53</v>
      </c>
      <c r="J1250" s="8" t="s">
        <v>59</v>
      </c>
      <c r="K1250" s="8" t="s">
        <v>972</v>
      </c>
      <c r="L1250" s="7">
        <v>7988</v>
      </c>
      <c r="M1250" s="10" t="str">
        <f t="shared" si="114"/>
        <v>CMI02051300</v>
      </c>
      <c r="N1250" s="10" t="str">
        <f t="shared" si="115"/>
        <v>SUM231200</v>
      </c>
      <c r="O1250" s="10" t="str">
        <f t="shared" si="116"/>
        <v>E</v>
      </c>
      <c r="P1250" s="10" t="str">
        <f t="shared" si="117"/>
        <v>50</v>
      </c>
      <c r="Q1250" s="10" t="str">
        <f t="shared" si="118"/>
        <v>ZSUM</v>
      </c>
      <c r="R1250" s="10" t="str">
        <f t="shared" si="119"/>
        <v>27111615</v>
      </c>
    </row>
    <row r="1251" spans="1:18" ht="38.25" hidden="1" x14ac:dyDescent="0.2">
      <c r="A1251" s="22" t="s">
        <v>971</v>
      </c>
      <c r="B1251" s="8" t="s">
        <v>970</v>
      </c>
      <c r="C1251" s="8" t="s">
        <v>40</v>
      </c>
      <c r="D1251" s="8" t="s">
        <v>969</v>
      </c>
      <c r="E1251" s="8" t="s">
        <v>40</v>
      </c>
      <c r="F1251" s="8" t="s">
        <v>39</v>
      </c>
      <c r="G1251" s="8" t="s">
        <v>885</v>
      </c>
      <c r="H1251" s="8" t="s">
        <v>37</v>
      </c>
      <c r="I1251" s="8" t="s">
        <v>53</v>
      </c>
      <c r="J1251" s="8" t="s">
        <v>59</v>
      </c>
      <c r="K1251" s="8" t="s">
        <v>968</v>
      </c>
      <c r="L1251" s="7">
        <v>7989</v>
      </c>
      <c r="M1251" s="10" t="str">
        <f t="shared" si="114"/>
        <v>CMI02051200</v>
      </c>
      <c r="N1251" s="10" t="str">
        <f t="shared" si="115"/>
        <v>SUM231000</v>
      </c>
      <c r="O1251" s="10" t="str">
        <f t="shared" si="116"/>
        <v>E</v>
      </c>
      <c r="P1251" s="10" t="str">
        <f t="shared" si="117"/>
        <v>50</v>
      </c>
      <c r="Q1251" s="10" t="str">
        <f t="shared" si="118"/>
        <v>ZSUM</v>
      </c>
      <c r="R1251" s="10" t="str">
        <f t="shared" si="119"/>
        <v>39121406</v>
      </c>
    </row>
    <row r="1252" spans="1:18" ht="25.5" hidden="1" x14ac:dyDescent="0.2">
      <c r="A1252" s="22" t="s">
        <v>967</v>
      </c>
      <c r="B1252" s="8" t="s">
        <v>966</v>
      </c>
      <c r="C1252" s="8" t="s">
        <v>40</v>
      </c>
      <c r="D1252" s="8" t="s">
        <v>321</v>
      </c>
      <c r="E1252" s="8" t="s">
        <v>40</v>
      </c>
      <c r="F1252" s="8" t="s">
        <v>39</v>
      </c>
      <c r="G1252" s="8" t="s">
        <v>60</v>
      </c>
      <c r="H1252" s="8" t="s">
        <v>37</v>
      </c>
      <c r="I1252" s="8" t="s">
        <v>53</v>
      </c>
      <c r="J1252" s="8" t="s">
        <v>59</v>
      </c>
      <c r="K1252" s="8" t="s">
        <v>965</v>
      </c>
      <c r="L1252" s="7">
        <v>7990</v>
      </c>
      <c r="M1252" s="10" t="str">
        <f t="shared" si="114"/>
        <v>CMI02050100</v>
      </c>
      <c r="N1252" s="10" t="str">
        <f t="shared" si="115"/>
        <v>SUM231200</v>
      </c>
      <c r="O1252" s="10" t="str">
        <f t="shared" si="116"/>
        <v>E</v>
      </c>
      <c r="P1252" s="10" t="str">
        <f t="shared" si="117"/>
        <v>50</v>
      </c>
      <c r="Q1252" s="10" t="str">
        <f t="shared" si="118"/>
        <v>ZSUM</v>
      </c>
      <c r="R1252" s="10" t="str">
        <f t="shared" si="119"/>
        <v>15121902</v>
      </c>
    </row>
    <row r="1253" spans="1:18" ht="25.5" hidden="1" x14ac:dyDescent="0.2">
      <c r="A1253" s="22" t="s">
        <v>964</v>
      </c>
      <c r="B1253" s="8" t="s">
        <v>963</v>
      </c>
      <c r="C1253" s="8" t="s">
        <v>40</v>
      </c>
      <c r="D1253" s="8" t="s">
        <v>70</v>
      </c>
      <c r="E1253" s="8" t="s">
        <v>40</v>
      </c>
      <c r="F1253" s="8" t="s">
        <v>39</v>
      </c>
      <c r="G1253" s="8" t="s">
        <v>60</v>
      </c>
      <c r="H1253" s="8" t="s">
        <v>37</v>
      </c>
      <c r="I1253" s="8" t="s">
        <v>53</v>
      </c>
      <c r="J1253" s="8" t="s">
        <v>59</v>
      </c>
      <c r="K1253" s="8" t="s">
        <v>962</v>
      </c>
      <c r="L1253" s="7">
        <v>7991</v>
      </c>
      <c r="M1253" s="10" t="str">
        <f t="shared" si="114"/>
        <v>CMI01030400</v>
      </c>
      <c r="N1253" s="10" t="str">
        <f t="shared" si="115"/>
        <v>SUM231200</v>
      </c>
      <c r="O1253" s="10" t="str">
        <f t="shared" si="116"/>
        <v>E</v>
      </c>
      <c r="P1253" s="10" t="str">
        <f t="shared" si="117"/>
        <v>50</v>
      </c>
      <c r="Q1253" s="10" t="str">
        <f t="shared" si="118"/>
        <v>ZSUM</v>
      </c>
      <c r="R1253" s="10" t="str">
        <f t="shared" si="119"/>
        <v>30161504</v>
      </c>
    </row>
    <row r="1254" spans="1:18" ht="25.5" hidden="1" x14ac:dyDescent="0.2">
      <c r="A1254" s="22" t="s">
        <v>961</v>
      </c>
      <c r="B1254" s="8" t="s">
        <v>960</v>
      </c>
      <c r="C1254" s="8" t="s">
        <v>40</v>
      </c>
      <c r="D1254" s="8" t="s">
        <v>245</v>
      </c>
      <c r="E1254" s="8" t="s">
        <v>40</v>
      </c>
      <c r="F1254" s="8" t="s">
        <v>39</v>
      </c>
      <c r="G1254" s="8" t="s">
        <v>624</v>
      </c>
      <c r="H1254" s="8" t="s">
        <v>37</v>
      </c>
      <c r="I1254" s="8" t="s">
        <v>53</v>
      </c>
      <c r="J1254" s="8" t="s">
        <v>59</v>
      </c>
      <c r="K1254" s="8" t="s">
        <v>959</v>
      </c>
      <c r="L1254" s="7">
        <v>7992</v>
      </c>
      <c r="M1254" s="10" t="str">
        <f t="shared" si="114"/>
        <v>CMI01020300</v>
      </c>
      <c r="N1254" s="10" t="str">
        <f t="shared" si="115"/>
        <v>SUM231400</v>
      </c>
      <c r="O1254" s="10" t="str">
        <f t="shared" si="116"/>
        <v>E</v>
      </c>
      <c r="P1254" s="10" t="str">
        <f t="shared" si="117"/>
        <v>50</v>
      </c>
      <c r="Q1254" s="10" t="str">
        <f t="shared" si="118"/>
        <v>ZSUM</v>
      </c>
      <c r="R1254" s="10" t="str">
        <f t="shared" si="119"/>
        <v>27112739</v>
      </c>
    </row>
    <row r="1255" spans="1:18" ht="25.5" hidden="1" x14ac:dyDescent="0.2">
      <c r="A1255" s="21" t="s">
        <v>958</v>
      </c>
      <c r="B1255" s="8" t="s">
        <v>957</v>
      </c>
      <c r="C1255" s="8" t="s">
        <v>40</v>
      </c>
      <c r="D1255" s="8" t="s">
        <v>363</v>
      </c>
      <c r="E1255" s="8" t="s">
        <v>40</v>
      </c>
      <c r="F1255" s="8" t="s">
        <v>39</v>
      </c>
      <c r="G1255" s="8" t="s">
        <v>60</v>
      </c>
      <c r="H1255" s="8" t="s">
        <v>37</v>
      </c>
      <c r="I1255" s="8" t="s">
        <v>53</v>
      </c>
      <c r="J1255" s="8" t="s">
        <v>59</v>
      </c>
      <c r="K1255" s="8" t="s">
        <v>956</v>
      </c>
      <c r="L1255" s="7">
        <v>7993</v>
      </c>
      <c r="M1255" s="10" t="str">
        <f t="shared" si="114"/>
        <v>CMI02051300</v>
      </c>
      <c r="N1255" s="10" t="str">
        <f t="shared" si="115"/>
        <v>SUM231200</v>
      </c>
      <c r="O1255" s="10" t="str">
        <f t="shared" si="116"/>
        <v>E</v>
      </c>
      <c r="P1255" s="10" t="str">
        <f t="shared" si="117"/>
        <v>50</v>
      </c>
      <c r="Q1255" s="10" t="str">
        <f t="shared" si="118"/>
        <v>ZSUM</v>
      </c>
      <c r="R1255" s="10" t="str">
        <f t="shared" si="119"/>
        <v>31162314</v>
      </c>
    </row>
    <row r="1256" spans="1:18" ht="25.5" hidden="1" x14ac:dyDescent="0.2">
      <c r="A1256" s="21" t="s">
        <v>955</v>
      </c>
      <c r="B1256" s="8" t="s">
        <v>954</v>
      </c>
      <c r="C1256" s="8" t="s">
        <v>40</v>
      </c>
      <c r="D1256" s="8" t="s">
        <v>669</v>
      </c>
      <c r="E1256" s="8" t="s">
        <v>40</v>
      </c>
      <c r="F1256" s="8" t="s">
        <v>39</v>
      </c>
      <c r="G1256" s="8" t="s">
        <v>85</v>
      </c>
      <c r="H1256" s="8" t="s">
        <v>37</v>
      </c>
      <c r="I1256" s="8" t="s">
        <v>53</v>
      </c>
      <c r="J1256" s="8" t="s">
        <v>59</v>
      </c>
      <c r="K1256" s="8" t="s">
        <v>953</v>
      </c>
      <c r="L1256" s="7">
        <v>7994</v>
      </c>
      <c r="M1256" s="10" t="str">
        <f t="shared" si="114"/>
        <v>CMI02140700</v>
      </c>
      <c r="N1256" s="10" t="str">
        <f t="shared" si="115"/>
        <v>SUM231500</v>
      </c>
      <c r="O1256" s="10" t="str">
        <f t="shared" si="116"/>
        <v>E</v>
      </c>
      <c r="P1256" s="10" t="str">
        <f t="shared" si="117"/>
        <v>50</v>
      </c>
      <c r="Q1256" s="10" t="str">
        <f t="shared" si="118"/>
        <v>ZSUM</v>
      </c>
      <c r="R1256" s="10" t="str">
        <f t="shared" si="119"/>
        <v>40141735</v>
      </c>
    </row>
    <row r="1257" spans="1:18" ht="25.5" hidden="1" x14ac:dyDescent="0.2">
      <c r="A1257" s="21" t="s">
        <v>952</v>
      </c>
      <c r="B1257" s="8" t="s">
        <v>951</v>
      </c>
      <c r="C1257" s="8" t="s">
        <v>40</v>
      </c>
      <c r="D1257" s="8" t="s">
        <v>216</v>
      </c>
      <c r="E1257" s="8" t="s">
        <v>40</v>
      </c>
      <c r="F1257" s="8" t="s">
        <v>39</v>
      </c>
      <c r="G1257" s="8" t="s">
        <v>85</v>
      </c>
      <c r="H1257" s="8" t="s">
        <v>37</v>
      </c>
      <c r="I1257" s="8" t="s">
        <v>53</v>
      </c>
      <c r="J1257" s="8" t="s">
        <v>59</v>
      </c>
      <c r="K1257" s="8" t="s">
        <v>950</v>
      </c>
      <c r="L1257" s="7">
        <v>7995</v>
      </c>
      <c r="M1257" s="10" t="str">
        <f t="shared" si="114"/>
        <v>CMI02140500</v>
      </c>
      <c r="N1257" s="10" t="str">
        <f t="shared" si="115"/>
        <v>SUM231500</v>
      </c>
      <c r="O1257" s="10" t="str">
        <f t="shared" si="116"/>
        <v>E</v>
      </c>
      <c r="P1257" s="10" t="str">
        <f t="shared" si="117"/>
        <v>50</v>
      </c>
      <c r="Q1257" s="10" t="str">
        <f t="shared" si="118"/>
        <v>ZSUM</v>
      </c>
      <c r="R1257" s="10" t="str">
        <f t="shared" si="119"/>
        <v>27112004</v>
      </c>
    </row>
    <row r="1258" spans="1:18" ht="38.25" hidden="1" x14ac:dyDescent="0.2">
      <c r="A1258" s="21" t="s">
        <v>949</v>
      </c>
      <c r="B1258" s="8" t="s">
        <v>948</v>
      </c>
      <c r="C1258" s="8" t="s">
        <v>40</v>
      </c>
      <c r="D1258" s="8" t="s">
        <v>947</v>
      </c>
      <c r="E1258" s="8" t="s">
        <v>40</v>
      </c>
      <c r="F1258" s="8" t="s">
        <v>39</v>
      </c>
      <c r="G1258" s="8" t="s">
        <v>208</v>
      </c>
      <c r="H1258" s="8" t="s">
        <v>37</v>
      </c>
      <c r="I1258" s="8" t="s">
        <v>53</v>
      </c>
      <c r="J1258" s="8" t="s">
        <v>59</v>
      </c>
      <c r="K1258" s="8" t="s">
        <v>946</v>
      </c>
      <c r="L1258" s="7">
        <v>7996</v>
      </c>
      <c r="M1258" s="10" t="str">
        <f t="shared" si="114"/>
        <v>CMI02160200</v>
      </c>
      <c r="N1258" s="10" t="str">
        <f t="shared" si="115"/>
        <v>SUM301000</v>
      </c>
      <c r="O1258" s="10" t="str">
        <f t="shared" si="116"/>
        <v>E</v>
      </c>
      <c r="P1258" s="10" t="str">
        <f t="shared" si="117"/>
        <v>50</v>
      </c>
      <c r="Q1258" s="10" t="str">
        <f t="shared" si="118"/>
        <v>ZSUM</v>
      </c>
      <c r="R1258" s="10" t="str">
        <f t="shared" si="119"/>
        <v>43211603</v>
      </c>
    </row>
    <row r="1259" spans="1:18" ht="38.25" hidden="1" x14ac:dyDescent="0.2">
      <c r="A1259" s="21" t="s">
        <v>945</v>
      </c>
      <c r="B1259" s="8" t="s">
        <v>944</v>
      </c>
      <c r="C1259" s="8" t="s">
        <v>40</v>
      </c>
      <c r="D1259" s="8" t="s">
        <v>943</v>
      </c>
      <c r="E1259" s="8" t="s">
        <v>40</v>
      </c>
      <c r="F1259" s="8" t="s">
        <v>39</v>
      </c>
      <c r="G1259" s="8" t="s">
        <v>60</v>
      </c>
      <c r="H1259" s="8" t="s">
        <v>37</v>
      </c>
      <c r="I1259" s="8" t="s">
        <v>53</v>
      </c>
      <c r="J1259" s="8" t="s">
        <v>59</v>
      </c>
      <c r="K1259" s="8" t="s">
        <v>942</v>
      </c>
      <c r="L1259" s="7">
        <v>7997</v>
      </c>
      <c r="M1259" s="10" t="str">
        <f t="shared" si="114"/>
        <v>CMI02052000</v>
      </c>
      <c r="N1259" s="10" t="str">
        <f t="shared" si="115"/>
        <v>SUM231200</v>
      </c>
      <c r="O1259" s="10" t="str">
        <f t="shared" si="116"/>
        <v>E</v>
      </c>
      <c r="P1259" s="10" t="str">
        <f t="shared" si="117"/>
        <v>50</v>
      </c>
      <c r="Q1259" s="10" t="str">
        <f t="shared" si="118"/>
        <v>ZSUM</v>
      </c>
      <c r="R1259" s="10" t="str">
        <f t="shared" si="119"/>
        <v>30102901</v>
      </c>
    </row>
    <row r="1260" spans="1:18" ht="38.25" hidden="1" x14ac:dyDescent="0.2">
      <c r="A1260" s="21" t="s">
        <v>941</v>
      </c>
      <c r="B1260" s="8" t="s">
        <v>940</v>
      </c>
      <c r="C1260" s="8" t="s">
        <v>40</v>
      </c>
      <c r="D1260" s="8" t="s">
        <v>275</v>
      </c>
      <c r="E1260" s="8" t="s">
        <v>40</v>
      </c>
      <c r="F1260" s="8" t="s">
        <v>39</v>
      </c>
      <c r="G1260" s="8" t="s">
        <v>60</v>
      </c>
      <c r="H1260" s="8" t="s">
        <v>37</v>
      </c>
      <c r="I1260" s="8" t="s">
        <v>53</v>
      </c>
      <c r="J1260" s="8" t="s">
        <v>59</v>
      </c>
      <c r="K1260" s="8" t="s">
        <v>939</v>
      </c>
      <c r="L1260" s="7">
        <v>7998</v>
      </c>
      <c r="M1260" s="10" t="str">
        <f t="shared" si="114"/>
        <v>CMI01030300</v>
      </c>
      <c r="N1260" s="10" t="str">
        <f t="shared" si="115"/>
        <v>SUM231200</v>
      </c>
      <c r="O1260" s="10" t="str">
        <f t="shared" si="116"/>
        <v>E</v>
      </c>
      <c r="P1260" s="10" t="str">
        <f t="shared" si="117"/>
        <v>50</v>
      </c>
      <c r="Q1260" s="10" t="str">
        <f t="shared" si="118"/>
        <v>ZSUM</v>
      </c>
      <c r="R1260" s="10" t="str">
        <f t="shared" si="119"/>
        <v>52101500</v>
      </c>
    </row>
    <row r="1261" spans="1:18" ht="25.5" hidden="1" x14ac:dyDescent="0.2">
      <c r="A1261" s="21" t="s">
        <v>938</v>
      </c>
      <c r="B1261" s="8" t="s">
        <v>937</v>
      </c>
      <c r="C1261" s="8" t="s">
        <v>40</v>
      </c>
      <c r="D1261" s="8" t="s">
        <v>70</v>
      </c>
      <c r="E1261" s="8" t="s">
        <v>40</v>
      </c>
      <c r="F1261" s="8" t="s">
        <v>39</v>
      </c>
      <c r="G1261" s="8" t="s">
        <v>60</v>
      </c>
      <c r="H1261" s="8" t="s">
        <v>37</v>
      </c>
      <c r="I1261" s="8" t="s">
        <v>53</v>
      </c>
      <c r="J1261" s="8" t="s">
        <v>59</v>
      </c>
      <c r="K1261" s="8" t="s">
        <v>936</v>
      </c>
      <c r="L1261" s="7">
        <v>7999</v>
      </c>
      <c r="M1261" s="10" t="str">
        <f t="shared" si="114"/>
        <v>CMI01030400</v>
      </c>
      <c r="N1261" s="10" t="str">
        <f t="shared" si="115"/>
        <v>SUM231200</v>
      </c>
      <c r="O1261" s="10" t="str">
        <f t="shared" si="116"/>
        <v>E</v>
      </c>
      <c r="P1261" s="10" t="str">
        <f t="shared" si="117"/>
        <v>50</v>
      </c>
      <c r="Q1261" s="10" t="str">
        <f t="shared" si="118"/>
        <v>ZSUM</v>
      </c>
      <c r="R1261" s="10" t="str">
        <f t="shared" si="119"/>
        <v>56101606</v>
      </c>
    </row>
    <row r="1262" spans="1:18" ht="25.5" hidden="1" x14ac:dyDescent="0.2">
      <c r="A1262" s="21" t="s">
        <v>935</v>
      </c>
      <c r="B1262" s="8" t="s">
        <v>934</v>
      </c>
      <c r="C1262" s="8" t="s">
        <v>40</v>
      </c>
      <c r="D1262" s="8" t="s">
        <v>141</v>
      </c>
      <c r="E1262" s="8" t="s">
        <v>40</v>
      </c>
      <c r="F1262" s="8" t="s">
        <v>39</v>
      </c>
      <c r="G1262" s="8" t="s">
        <v>60</v>
      </c>
      <c r="H1262" s="8" t="s">
        <v>37</v>
      </c>
      <c r="I1262" s="8" t="s">
        <v>53</v>
      </c>
      <c r="J1262" s="8" t="s">
        <v>59</v>
      </c>
      <c r="K1262" s="8" t="s">
        <v>933</v>
      </c>
      <c r="L1262" s="7">
        <v>8000</v>
      </c>
      <c r="M1262" s="10" t="str">
        <f t="shared" si="114"/>
        <v>CMI02150200</v>
      </c>
      <c r="N1262" s="10" t="str">
        <f t="shared" si="115"/>
        <v>SUM231200</v>
      </c>
      <c r="O1262" s="10" t="str">
        <f t="shared" si="116"/>
        <v>E</v>
      </c>
      <c r="P1262" s="10" t="str">
        <f t="shared" si="117"/>
        <v>50</v>
      </c>
      <c r="Q1262" s="10" t="str">
        <f t="shared" si="118"/>
        <v>ZSUM</v>
      </c>
      <c r="R1262" s="10" t="str">
        <f t="shared" si="119"/>
        <v>42181501</v>
      </c>
    </row>
    <row r="1263" spans="1:18" ht="38.25" hidden="1" x14ac:dyDescent="0.2">
      <c r="A1263" s="21" t="s">
        <v>932</v>
      </c>
      <c r="B1263" s="8" t="s">
        <v>931</v>
      </c>
      <c r="C1263" s="8" t="s">
        <v>40</v>
      </c>
      <c r="D1263" s="8" t="s">
        <v>55</v>
      </c>
      <c r="E1263" s="8" t="s">
        <v>40</v>
      </c>
      <c r="F1263" s="8" t="s">
        <v>39</v>
      </c>
      <c r="G1263" s="8" t="s">
        <v>60</v>
      </c>
      <c r="H1263" s="8" t="s">
        <v>37</v>
      </c>
      <c r="I1263" s="8" t="s">
        <v>53</v>
      </c>
      <c r="J1263" s="8" t="s">
        <v>59</v>
      </c>
      <c r="K1263" s="8" t="s">
        <v>930</v>
      </c>
      <c r="L1263" s="7">
        <v>8001</v>
      </c>
      <c r="M1263" s="10" t="str">
        <f t="shared" si="114"/>
        <v>CMI02140300</v>
      </c>
      <c r="N1263" s="10" t="str">
        <f t="shared" si="115"/>
        <v>SUM231200</v>
      </c>
      <c r="O1263" s="10" t="str">
        <f t="shared" si="116"/>
        <v>E</v>
      </c>
      <c r="P1263" s="10" t="str">
        <f t="shared" si="117"/>
        <v>50</v>
      </c>
      <c r="Q1263" s="10" t="str">
        <f t="shared" si="118"/>
        <v>ZSUM</v>
      </c>
      <c r="R1263" s="10" t="str">
        <f t="shared" si="119"/>
        <v>41112100</v>
      </c>
    </row>
    <row r="1264" spans="1:18" ht="25.5" hidden="1" x14ac:dyDescent="0.2">
      <c r="A1264" s="21" t="s">
        <v>929</v>
      </c>
      <c r="B1264" s="8" t="s">
        <v>928</v>
      </c>
      <c r="C1264" s="8" t="s">
        <v>40</v>
      </c>
      <c r="D1264" s="8" t="s">
        <v>363</v>
      </c>
      <c r="E1264" s="8" t="s">
        <v>40</v>
      </c>
      <c r="F1264" s="8" t="s">
        <v>39</v>
      </c>
      <c r="G1264" s="8" t="s">
        <v>60</v>
      </c>
      <c r="H1264" s="8" t="s">
        <v>37</v>
      </c>
      <c r="I1264" s="8" t="s">
        <v>53</v>
      </c>
      <c r="J1264" s="8" t="s">
        <v>59</v>
      </c>
      <c r="K1264" s="8" t="s">
        <v>927</v>
      </c>
      <c r="L1264" s="7">
        <v>8002</v>
      </c>
      <c r="M1264" s="10" t="str">
        <f t="shared" si="114"/>
        <v>CMI02051300</v>
      </c>
      <c r="N1264" s="10" t="str">
        <f t="shared" si="115"/>
        <v>SUM231200</v>
      </c>
      <c r="O1264" s="10" t="str">
        <f t="shared" si="116"/>
        <v>E</v>
      </c>
      <c r="P1264" s="10" t="str">
        <f t="shared" si="117"/>
        <v>50</v>
      </c>
      <c r="Q1264" s="10" t="str">
        <f t="shared" si="118"/>
        <v>ZSUM</v>
      </c>
      <c r="R1264" s="10" t="str">
        <f t="shared" si="119"/>
        <v>10160000</v>
      </c>
    </row>
    <row r="1265" spans="1:18" ht="25.5" hidden="1" x14ac:dyDescent="0.2">
      <c r="A1265" s="21" t="s">
        <v>926</v>
      </c>
      <c r="B1265" s="8" t="s">
        <v>925</v>
      </c>
      <c r="C1265" s="8" t="s">
        <v>40</v>
      </c>
      <c r="D1265" s="8" t="s">
        <v>669</v>
      </c>
      <c r="E1265" s="8" t="s">
        <v>40</v>
      </c>
      <c r="F1265" s="8" t="s">
        <v>39</v>
      </c>
      <c r="G1265" s="8" t="s">
        <v>60</v>
      </c>
      <c r="H1265" s="8" t="s">
        <v>37</v>
      </c>
      <c r="I1265" s="8" t="s">
        <v>53</v>
      </c>
      <c r="J1265" s="8" t="s">
        <v>59</v>
      </c>
      <c r="K1265" s="8" t="s">
        <v>924</v>
      </c>
      <c r="L1265" s="7">
        <v>8003</v>
      </c>
      <c r="M1265" s="10" t="str">
        <f t="shared" si="114"/>
        <v>CMI02140700</v>
      </c>
      <c r="N1265" s="10" t="str">
        <f t="shared" si="115"/>
        <v>SUM231200</v>
      </c>
      <c r="O1265" s="10" t="str">
        <f t="shared" si="116"/>
        <v>E</v>
      </c>
      <c r="P1265" s="10" t="str">
        <f t="shared" si="117"/>
        <v>50</v>
      </c>
      <c r="Q1265" s="10" t="str">
        <f t="shared" si="118"/>
        <v>ZSUM</v>
      </c>
      <c r="R1265" s="10" t="str">
        <f t="shared" si="119"/>
        <v>27112029</v>
      </c>
    </row>
    <row r="1266" spans="1:18" ht="25.5" hidden="1" x14ac:dyDescent="0.2">
      <c r="A1266" s="21" t="s">
        <v>923</v>
      </c>
      <c r="B1266" s="8" t="s">
        <v>922</v>
      </c>
      <c r="C1266" s="8" t="s">
        <v>40</v>
      </c>
      <c r="D1266" s="8" t="s">
        <v>797</v>
      </c>
      <c r="E1266" s="8" t="s">
        <v>40</v>
      </c>
      <c r="F1266" s="8" t="s">
        <v>39</v>
      </c>
      <c r="G1266" s="8" t="s">
        <v>60</v>
      </c>
      <c r="H1266" s="8" t="s">
        <v>37</v>
      </c>
      <c r="I1266" s="8" t="s">
        <v>53</v>
      </c>
      <c r="J1266" s="8" t="s">
        <v>59</v>
      </c>
      <c r="K1266" s="8" t="s">
        <v>921</v>
      </c>
      <c r="L1266" s="7">
        <v>8004</v>
      </c>
      <c r="M1266" s="10" t="str">
        <f t="shared" si="114"/>
        <v>CMI02100200</v>
      </c>
      <c r="N1266" s="10" t="str">
        <f t="shared" si="115"/>
        <v>SUM231200</v>
      </c>
      <c r="O1266" s="10" t="str">
        <f t="shared" si="116"/>
        <v>E</v>
      </c>
      <c r="P1266" s="10" t="str">
        <f t="shared" si="117"/>
        <v>50</v>
      </c>
      <c r="Q1266" s="10" t="str">
        <f t="shared" si="118"/>
        <v>ZSUM</v>
      </c>
      <c r="R1266" s="10" t="str">
        <f t="shared" si="119"/>
        <v>48101915</v>
      </c>
    </row>
    <row r="1267" spans="1:18" ht="38.25" x14ac:dyDescent="0.2">
      <c r="A1267" s="21" t="s">
        <v>920</v>
      </c>
      <c r="B1267" s="8" t="s">
        <v>919</v>
      </c>
      <c r="C1267" s="8" t="s">
        <v>40</v>
      </c>
      <c r="D1267" s="8" t="s">
        <v>86</v>
      </c>
      <c r="E1267" s="8" t="s">
        <v>40</v>
      </c>
      <c r="F1267" s="8" t="s">
        <v>39</v>
      </c>
      <c r="G1267" s="8" t="s">
        <v>60</v>
      </c>
      <c r="H1267" s="8" t="s">
        <v>37</v>
      </c>
      <c r="I1267" s="8" t="s">
        <v>53</v>
      </c>
      <c r="J1267" s="8" t="s">
        <v>59</v>
      </c>
      <c r="K1267" s="8" t="s">
        <v>918</v>
      </c>
      <c r="L1267" s="7">
        <v>8005</v>
      </c>
      <c r="M1267" s="10" t="str">
        <f t="shared" si="114"/>
        <v>CMI02160300</v>
      </c>
      <c r="N1267" s="10" t="str">
        <f t="shared" si="115"/>
        <v>SUM231200</v>
      </c>
      <c r="O1267" s="10" t="str">
        <f t="shared" si="116"/>
        <v>E</v>
      </c>
      <c r="P1267" s="10" t="str">
        <f t="shared" si="117"/>
        <v>50</v>
      </c>
      <c r="Q1267" s="10" t="str">
        <f t="shared" si="118"/>
        <v>ZSUM</v>
      </c>
      <c r="R1267" s="10" t="str">
        <f t="shared" si="119"/>
        <v>43201817</v>
      </c>
    </row>
    <row r="1268" spans="1:18" ht="25.5" hidden="1" x14ac:dyDescent="0.2">
      <c r="A1268" s="21" t="s">
        <v>917</v>
      </c>
      <c r="B1268" s="8" t="s">
        <v>916</v>
      </c>
      <c r="C1268" s="8" t="s">
        <v>40</v>
      </c>
      <c r="D1268" s="8" t="s">
        <v>74</v>
      </c>
      <c r="E1268" s="8" t="s">
        <v>40</v>
      </c>
      <c r="F1268" s="8" t="s">
        <v>39</v>
      </c>
      <c r="G1268" s="8" t="s">
        <v>60</v>
      </c>
      <c r="H1268" s="8" t="s">
        <v>37</v>
      </c>
      <c r="I1268" s="8" t="s">
        <v>53</v>
      </c>
      <c r="J1268" s="8" t="s">
        <v>59</v>
      </c>
      <c r="K1268" s="8" t="s">
        <v>915</v>
      </c>
      <c r="L1268" s="7">
        <v>8006</v>
      </c>
      <c r="M1268" s="10" t="str">
        <f t="shared" si="114"/>
        <v>CMI02170300</v>
      </c>
      <c r="N1268" s="10" t="str">
        <f t="shared" si="115"/>
        <v>SUM231200</v>
      </c>
      <c r="O1268" s="10" t="str">
        <f t="shared" si="116"/>
        <v>E</v>
      </c>
      <c r="P1268" s="10" t="str">
        <f t="shared" si="117"/>
        <v>50</v>
      </c>
      <c r="Q1268" s="10" t="str">
        <f t="shared" si="118"/>
        <v>ZSUM</v>
      </c>
      <c r="R1268" s="10" t="str">
        <f t="shared" si="119"/>
        <v>49171603</v>
      </c>
    </row>
    <row r="1269" spans="1:18" ht="25.5" hidden="1" x14ac:dyDescent="0.2">
      <c r="A1269" s="21" t="s">
        <v>914</v>
      </c>
      <c r="B1269" s="8" t="s">
        <v>913</v>
      </c>
      <c r="C1269" s="8" t="s">
        <v>40</v>
      </c>
      <c r="D1269" s="8" t="s">
        <v>74</v>
      </c>
      <c r="E1269" s="8" t="s">
        <v>40</v>
      </c>
      <c r="F1269" s="8" t="s">
        <v>39</v>
      </c>
      <c r="G1269" s="8" t="s">
        <v>60</v>
      </c>
      <c r="H1269" s="8" t="s">
        <v>37</v>
      </c>
      <c r="I1269" s="8" t="s">
        <v>53</v>
      </c>
      <c r="J1269" s="8" t="s">
        <v>59</v>
      </c>
      <c r="K1269" s="8" t="s">
        <v>912</v>
      </c>
      <c r="L1269" s="7">
        <v>8007</v>
      </c>
      <c r="M1269" s="10" t="str">
        <f t="shared" si="114"/>
        <v>CMI02170300</v>
      </c>
      <c r="N1269" s="10" t="str">
        <f t="shared" si="115"/>
        <v>SUM231200</v>
      </c>
      <c r="O1269" s="10" t="str">
        <f t="shared" si="116"/>
        <v>E</v>
      </c>
      <c r="P1269" s="10" t="str">
        <f t="shared" si="117"/>
        <v>50</v>
      </c>
      <c r="Q1269" s="10" t="str">
        <f t="shared" si="118"/>
        <v>ZSUM</v>
      </c>
      <c r="R1269" s="10" t="str">
        <f t="shared" si="119"/>
        <v>49171602</v>
      </c>
    </row>
    <row r="1270" spans="1:18" ht="38.25" hidden="1" x14ac:dyDescent="0.2">
      <c r="A1270" s="21" t="s">
        <v>911</v>
      </c>
      <c r="B1270" s="8" t="s">
        <v>910</v>
      </c>
      <c r="C1270" s="8" t="s">
        <v>40</v>
      </c>
      <c r="D1270" s="8" t="s">
        <v>86</v>
      </c>
      <c r="E1270" s="8" t="s">
        <v>40</v>
      </c>
      <c r="F1270" s="8" t="s">
        <v>39</v>
      </c>
      <c r="G1270" s="8" t="s">
        <v>885</v>
      </c>
      <c r="H1270" s="8" t="s">
        <v>37</v>
      </c>
      <c r="I1270" s="8" t="s">
        <v>53</v>
      </c>
      <c r="J1270" s="8" t="s">
        <v>59</v>
      </c>
      <c r="K1270" s="8" t="s">
        <v>909</v>
      </c>
      <c r="L1270" s="7">
        <v>8008</v>
      </c>
      <c r="M1270" s="10" t="str">
        <f t="shared" si="114"/>
        <v>CMI02160300</v>
      </c>
      <c r="N1270" s="10" t="str">
        <f t="shared" si="115"/>
        <v>SUM231000</v>
      </c>
      <c r="O1270" s="10" t="str">
        <f t="shared" si="116"/>
        <v>E</v>
      </c>
      <c r="P1270" s="10" t="str">
        <f t="shared" si="117"/>
        <v>50</v>
      </c>
      <c r="Q1270" s="10" t="str">
        <f t="shared" si="118"/>
        <v>ZSUM</v>
      </c>
      <c r="R1270" s="10" t="str">
        <f t="shared" si="119"/>
        <v>43201415</v>
      </c>
    </row>
    <row r="1271" spans="1:18" ht="25.5" hidden="1" x14ac:dyDescent="0.2">
      <c r="A1271" s="21" t="s">
        <v>908</v>
      </c>
      <c r="B1271" s="8" t="s">
        <v>907</v>
      </c>
      <c r="C1271" s="8" t="s">
        <v>40</v>
      </c>
      <c r="D1271" s="8" t="s">
        <v>363</v>
      </c>
      <c r="E1271" s="7">
        <v>6</v>
      </c>
      <c r="F1271" s="8" t="s">
        <v>39</v>
      </c>
      <c r="G1271" s="8" t="s">
        <v>60</v>
      </c>
      <c r="H1271" s="8" t="s">
        <v>37</v>
      </c>
      <c r="I1271" s="8" t="s">
        <v>36</v>
      </c>
      <c r="J1271" s="8" t="s">
        <v>59</v>
      </c>
      <c r="K1271" s="8" t="s">
        <v>906</v>
      </c>
      <c r="L1271" s="7">
        <v>8009</v>
      </c>
      <c r="M1271" s="10" t="str">
        <f t="shared" si="114"/>
        <v>CMI02051300</v>
      </c>
      <c r="N1271" s="10" t="str">
        <f t="shared" si="115"/>
        <v>SUM231200</v>
      </c>
      <c r="O1271" s="10" t="str">
        <f t="shared" si="116"/>
        <v>E</v>
      </c>
      <c r="P1271" s="10" t="str">
        <f t="shared" si="117"/>
        <v>10</v>
      </c>
      <c r="Q1271" s="10" t="str">
        <f t="shared" si="118"/>
        <v>ZSUM</v>
      </c>
      <c r="R1271" s="10" t="str">
        <f t="shared" si="119"/>
        <v>10161509</v>
      </c>
    </row>
    <row r="1272" spans="1:18" ht="25.5" hidden="1" x14ac:dyDescent="0.2">
      <c r="A1272" s="21" t="s">
        <v>905</v>
      </c>
      <c r="B1272" s="8" t="s">
        <v>904</v>
      </c>
      <c r="C1272" s="8" t="s">
        <v>40</v>
      </c>
      <c r="D1272" s="8" t="s">
        <v>74</v>
      </c>
      <c r="E1272" s="8" t="s">
        <v>40</v>
      </c>
      <c r="F1272" s="8" t="s">
        <v>39</v>
      </c>
      <c r="G1272" s="8" t="s">
        <v>60</v>
      </c>
      <c r="H1272" s="8" t="s">
        <v>37</v>
      </c>
      <c r="I1272" s="8" t="s">
        <v>53</v>
      </c>
      <c r="J1272" s="8" t="s">
        <v>59</v>
      </c>
      <c r="K1272" s="8" t="s">
        <v>903</v>
      </c>
      <c r="L1272" s="7">
        <v>8010</v>
      </c>
      <c r="M1272" s="10" t="str">
        <f t="shared" si="114"/>
        <v>CMI02170300</v>
      </c>
      <c r="N1272" s="10" t="str">
        <f t="shared" si="115"/>
        <v>SUM231200</v>
      </c>
      <c r="O1272" s="10" t="str">
        <f t="shared" si="116"/>
        <v>E</v>
      </c>
      <c r="P1272" s="10" t="str">
        <f t="shared" si="117"/>
        <v>50</v>
      </c>
      <c r="Q1272" s="10" t="str">
        <f t="shared" si="118"/>
        <v>ZSUM</v>
      </c>
      <c r="R1272" s="10" t="str">
        <f t="shared" si="119"/>
        <v>53102505</v>
      </c>
    </row>
    <row r="1273" spans="1:18" ht="25.5" hidden="1" x14ac:dyDescent="0.2">
      <c r="A1273" s="21" t="s">
        <v>902</v>
      </c>
      <c r="B1273" s="8" t="s">
        <v>901</v>
      </c>
      <c r="C1273" s="8" t="s">
        <v>40</v>
      </c>
      <c r="D1273" s="8" t="s">
        <v>363</v>
      </c>
      <c r="E1273" s="8" t="s">
        <v>40</v>
      </c>
      <c r="F1273" s="8" t="s">
        <v>39</v>
      </c>
      <c r="G1273" s="8" t="s">
        <v>60</v>
      </c>
      <c r="H1273" s="8" t="s">
        <v>37</v>
      </c>
      <c r="I1273" s="8" t="s">
        <v>53</v>
      </c>
      <c r="J1273" s="8" t="s">
        <v>59</v>
      </c>
      <c r="K1273" s="8" t="s">
        <v>900</v>
      </c>
      <c r="L1273" s="7">
        <v>8011</v>
      </c>
      <c r="M1273" s="10" t="str">
        <f t="shared" si="114"/>
        <v>CMI02051300</v>
      </c>
      <c r="N1273" s="10" t="str">
        <f t="shared" si="115"/>
        <v>SUM231200</v>
      </c>
      <c r="O1273" s="10" t="str">
        <f t="shared" si="116"/>
        <v>E</v>
      </c>
      <c r="P1273" s="10" t="str">
        <f t="shared" si="117"/>
        <v>50</v>
      </c>
      <c r="Q1273" s="10" t="str">
        <f t="shared" si="118"/>
        <v>ZSUM</v>
      </c>
      <c r="R1273" s="10" t="str">
        <f t="shared" si="119"/>
        <v>30151703</v>
      </c>
    </row>
    <row r="1274" spans="1:18" ht="38.25" hidden="1" x14ac:dyDescent="0.2">
      <c r="A1274" s="21" t="s">
        <v>899</v>
      </c>
      <c r="B1274" s="8" t="s">
        <v>898</v>
      </c>
      <c r="C1274" s="8" t="s">
        <v>40</v>
      </c>
      <c r="D1274" s="8" t="s">
        <v>86</v>
      </c>
      <c r="E1274" s="8" t="s">
        <v>40</v>
      </c>
      <c r="F1274" s="8" t="s">
        <v>39</v>
      </c>
      <c r="G1274" s="8" t="s">
        <v>60</v>
      </c>
      <c r="H1274" s="8" t="s">
        <v>37</v>
      </c>
      <c r="I1274" s="8" t="s">
        <v>53</v>
      </c>
      <c r="J1274" s="8" t="s">
        <v>59</v>
      </c>
      <c r="K1274" s="8" t="s">
        <v>897</v>
      </c>
      <c r="L1274" s="7">
        <v>8012</v>
      </c>
      <c r="M1274" s="10" t="str">
        <f t="shared" si="114"/>
        <v>CMI02160300</v>
      </c>
      <c r="N1274" s="10" t="str">
        <f t="shared" si="115"/>
        <v>SUM231200</v>
      </c>
      <c r="O1274" s="10" t="str">
        <f t="shared" si="116"/>
        <v>E</v>
      </c>
      <c r="P1274" s="10" t="str">
        <f t="shared" si="117"/>
        <v>50</v>
      </c>
      <c r="Q1274" s="10" t="str">
        <f t="shared" si="118"/>
        <v>ZSUM</v>
      </c>
      <c r="R1274" s="10" t="str">
        <f t="shared" si="119"/>
        <v>54111601</v>
      </c>
    </row>
    <row r="1275" spans="1:18" ht="38.25" hidden="1" x14ac:dyDescent="0.2">
      <c r="A1275" s="21" t="s">
        <v>896</v>
      </c>
      <c r="B1275" s="8" t="s">
        <v>895</v>
      </c>
      <c r="C1275" s="8" t="s">
        <v>40</v>
      </c>
      <c r="D1275" s="8" t="s">
        <v>86</v>
      </c>
      <c r="E1275" s="8" t="s">
        <v>40</v>
      </c>
      <c r="F1275" s="8" t="s">
        <v>39</v>
      </c>
      <c r="G1275" s="8" t="s">
        <v>60</v>
      </c>
      <c r="H1275" s="8" t="s">
        <v>37</v>
      </c>
      <c r="I1275" s="8" t="s">
        <v>53</v>
      </c>
      <c r="J1275" s="8" t="s">
        <v>59</v>
      </c>
      <c r="K1275" s="8" t="s">
        <v>894</v>
      </c>
      <c r="L1275" s="7">
        <v>8013</v>
      </c>
      <c r="M1275" s="10" t="str">
        <f t="shared" si="114"/>
        <v>CMI02160300</v>
      </c>
      <c r="N1275" s="10" t="str">
        <f t="shared" si="115"/>
        <v>SUM231200</v>
      </c>
      <c r="O1275" s="10" t="str">
        <f t="shared" si="116"/>
        <v>E</v>
      </c>
      <c r="P1275" s="10" t="str">
        <f t="shared" si="117"/>
        <v>50</v>
      </c>
      <c r="Q1275" s="10" t="str">
        <f t="shared" si="118"/>
        <v>ZSUM</v>
      </c>
      <c r="R1275" s="10" t="str">
        <f t="shared" si="119"/>
        <v>60124505</v>
      </c>
    </row>
    <row r="1276" spans="1:18" ht="38.25" hidden="1" x14ac:dyDescent="0.2">
      <c r="A1276" s="21" t="s">
        <v>893</v>
      </c>
      <c r="B1276" s="8" t="s">
        <v>892</v>
      </c>
      <c r="C1276" s="8" t="s">
        <v>40</v>
      </c>
      <c r="D1276" s="8" t="s">
        <v>86</v>
      </c>
      <c r="E1276" s="8" t="s">
        <v>40</v>
      </c>
      <c r="F1276" s="8" t="s">
        <v>39</v>
      </c>
      <c r="G1276" s="8" t="s">
        <v>60</v>
      </c>
      <c r="H1276" s="8" t="s">
        <v>37</v>
      </c>
      <c r="I1276" s="8" t="s">
        <v>53</v>
      </c>
      <c r="J1276" s="8" t="s">
        <v>59</v>
      </c>
      <c r="K1276" s="8" t="s">
        <v>891</v>
      </c>
      <c r="L1276" s="7">
        <v>8014</v>
      </c>
      <c r="M1276" s="10" t="str">
        <f t="shared" si="114"/>
        <v>CMI02160300</v>
      </c>
      <c r="N1276" s="10" t="str">
        <f t="shared" si="115"/>
        <v>SUM231200</v>
      </c>
      <c r="O1276" s="10" t="str">
        <f t="shared" si="116"/>
        <v>E</v>
      </c>
      <c r="P1276" s="10" t="str">
        <f t="shared" si="117"/>
        <v>50</v>
      </c>
      <c r="Q1276" s="10" t="str">
        <f t="shared" si="118"/>
        <v>ZSUM</v>
      </c>
      <c r="R1276" s="10" t="str">
        <f t="shared" si="119"/>
        <v>43211802</v>
      </c>
    </row>
    <row r="1277" spans="1:18" ht="25.5" hidden="1" x14ac:dyDescent="0.2">
      <c r="A1277" s="21" t="s">
        <v>890</v>
      </c>
      <c r="B1277" s="8" t="s">
        <v>889</v>
      </c>
      <c r="C1277" s="8" t="s">
        <v>40</v>
      </c>
      <c r="D1277" s="8" t="s">
        <v>363</v>
      </c>
      <c r="E1277" s="8" t="s">
        <v>40</v>
      </c>
      <c r="F1277" s="8" t="s">
        <v>39</v>
      </c>
      <c r="G1277" s="8" t="s">
        <v>60</v>
      </c>
      <c r="H1277" s="8" t="s">
        <v>37</v>
      </c>
      <c r="I1277" s="8" t="s">
        <v>53</v>
      </c>
      <c r="J1277" s="8" t="s">
        <v>59</v>
      </c>
      <c r="K1277" s="8" t="s">
        <v>888</v>
      </c>
      <c r="L1277" s="7">
        <v>8015</v>
      </c>
      <c r="M1277" s="10" t="str">
        <f t="shared" si="114"/>
        <v>CMI02051300</v>
      </c>
      <c r="N1277" s="10" t="str">
        <f t="shared" si="115"/>
        <v>SUM231200</v>
      </c>
      <c r="O1277" s="10" t="str">
        <f t="shared" si="116"/>
        <v>E</v>
      </c>
      <c r="P1277" s="10" t="str">
        <f t="shared" si="117"/>
        <v>50</v>
      </c>
      <c r="Q1277" s="10" t="str">
        <f t="shared" si="118"/>
        <v>ZSUM</v>
      </c>
      <c r="R1277" s="10" t="str">
        <f t="shared" si="119"/>
        <v>10161502</v>
      </c>
    </row>
    <row r="1278" spans="1:18" ht="25.5" hidden="1" x14ac:dyDescent="0.2">
      <c r="A1278" s="21" t="s">
        <v>887</v>
      </c>
      <c r="B1278" s="8" t="s">
        <v>886</v>
      </c>
      <c r="C1278" s="8" t="s">
        <v>40</v>
      </c>
      <c r="D1278" s="8" t="s">
        <v>216</v>
      </c>
      <c r="E1278" s="8" t="s">
        <v>40</v>
      </c>
      <c r="F1278" s="8" t="s">
        <v>39</v>
      </c>
      <c r="G1278" s="8" t="s">
        <v>885</v>
      </c>
      <c r="H1278" s="8" t="s">
        <v>37</v>
      </c>
      <c r="I1278" s="8" t="s">
        <v>53</v>
      </c>
      <c r="J1278" s="8" t="s">
        <v>59</v>
      </c>
      <c r="K1278" s="8" t="s">
        <v>884</v>
      </c>
      <c r="L1278" s="7">
        <v>8016</v>
      </c>
      <c r="M1278" s="10" t="str">
        <f t="shared" si="114"/>
        <v>CMI02140500</v>
      </c>
      <c r="N1278" s="10" t="str">
        <f t="shared" si="115"/>
        <v>SUM231000</v>
      </c>
      <c r="O1278" s="10" t="str">
        <f t="shared" si="116"/>
        <v>E</v>
      </c>
      <c r="P1278" s="10" t="str">
        <f t="shared" si="117"/>
        <v>50</v>
      </c>
      <c r="Q1278" s="10" t="str">
        <f t="shared" si="118"/>
        <v>ZSUM</v>
      </c>
      <c r="R1278" s="10" t="str">
        <f t="shared" si="119"/>
        <v>27112100</v>
      </c>
    </row>
    <row r="1279" spans="1:18" ht="38.25" hidden="1" x14ac:dyDescent="0.2">
      <c r="A1279" s="21" t="s">
        <v>883</v>
      </c>
      <c r="B1279" s="8" t="s">
        <v>882</v>
      </c>
      <c r="C1279" s="8" t="s">
        <v>40</v>
      </c>
      <c r="D1279" s="8" t="s">
        <v>275</v>
      </c>
      <c r="E1279" s="8" t="s">
        <v>40</v>
      </c>
      <c r="F1279" s="8" t="s">
        <v>39</v>
      </c>
      <c r="G1279" s="8" t="s">
        <v>60</v>
      </c>
      <c r="H1279" s="8" t="s">
        <v>37</v>
      </c>
      <c r="I1279" s="8" t="s">
        <v>53</v>
      </c>
      <c r="J1279" s="8" t="s">
        <v>59</v>
      </c>
      <c r="K1279" s="8" t="s">
        <v>881</v>
      </c>
      <c r="L1279" s="7">
        <v>8017</v>
      </c>
      <c r="M1279" s="10" t="str">
        <f t="shared" si="114"/>
        <v>CMI01030300</v>
      </c>
      <c r="N1279" s="10" t="str">
        <f t="shared" si="115"/>
        <v>SUM231200</v>
      </c>
      <c r="O1279" s="10" t="str">
        <f t="shared" si="116"/>
        <v>E</v>
      </c>
      <c r="P1279" s="10" t="str">
        <f t="shared" si="117"/>
        <v>50</v>
      </c>
      <c r="Q1279" s="10" t="str">
        <f t="shared" si="118"/>
        <v>ZSUM</v>
      </c>
      <c r="R1279" s="10" t="str">
        <f t="shared" si="119"/>
        <v>56101518</v>
      </c>
    </row>
    <row r="1280" spans="1:18" ht="25.5" hidden="1" x14ac:dyDescent="0.2">
      <c r="A1280" s="21" t="s">
        <v>880</v>
      </c>
      <c r="B1280" s="8" t="s">
        <v>879</v>
      </c>
      <c r="C1280" s="8" t="s">
        <v>40</v>
      </c>
      <c r="D1280" s="8" t="s">
        <v>363</v>
      </c>
      <c r="E1280" s="8" t="s">
        <v>40</v>
      </c>
      <c r="F1280" s="8" t="s">
        <v>39</v>
      </c>
      <c r="G1280" s="8" t="s">
        <v>60</v>
      </c>
      <c r="H1280" s="8" t="s">
        <v>37</v>
      </c>
      <c r="I1280" s="8" t="s">
        <v>53</v>
      </c>
      <c r="J1280" s="8" t="s">
        <v>59</v>
      </c>
      <c r="K1280" s="8" t="s">
        <v>878</v>
      </c>
      <c r="L1280" s="7">
        <v>8018</v>
      </c>
      <c r="M1280" s="10" t="str">
        <f t="shared" si="114"/>
        <v>CMI02051300</v>
      </c>
      <c r="N1280" s="10" t="str">
        <f t="shared" si="115"/>
        <v>SUM231200</v>
      </c>
      <c r="O1280" s="10" t="str">
        <f t="shared" si="116"/>
        <v>E</v>
      </c>
      <c r="P1280" s="10" t="str">
        <f t="shared" si="117"/>
        <v>50</v>
      </c>
      <c r="Q1280" s="10" t="str">
        <f t="shared" si="118"/>
        <v>ZSUM</v>
      </c>
      <c r="R1280" s="10" t="str">
        <f t="shared" si="119"/>
        <v>10191701</v>
      </c>
    </row>
    <row r="1281" spans="1:18" ht="25.5" hidden="1" x14ac:dyDescent="0.2">
      <c r="A1281" s="21" t="s">
        <v>877</v>
      </c>
      <c r="B1281" s="8" t="s">
        <v>876</v>
      </c>
      <c r="C1281" s="8" t="s">
        <v>40</v>
      </c>
      <c r="D1281" s="8" t="s">
        <v>797</v>
      </c>
      <c r="E1281" s="8" t="s">
        <v>40</v>
      </c>
      <c r="F1281" s="8" t="s">
        <v>39</v>
      </c>
      <c r="G1281" s="8" t="s">
        <v>60</v>
      </c>
      <c r="H1281" s="8" t="s">
        <v>37</v>
      </c>
      <c r="I1281" s="8" t="s">
        <v>53</v>
      </c>
      <c r="J1281" s="8" t="s">
        <v>59</v>
      </c>
      <c r="K1281" s="8" t="s">
        <v>875</v>
      </c>
      <c r="L1281" s="7">
        <v>8019</v>
      </c>
      <c r="M1281" s="10" t="str">
        <f t="shared" si="114"/>
        <v>CMI02100200</v>
      </c>
      <c r="N1281" s="10" t="str">
        <f t="shared" si="115"/>
        <v>SUM231200</v>
      </c>
      <c r="O1281" s="10" t="str">
        <f t="shared" si="116"/>
        <v>E</v>
      </c>
      <c r="P1281" s="10" t="str">
        <f t="shared" si="117"/>
        <v>50</v>
      </c>
      <c r="Q1281" s="10" t="str">
        <f t="shared" si="118"/>
        <v>ZSUM</v>
      </c>
      <c r="R1281" s="10" t="str">
        <f t="shared" si="119"/>
        <v>52121600</v>
      </c>
    </row>
    <row r="1282" spans="1:18" ht="25.5" hidden="1" x14ac:dyDescent="0.2">
      <c r="A1282" s="21" t="s">
        <v>874</v>
      </c>
      <c r="B1282" s="8" t="s">
        <v>873</v>
      </c>
      <c r="C1282" s="8" t="s">
        <v>40</v>
      </c>
      <c r="D1282" s="8" t="s">
        <v>74</v>
      </c>
      <c r="E1282" s="8" t="s">
        <v>40</v>
      </c>
      <c r="F1282" s="8" t="s">
        <v>39</v>
      </c>
      <c r="G1282" s="8" t="s">
        <v>60</v>
      </c>
      <c r="H1282" s="8" t="s">
        <v>37</v>
      </c>
      <c r="I1282" s="8" t="s">
        <v>53</v>
      </c>
      <c r="J1282" s="8" t="s">
        <v>59</v>
      </c>
      <c r="K1282" s="8" t="s">
        <v>872</v>
      </c>
      <c r="L1282" s="7">
        <v>8020</v>
      </c>
      <c r="M1282" s="10" t="str">
        <f t="shared" si="114"/>
        <v>CMI02170300</v>
      </c>
      <c r="N1282" s="10" t="str">
        <f t="shared" si="115"/>
        <v>SUM231200</v>
      </c>
      <c r="O1282" s="10" t="str">
        <f t="shared" si="116"/>
        <v>E</v>
      </c>
      <c r="P1282" s="10" t="str">
        <f t="shared" si="117"/>
        <v>50</v>
      </c>
      <c r="Q1282" s="10" t="str">
        <f t="shared" si="118"/>
        <v>ZSUM</v>
      </c>
      <c r="R1282" s="10" t="str">
        <f t="shared" si="119"/>
        <v>52121502</v>
      </c>
    </row>
    <row r="1283" spans="1:18" ht="38.25" hidden="1" x14ac:dyDescent="0.2">
      <c r="A1283" s="21" t="s">
        <v>871</v>
      </c>
      <c r="B1283" s="8" t="s">
        <v>870</v>
      </c>
      <c r="C1283" s="8" t="s">
        <v>40</v>
      </c>
      <c r="D1283" s="8" t="s">
        <v>212</v>
      </c>
      <c r="E1283" s="8" t="s">
        <v>40</v>
      </c>
      <c r="F1283" s="8" t="s">
        <v>39</v>
      </c>
      <c r="G1283" s="8" t="s">
        <v>208</v>
      </c>
      <c r="H1283" s="8" t="s">
        <v>37</v>
      </c>
      <c r="I1283" s="8" t="s">
        <v>53</v>
      </c>
      <c r="J1283" s="8" t="s">
        <v>59</v>
      </c>
      <c r="K1283" s="8" t="s">
        <v>869</v>
      </c>
      <c r="L1283" s="7">
        <v>8021</v>
      </c>
      <c r="M1283" s="10" t="str">
        <f t="shared" ref="M1283:M1346" si="120">+LEFT(D1283,11)</f>
        <v>CMI01010500</v>
      </c>
      <c r="N1283" s="10" t="str">
        <f t="shared" ref="N1283:N1346" si="121">+LEFT(G1283,9)</f>
        <v>SUM301000</v>
      </c>
      <c r="O1283" s="10" t="str">
        <f t="shared" ref="O1283:O1346" si="122">+LEFT(H1283,1)</f>
        <v>E</v>
      </c>
      <c r="P1283" s="10" t="str">
        <f t="shared" ref="P1283:P1346" si="123">+LEFT(I1283,2)</f>
        <v>50</v>
      </c>
      <c r="Q1283" s="10" t="str">
        <f t="shared" ref="Q1283:Q1346" si="124">+LEFT(J1283,4)</f>
        <v>ZSUM</v>
      </c>
      <c r="R1283" s="10" t="str">
        <f t="shared" ref="R1283:R1346" si="125">+LEFT(K1283,8)</f>
        <v>44103206</v>
      </c>
    </row>
    <row r="1284" spans="1:18" ht="38.25" hidden="1" x14ac:dyDescent="0.2">
      <c r="A1284" s="21" t="s">
        <v>868</v>
      </c>
      <c r="B1284" s="8" t="s">
        <v>867</v>
      </c>
      <c r="C1284" s="8" t="s">
        <v>40</v>
      </c>
      <c r="D1284" s="8" t="s">
        <v>245</v>
      </c>
      <c r="E1284" s="8" t="s">
        <v>40</v>
      </c>
      <c r="F1284" s="8" t="s">
        <v>39</v>
      </c>
      <c r="G1284" s="8" t="s">
        <v>85</v>
      </c>
      <c r="H1284" s="8" t="s">
        <v>37</v>
      </c>
      <c r="I1284" s="8" t="s">
        <v>53</v>
      </c>
      <c r="J1284" s="8" t="s">
        <v>59</v>
      </c>
      <c r="K1284" s="8" t="s">
        <v>866</v>
      </c>
      <c r="L1284" s="7">
        <v>8022</v>
      </c>
      <c r="M1284" s="10" t="str">
        <f t="shared" si="120"/>
        <v>CMI01020300</v>
      </c>
      <c r="N1284" s="10" t="str">
        <f t="shared" si="121"/>
        <v>SUM231500</v>
      </c>
      <c r="O1284" s="10" t="str">
        <f t="shared" si="122"/>
        <v>E</v>
      </c>
      <c r="P1284" s="10" t="str">
        <f t="shared" si="123"/>
        <v>50</v>
      </c>
      <c r="Q1284" s="10" t="str">
        <f t="shared" si="124"/>
        <v>ZSUM</v>
      </c>
      <c r="R1284" s="10" t="str">
        <f t="shared" si="125"/>
        <v>23153100</v>
      </c>
    </row>
    <row r="1285" spans="1:18" ht="25.5" hidden="1" x14ac:dyDescent="0.2">
      <c r="A1285" s="21" t="s">
        <v>865</v>
      </c>
      <c r="B1285" s="8" t="s">
        <v>864</v>
      </c>
      <c r="C1285" s="8" t="s">
        <v>40</v>
      </c>
      <c r="D1285" s="8" t="s">
        <v>74</v>
      </c>
      <c r="E1285" s="8" t="s">
        <v>40</v>
      </c>
      <c r="F1285" s="8" t="s">
        <v>39</v>
      </c>
      <c r="G1285" s="8" t="s">
        <v>60</v>
      </c>
      <c r="H1285" s="8" t="s">
        <v>37</v>
      </c>
      <c r="I1285" s="8" t="s">
        <v>53</v>
      </c>
      <c r="J1285" s="8" t="s">
        <v>59</v>
      </c>
      <c r="K1285" s="8" t="s">
        <v>863</v>
      </c>
      <c r="L1285" s="7">
        <v>8023</v>
      </c>
      <c r="M1285" s="10" t="str">
        <f t="shared" si="120"/>
        <v>CMI02170300</v>
      </c>
      <c r="N1285" s="10" t="str">
        <f t="shared" si="121"/>
        <v>SUM231200</v>
      </c>
      <c r="O1285" s="10" t="str">
        <f t="shared" si="122"/>
        <v>E</v>
      </c>
      <c r="P1285" s="10" t="str">
        <f t="shared" si="123"/>
        <v>50</v>
      </c>
      <c r="Q1285" s="10" t="str">
        <f t="shared" si="124"/>
        <v>ZSUM</v>
      </c>
      <c r="R1285" s="10" t="str">
        <f t="shared" si="125"/>
        <v>53141605</v>
      </c>
    </row>
    <row r="1286" spans="1:18" ht="38.25" hidden="1" x14ac:dyDescent="0.2">
      <c r="A1286" s="21" t="s">
        <v>862</v>
      </c>
      <c r="B1286" s="8" t="s">
        <v>861</v>
      </c>
      <c r="C1286" s="8" t="s">
        <v>40</v>
      </c>
      <c r="D1286" s="8" t="s">
        <v>74</v>
      </c>
      <c r="E1286" s="8" t="s">
        <v>40</v>
      </c>
      <c r="F1286" s="8" t="s">
        <v>39</v>
      </c>
      <c r="G1286" s="8" t="s">
        <v>60</v>
      </c>
      <c r="H1286" s="8" t="s">
        <v>37</v>
      </c>
      <c r="I1286" s="8" t="s">
        <v>53</v>
      </c>
      <c r="J1286" s="8" t="s">
        <v>59</v>
      </c>
      <c r="K1286" s="8" t="s">
        <v>860</v>
      </c>
      <c r="L1286" s="7">
        <v>8024</v>
      </c>
      <c r="M1286" s="10" t="str">
        <f t="shared" si="120"/>
        <v>CMI02170300</v>
      </c>
      <c r="N1286" s="10" t="str">
        <f t="shared" si="121"/>
        <v>SUM231200</v>
      </c>
      <c r="O1286" s="10" t="str">
        <f t="shared" si="122"/>
        <v>E</v>
      </c>
      <c r="P1286" s="10" t="str">
        <f t="shared" si="123"/>
        <v>50</v>
      </c>
      <c r="Q1286" s="10" t="str">
        <f t="shared" si="124"/>
        <v>ZSUM</v>
      </c>
      <c r="R1286" s="10" t="str">
        <f t="shared" si="125"/>
        <v>53141629</v>
      </c>
    </row>
    <row r="1287" spans="1:18" ht="38.25" hidden="1" x14ac:dyDescent="0.2">
      <c r="A1287" s="21" t="s">
        <v>859</v>
      </c>
      <c r="B1287" s="8" t="s">
        <v>858</v>
      </c>
      <c r="C1287" s="8" t="s">
        <v>40</v>
      </c>
      <c r="D1287" s="8" t="s">
        <v>74</v>
      </c>
      <c r="E1287" s="8" t="s">
        <v>40</v>
      </c>
      <c r="F1287" s="8" t="s">
        <v>39</v>
      </c>
      <c r="G1287" s="8" t="s">
        <v>60</v>
      </c>
      <c r="H1287" s="8" t="s">
        <v>37</v>
      </c>
      <c r="I1287" s="8" t="s">
        <v>53</v>
      </c>
      <c r="J1287" s="8" t="s">
        <v>59</v>
      </c>
      <c r="K1287" s="8" t="s">
        <v>857</v>
      </c>
      <c r="L1287" s="7">
        <v>8025</v>
      </c>
      <c r="M1287" s="10" t="str">
        <f t="shared" si="120"/>
        <v>CMI02170300</v>
      </c>
      <c r="N1287" s="10" t="str">
        <f t="shared" si="121"/>
        <v>SUM231200</v>
      </c>
      <c r="O1287" s="10" t="str">
        <f t="shared" si="122"/>
        <v>E</v>
      </c>
      <c r="P1287" s="10" t="str">
        <f t="shared" si="123"/>
        <v>50</v>
      </c>
      <c r="Q1287" s="10" t="str">
        <f t="shared" si="124"/>
        <v>ZSUM</v>
      </c>
      <c r="R1287" s="10" t="str">
        <f t="shared" si="125"/>
        <v>53141620</v>
      </c>
    </row>
    <row r="1288" spans="1:18" ht="25.5" hidden="1" x14ac:dyDescent="0.2">
      <c r="A1288" s="21" t="s">
        <v>856</v>
      </c>
      <c r="B1288" s="8" t="s">
        <v>855</v>
      </c>
      <c r="C1288" s="8" t="s">
        <v>40</v>
      </c>
      <c r="D1288" s="8" t="s">
        <v>74</v>
      </c>
      <c r="E1288" s="8" t="s">
        <v>40</v>
      </c>
      <c r="F1288" s="8" t="s">
        <v>39</v>
      </c>
      <c r="G1288" s="8" t="s">
        <v>60</v>
      </c>
      <c r="H1288" s="8" t="s">
        <v>37</v>
      </c>
      <c r="I1288" s="8" t="s">
        <v>53</v>
      </c>
      <c r="J1288" s="8" t="s">
        <v>59</v>
      </c>
      <c r="K1288" s="8" t="s">
        <v>854</v>
      </c>
      <c r="L1288" s="7">
        <v>8026</v>
      </c>
      <c r="M1288" s="10" t="str">
        <f t="shared" si="120"/>
        <v>CMI02170300</v>
      </c>
      <c r="N1288" s="10" t="str">
        <f t="shared" si="121"/>
        <v>SUM231200</v>
      </c>
      <c r="O1288" s="10" t="str">
        <f t="shared" si="122"/>
        <v>E</v>
      </c>
      <c r="P1288" s="10" t="str">
        <f t="shared" si="123"/>
        <v>50</v>
      </c>
      <c r="Q1288" s="10" t="str">
        <f t="shared" si="124"/>
        <v>ZSUM</v>
      </c>
      <c r="R1288" s="10" t="str">
        <f t="shared" si="125"/>
        <v>53141622</v>
      </c>
    </row>
    <row r="1289" spans="1:18" ht="25.5" hidden="1" x14ac:dyDescent="0.2">
      <c r="A1289" s="21" t="s">
        <v>853</v>
      </c>
      <c r="B1289" s="8" t="s">
        <v>852</v>
      </c>
      <c r="C1289" s="8" t="s">
        <v>40</v>
      </c>
      <c r="D1289" s="8" t="s">
        <v>74</v>
      </c>
      <c r="E1289" s="8" t="s">
        <v>40</v>
      </c>
      <c r="F1289" s="8" t="s">
        <v>39</v>
      </c>
      <c r="G1289" s="8" t="s">
        <v>60</v>
      </c>
      <c r="H1289" s="8" t="s">
        <v>37</v>
      </c>
      <c r="I1289" s="8" t="s">
        <v>53</v>
      </c>
      <c r="J1289" s="8" t="s">
        <v>59</v>
      </c>
      <c r="K1289" s="8" t="s">
        <v>851</v>
      </c>
      <c r="L1289" s="7">
        <v>8027</v>
      </c>
      <c r="M1289" s="10" t="str">
        <f t="shared" si="120"/>
        <v>CMI02170300</v>
      </c>
      <c r="N1289" s="10" t="str">
        <f t="shared" si="121"/>
        <v>SUM231200</v>
      </c>
      <c r="O1289" s="10" t="str">
        <f t="shared" si="122"/>
        <v>E</v>
      </c>
      <c r="P1289" s="10" t="str">
        <f t="shared" si="123"/>
        <v>50</v>
      </c>
      <c r="Q1289" s="10" t="str">
        <f t="shared" si="124"/>
        <v>ZSUM</v>
      </c>
      <c r="R1289" s="10" t="str">
        <f t="shared" si="125"/>
        <v>11161700</v>
      </c>
    </row>
    <row r="1290" spans="1:18" ht="25.5" hidden="1" x14ac:dyDescent="0.2">
      <c r="A1290" s="21" t="s">
        <v>850</v>
      </c>
      <c r="B1290" s="8" t="s">
        <v>849</v>
      </c>
      <c r="C1290" s="8" t="s">
        <v>40</v>
      </c>
      <c r="D1290" s="8" t="s">
        <v>74</v>
      </c>
      <c r="E1290" s="8" t="s">
        <v>40</v>
      </c>
      <c r="F1290" s="8" t="s">
        <v>39</v>
      </c>
      <c r="G1290" s="8" t="s">
        <v>60</v>
      </c>
      <c r="H1290" s="8" t="s">
        <v>37</v>
      </c>
      <c r="I1290" s="8" t="s">
        <v>53</v>
      </c>
      <c r="J1290" s="8" t="s">
        <v>59</v>
      </c>
      <c r="K1290" s="8" t="s">
        <v>848</v>
      </c>
      <c r="L1290" s="7">
        <v>8028</v>
      </c>
      <c r="M1290" s="10" t="str">
        <f t="shared" si="120"/>
        <v>CMI02170300</v>
      </c>
      <c r="N1290" s="10" t="str">
        <f t="shared" si="121"/>
        <v>SUM231200</v>
      </c>
      <c r="O1290" s="10" t="str">
        <f t="shared" si="122"/>
        <v>E</v>
      </c>
      <c r="P1290" s="10" t="str">
        <f t="shared" si="123"/>
        <v>50</v>
      </c>
      <c r="Q1290" s="10" t="str">
        <f t="shared" si="124"/>
        <v>ZSUM</v>
      </c>
      <c r="R1290" s="10" t="str">
        <f t="shared" si="125"/>
        <v>11161801</v>
      </c>
    </row>
    <row r="1291" spans="1:18" ht="38.25" hidden="1" x14ac:dyDescent="0.2">
      <c r="A1291" s="21" t="s">
        <v>847</v>
      </c>
      <c r="B1291" s="8" t="s">
        <v>846</v>
      </c>
      <c r="C1291" s="8" t="s">
        <v>40</v>
      </c>
      <c r="D1291" s="8" t="s">
        <v>74</v>
      </c>
      <c r="E1291" s="8" t="s">
        <v>40</v>
      </c>
      <c r="F1291" s="8" t="s">
        <v>39</v>
      </c>
      <c r="G1291" s="8" t="s">
        <v>60</v>
      </c>
      <c r="H1291" s="8" t="s">
        <v>37</v>
      </c>
      <c r="I1291" s="8" t="s">
        <v>53</v>
      </c>
      <c r="J1291" s="8" t="s">
        <v>59</v>
      </c>
      <c r="K1291" s="8" t="s">
        <v>845</v>
      </c>
      <c r="L1291" s="7">
        <v>8029</v>
      </c>
      <c r="M1291" s="10" t="str">
        <f t="shared" si="120"/>
        <v>CMI02170300</v>
      </c>
      <c r="N1291" s="10" t="str">
        <f t="shared" si="121"/>
        <v>SUM231200</v>
      </c>
      <c r="O1291" s="10" t="str">
        <f t="shared" si="122"/>
        <v>E</v>
      </c>
      <c r="P1291" s="10" t="str">
        <f t="shared" si="123"/>
        <v>50</v>
      </c>
      <c r="Q1291" s="10" t="str">
        <f t="shared" si="124"/>
        <v>ZSUM</v>
      </c>
      <c r="R1291" s="10" t="str">
        <f t="shared" si="125"/>
        <v>53141500</v>
      </c>
    </row>
    <row r="1292" spans="1:18" ht="25.5" hidden="1" x14ac:dyDescent="0.2">
      <c r="A1292" s="21" t="s">
        <v>844</v>
      </c>
      <c r="B1292" s="8" t="s">
        <v>843</v>
      </c>
      <c r="C1292" s="8" t="s">
        <v>40</v>
      </c>
      <c r="D1292" s="8" t="s">
        <v>74</v>
      </c>
      <c r="E1292" s="8" t="s">
        <v>40</v>
      </c>
      <c r="F1292" s="8" t="s">
        <v>39</v>
      </c>
      <c r="G1292" s="8" t="s">
        <v>60</v>
      </c>
      <c r="H1292" s="8" t="s">
        <v>37</v>
      </c>
      <c r="I1292" s="8" t="s">
        <v>53</v>
      </c>
      <c r="J1292" s="8" t="s">
        <v>59</v>
      </c>
      <c r="K1292" s="8" t="s">
        <v>842</v>
      </c>
      <c r="L1292" s="7">
        <v>8030</v>
      </c>
      <c r="M1292" s="10" t="str">
        <f t="shared" si="120"/>
        <v>CMI02170300</v>
      </c>
      <c r="N1292" s="10" t="str">
        <f t="shared" si="121"/>
        <v>SUM231200</v>
      </c>
      <c r="O1292" s="10" t="str">
        <f t="shared" si="122"/>
        <v>E</v>
      </c>
      <c r="P1292" s="10" t="str">
        <f t="shared" si="123"/>
        <v>50</v>
      </c>
      <c r="Q1292" s="10" t="str">
        <f t="shared" si="124"/>
        <v>ZSUM</v>
      </c>
      <c r="R1292" s="10" t="str">
        <f t="shared" si="125"/>
        <v>53141503</v>
      </c>
    </row>
    <row r="1293" spans="1:18" ht="38.25" hidden="1" x14ac:dyDescent="0.2">
      <c r="A1293" s="21" t="s">
        <v>841</v>
      </c>
      <c r="B1293" s="8" t="s">
        <v>840</v>
      </c>
      <c r="C1293" s="8" t="s">
        <v>40</v>
      </c>
      <c r="D1293" s="8" t="s">
        <v>74</v>
      </c>
      <c r="E1293" s="8" t="s">
        <v>40</v>
      </c>
      <c r="F1293" s="8" t="s">
        <v>39</v>
      </c>
      <c r="G1293" s="8" t="s">
        <v>60</v>
      </c>
      <c r="H1293" s="8" t="s">
        <v>37</v>
      </c>
      <c r="I1293" s="8" t="s">
        <v>53</v>
      </c>
      <c r="J1293" s="8" t="s">
        <v>59</v>
      </c>
      <c r="K1293" s="8" t="s">
        <v>839</v>
      </c>
      <c r="L1293" s="7">
        <v>8031</v>
      </c>
      <c r="M1293" s="10" t="str">
        <f t="shared" si="120"/>
        <v>CMI02170300</v>
      </c>
      <c r="N1293" s="10" t="str">
        <f t="shared" si="121"/>
        <v>SUM231200</v>
      </c>
      <c r="O1293" s="10" t="str">
        <f t="shared" si="122"/>
        <v>E</v>
      </c>
      <c r="P1293" s="10" t="str">
        <f t="shared" si="123"/>
        <v>50</v>
      </c>
      <c r="Q1293" s="10" t="str">
        <f t="shared" si="124"/>
        <v>ZSUM</v>
      </c>
      <c r="R1293" s="10" t="str">
        <f t="shared" si="125"/>
        <v>53141600</v>
      </c>
    </row>
    <row r="1294" spans="1:18" ht="25.5" hidden="1" x14ac:dyDescent="0.2">
      <c r="A1294" s="21" t="s">
        <v>838</v>
      </c>
      <c r="B1294" s="8" t="s">
        <v>837</v>
      </c>
      <c r="C1294" s="8" t="s">
        <v>40</v>
      </c>
      <c r="D1294" s="8" t="s">
        <v>74</v>
      </c>
      <c r="E1294" s="8" t="s">
        <v>40</v>
      </c>
      <c r="F1294" s="8" t="s">
        <v>39</v>
      </c>
      <c r="G1294" s="8" t="s">
        <v>60</v>
      </c>
      <c r="H1294" s="8" t="s">
        <v>37</v>
      </c>
      <c r="I1294" s="8" t="s">
        <v>53</v>
      </c>
      <c r="J1294" s="8" t="s">
        <v>59</v>
      </c>
      <c r="K1294" s="8" t="s">
        <v>836</v>
      </c>
      <c r="L1294" s="7">
        <v>8032</v>
      </c>
      <c r="M1294" s="10" t="str">
        <f t="shared" si="120"/>
        <v>CMI02170300</v>
      </c>
      <c r="N1294" s="10" t="str">
        <f t="shared" si="121"/>
        <v>SUM231200</v>
      </c>
      <c r="O1294" s="10" t="str">
        <f t="shared" si="122"/>
        <v>E</v>
      </c>
      <c r="P1294" s="10" t="str">
        <f t="shared" si="123"/>
        <v>50</v>
      </c>
      <c r="Q1294" s="10" t="str">
        <f t="shared" si="124"/>
        <v>ZSUM</v>
      </c>
      <c r="R1294" s="10" t="str">
        <f t="shared" si="125"/>
        <v>53141626</v>
      </c>
    </row>
    <row r="1295" spans="1:18" ht="25.5" hidden="1" x14ac:dyDescent="0.2">
      <c r="A1295" s="21" t="s">
        <v>835</v>
      </c>
      <c r="B1295" s="8" t="s">
        <v>834</v>
      </c>
      <c r="C1295" s="8" t="s">
        <v>40</v>
      </c>
      <c r="D1295" s="8" t="s">
        <v>363</v>
      </c>
      <c r="E1295" s="8" t="s">
        <v>40</v>
      </c>
      <c r="F1295" s="8" t="s">
        <v>39</v>
      </c>
      <c r="G1295" s="8" t="s">
        <v>60</v>
      </c>
      <c r="H1295" s="8" t="s">
        <v>37</v>
      </c>
      <c r="I1295" s="8" t="s">
        <v>53</v>
      </c>
      <c r="J1295" s="8" t="s">
        <v>59</v>
      </c>
      <c r="K1295" s="8" t="s">
        <v>833</v>
      </c>
      <c r="L1295" s="7">
        <v>8033</v>
      </c>
      <c r="M1295" s="10" t="str">
        <f t="shared" si="120"/>
        <v>CMI02051300</v>
      </c>
      <c r="N1295" s="10" t="str">
        <f t="shared" si="121"/>
        <v>SUM231200</v>
      </c>
      <c r="O1295" s="10" t="str">
        <f t="shared" si="122"/>
        <v>E</v>
      </c>
      <c r="P1295" s="10" t="str">
        <f t="shared" si="123"/>
        <v>50</v>
      </c>
      <c r="Q1295" s="10" t="str">
        <f t="shared" si="124"/>
        <v>ZSUM</v>
      </c>
      <c r="R1295" s="10" t="str">
        <f t="shared" si="125"/>
        <v>30171512</v>
      </c>
    </row>
    <row r="1296" spans="1:18" ht="25.5" hidden="1" x14ac:dyDescent="0.2">
      <c r="A1296" s="21" t="s">
        <v>832</v>
      </c>
      <c r="B1296" s="8" t="s">
        <v>831</v>
      </c>
      <c r="C1296" s="8" t="s">
        <v>40</v>
      </c>
      <c r="D1296" s="8" t="s">
        <v>797</v>
      </c>
      <c r="E1296" s="8" t="s">
        <v>40</v>
      </c>
      <c r="F1296" s="8" t="s">
        <v>39</v>
      </c>
      <c r="G1296" s="8" t="s">
        <v>60</v>
      </c>
      <c r="H1296" s="8" t="s">
        <v>37</v>
      </c>
      <c r="I1296" s="8" t="s">
        <v>53</v>
      </c>
      <c r="J1296" s="8" t="s">
        <v>59</v>
      </c>
      <c r="K1296" s="8" t="s">
        <v>830</v>
      </c>
      <c r="L1296" s="7">
        <v>8034</v>
      </c>
      <c r="M1296" s="10" t="str">
        <f t="shared" si="120"/>
        <v>CMI02100200</v>
      </c>
      <c r="N1296" s="10" t="str">
        <f t="shared" si="121"/>
        <v>SUM231200</v>
      </c>
      <c r="O1296" s="10" t="str">
        <f t="shared" si="122"/>
        <v>E</v>
      </c>
      <c r="P1296" s="10" t="str">
        <f t="shared" si="123"/>
        <v>50</v>
      </c>
      <c r="Q1296" s="10" t="str">
        <f t="shared" si="124"/>
        <v>ZSUM</v>
      </c>
      <c r="R1296" s="10" t="str">
        <f t="shared" si="125"/>
        <v>52151703</v>
      </c>
    </row>
    <row r="1297" spans="1:18" ht="25.5" hidden="1" x14ac:dyDescent="0.2">
      <c r="A1297" s="21" t="s">
        <v>829</v>
      </c>
      <c r="B1297" s="8" t="s">
        <v>828</v>
      </c>
      <c r="C1297" s="8" t="s">
        <v>40</v>
      </c>
      <c r="D1297" s="8" t="s">
        <v>804</v>
      </c>
      <c r="E1297" s="8" t="s">
        <v>40</v>
      </c>
      <c r="F1297" s="8" t="s">
        <v>39</v>
      </c>
      <c r="G1297" s="8" t="s">
        <v>60</v>
      </c>
      <c r="H1297" s="8" t="s">
        <v>37</v>
      </c>
      <c r="I1297" s="8" t="s">
        <v>53</v>
      </c>
      <c r="J1297" s="8" t="s">
        <v>59</v>
      </c>
      <c r="K1297" s="8" t="s">
        <v>827</v>
      </c>
      <c r="L1297" s="7">
        <v>8035</v>
      </c>
      <c r="M1297" s="10" t="str">
        <f t="shared" si="120"/>
        <v>CMI02100300</v>
      </c>
      <c r="N1297" s="10" t="str">
        <f t="shared" si="121"/>
        <v>SUM231200</v>
      </c>
      <c r="O1297" s="10" t="str">
        <f t="shared" si="122"/>
        <v>E</v>
      </c>
      <c r="P1297" s="10" t="str">
        <f t="shared" si="123"/>
        <v>50</v>
      </c>
      <c r="Q1297" s="10" t="str">
        <f t="shared" si="124"/>
        <v>ZSUM</v>
      </c>
      <c r="R1297" s="10" t="str">
        <f t="shared" si="125"/>
        <v>52152002</v>
      </c>
    </row>
    <row r="1298" spans="1:18" ht="25.5" hidden="1" x14ac:dyDescent="0.2">
      <c r="A1298" s="21" t="s">
        <v>826</v>
      </c>
      <c r="B1298" s="8" t="s">
        <v>825</v>
      </c>
      <c r="C1298" s="8" t="s">
        <v>40</v>
      </c>
      <c r="D1298" s="8" t="s">
        <v>797</v>
      </c>
      <c r="E1298" s="8" t="s">
        <v>40</v>
      </c>
      <c r="F1298" s="8" t="s">
        <v>39</v>
      </c>
      <c r="G1298" s="8" t="s">
        <v>60</v>
      </c>
      <c r="H1298" s="8" t="s">
        <v>37</v>
      </c>
      <c r="I1298" s="8" t="s">
        <v>53</v>
      </c>
      <c r="J1298" s="8" t="s">
        <v>59</v>
      </c>
      <c r="K1298" s="8" t="s">
        <v>796</v>
      </c>
      <c r="L1298" s="7">
        <v>8036</v>
      </c>
      <c r="M1298" s="10" t="str">
        <f t="shared" si="120"/>
        <v>CMI02100200</v>
      </c>
      <c r="N1298" s="10" t="str">
        <f t="shared" si="121"/>
        <v>SUM231200</v>
      </c>
      <c r="O1298" s="10" t="str">
        <f t="shared" si="122"/>
        <v>E</v>
      </c>
      <c r="P1298" s="10" t="str">
        <f t="shared" si="123"/>
        <v>50</v>
      </c>
      <c r="Q1298" s="10" t="str">
        <f t="shared" si="124"/>
        <v>ZSUM</v>
      </c>
      <c r="R1298" s="10" t="str">
        <f t="shared" si="125"/>
        <v>52151704</v>
      </c>
    </row>
    <row r="1299" spans="1:18" ht="25.5" hidden="1" x14ac:dyDescent="0.2">
      <c r="A1299" s="21" t="s">
        <v>824</v>
      </c>
      <c r="B1299" s="8" t="s">
        <v>823</v>
      </c>
      <c r="C1299" s="8" t="s">
        <v>40</v>
      </c>
      <c r="D1299" s="8" t="s">
        <v>216</v>
      </c>
      <c r="E1299" s="8" t="s">
        <v>40</v>
      </c>
      <c r="F1299" s="8" t="s">
        <v>39</v>
      </c>
      <c r="G1299" s="8" t="s">
        <v>85</v>
      </c>
      <c r="H1299" s="8" t="s">
        <v>37</v>
      </c>
      <c r="I1299" s="8" t="s">
        <v>53</v>
      </c>
      <c r="J1299" s="8" t="s">
        <v>59</v>
      </c>
      <c r="K1299" s="8" t="s">
        <v>822</v>
      </c>
      <c r="L1299" s="7">
        <v>8037</v>
      </c>
      <c r="M1299" s="10" t="str">
        <f t="shared" si="120"/>
        <v>CMI02140500</v>
      </c>
      <c r="N1299" s="10" t="str">
        <f t="shared" si="121"/>
        <v>SUM231500</v>
      </c>
      <c r="O1299" s="10" t="str">
        <f t="shared" si="122"/>
        <v>E</v>
      </c>
      <c r="P1299" s="10" t="str">
        <f t="shared" si="123"/>
        <v>50</v>
      </c>
      <c r="Q1299" s="10" t="str">
        <f t="shared" si="124"/>
        <v>ZSUM</v>
      </c>
      <c r="R1299" s="10" t="str">
        <f t="shared" si="125"/>
        <v>44111803</v>
      </c>
    </row>
    <row r="1300" spans="1:18" ht="25.5" hidden="1" x14ac:dyDescent="0.2">
      <c r="A1300" s="21" t="s">
        <v>821</v>
      </c>
      <c r="B1300" s="8" t="s">
        <v>820</v>
      </c>
      <c r="C1300" s="8" t="s">
        <v>40</v>
      </c>
      <c r="D1300" s="8" t="s">
        <v>797</v>
      </c>
      <c r="E1300" s="8" t="s">
        <v>40</v>
      </c>
      <c r="F1300" s="8" t="s">
        <v>39</v>
      </c>
      <c r="G1300" s="8" t="s">
        <v>60</v>
      </c>
      <c r="H1300" s="8" t="s">
        <v>37</v>
      </c>
      <c r="I1300" s="8" t="s">
        <v>53</v>
      </c>
      <c r="J1300" s="8" t="s">
        <v>59</v>
      </c>
      <c r="K1300" s="8" t="s">
        <v>819</v>
      </c>
      <c r="L1300" s="7">
        <v>8038</v>
      </c>
      <c r="M1300" s="10" t="str">
        <f t="shared" si="120"/>
        <v>CMI02100200</v>
      </c>
      <c r="N1300" s="10" t="str">
        <f t="shared" si="121"/>
        <v>SUM231200</v>
      </c>
      <c r="O1300" s="10" t="str">
        <f t="shared" si="122"/>
        <v>E</v>
      </c>
      <c r="P1300" s="10" t="str">
        <f t="shared" si="123"/>
        <v>50</v>
      </c>
      <c r="Q1300" s="10" t="str">
        <f t="shared" si="124"/>
        <v>ZSUM</v>
      </c>
      <c r="R1300" s="10" t="str">
        <f t="shared" si="125"/>
        <v>52151600</v>
      </c>
    </row>
    <row r="1301" spans="1:18" ht="38.25" hidden="1" x14ac:dyDescent="0.2">
      <c r="A1301" s="21" t="s">
        <v>818</v>
      </c>
      <c r="B1301" s="8" t="s">
        <v>817</v>
      </c>
      <c r="C1301" s="8" t="s">
        <v>40</v>
      </c>
      <c r="D1301" s="8" t="s">
        <v>797</v>
      </c>
      <c r="E1301" s="8" t="s">
        <v>40</v>
      </c>
      <c r="F1301" s="8" t="s">
        <v>39</v>
      </c>
      <c r="G1301" s="8" t="s">
        <v>60</v>
      </c>
      <c r="H1301" s="8" t="s">
        <v>37</v>
      </c>
      <c r="I1301" s="8" t="s">
        <v>53</v>
      </c>
      <c r="J1301" s="8" t="s">
        <v>59</v>
      </c>
      <c r="K1301" s="8" t="s">
        <v>816</v>
      </c>
      <c r="L1301" s="7">
        <v>8039</v>
      </c>
      <c r="M1301" s="10" t="str">
        <f t="shared" si="120"/>
        <v>CMI02100200</v>
      </c>
      <c r="N1301" s="10" t="str">
        <f t="shared" si="121"/>
        <v>SUM231200</v>
      </c>
      <c r="O1301" s="10" t="str">
        <f t="shared" si="122"/>
        <v>E</v>
      </c>
      <c r="P1301" s="10" t="str">
        <f t="shared" si="123"/>
        <v>50</v>
      </c>
      <c r="Q1301" s="10" t="str">
        <f t="shared" si="124"/>
        <v>ZSUM</v>
      </c>
      <c r="R1301" s="10" t="str">
        <f t="shared" si="125"/>
        <v>52151613</v>
      </c>
    </row>
    <row r="1302" spans="1:18" ht="25.5" hidden="1" x14ac:dyDescent="0.2">
      <c r="A1302" s="21" t="s">
        <v>815</v>
      </c>
      <c r="B1302" s="8" t="s">
        <v>814</v>
      </c>
      <c r="C1302" s="8" t="s">
        <v>40</v>
      </c>
      <c r="D1302" s="8" t="s">
        <v>216</v>
      </c>
      <c r="E1302" s="8" t="s">
        <v>40</v>
      </c>
      <c r="F1302" s="8" t="s">
        <v>39</v>
      </c>
      <c r="G1302" s="8" t="s">
        <v>85</v>
      </c>
      <c r="H1302" s="8" t="s">
        <v>37</v>
      </c>
      <c r="I1302" s="8" t="s">
        <v>53</v>
      </c>
      <c r="J1302" s="8" t="s">
        <v>59</v>
      </c>
      <c r="K1302" s="8" t="s">
        <v>813</v>
      </c>
      <c r="L1302" s="7">
        <v>8040</v>
      </c>
      <c r="M1302" s="10" t="str">
        <f t="shared" si="120"/>
        <v>CMI02140500</v>
      </c>
      <c r="N1302" s="10" t="str">
        <f t="shared" si="121"/>
        <v>SUM231500</v>
      </c>
      <c r="O1302" s="10" t="str">
        <f t="shared" si="122"/>
        <v>E</v>
      </c>
      <c r="P1302" s="10" t="str">
        <f t="shared" si="123"/>
        <v>50</v>
      </c>
      <c r="Q1302" s="10" t="str">
        <f t="shared" si="124"/>
        <v>ZSUM</v>
      </c>
      <c r="R1302" s="10" t="str">
        <f t="shared" si="125"/>
        <v>27121500</v>
      </c>
    </row>
    <row r="1303" spans="1:18" ht="25.5" hidden="1" x14ac:dyDescent="0.2">
      <c r="A1303" s="21" t="s">
        <v>812</v>
      </c>
      <c r="B1303" s="8" t="s">
        <v>811</v>
      </c>
      <c r="C1303" s="8" t="s">
        <v>40</v>
      </c>
      <c r="D1303" s="8" t="s">
        <v>363</v>
      </c>
      <c r="E1303" s="8" t="s">
        <v>40</v>
      </c>
      <c r="F1303" s="8" t="s">
        <v>39</v>
      </c>
      <c r="G1303" s="8" t="s">
        <v>60</v>
      </c>
      <c r="H1303" s="8" t="s">
        <v>37</v>
      </c>
      <c r="I1303" s="8" t="s">
        <v>53</v>
      </c>
      <c r="J1303" s="8" t="s">
        <v>59</v>
      </c>
      <c r="K1303" s="8" t="s">
        <v>810</v>
      </c>
      <c r="L1303" s="7">
        <v>8041</v>
      </c>
      <c r="M1303" s="10" t="str">
        <f t="shared" si="120"/>
        <v>CMI02051300</v>
      </c>
      <c r="N1303" s="10" t="str">
        <f t="shared" si="121"/>
        <v>SUM231200</v>
      </c>
      <c r="O1303" s="10" t="str">
        <f t="shared" si="122"/>
        <v>E</v>
      </c>
      <c r="P1303" s="10" t="str">
        <f t="shared" si="123"/>
        <v>50</v>
      </c>
      <c r="Q1303" s="10" t="str">
        <f t="shared" si="124"/>
        <v>ZSUM</v>
      </c>
      <c r="R1303" s="10" t="str">
        <f t="shared" si="125"/>
        <v>50121802</v>
      </c>
    </row>
    <row r="1304" spans="1:18" ht="25.5" hidden="1" x14ac:dyDescent="0.2">
      <c r="A1304" s="21" t="s">
        <v>809</v>
      </c>
      <c r="B1304" s="8" t="s">
        <v>808</v>
      </c>
      <c r="C1304" s="8" t="s">
        <v>40</v>
      </c>
      <c r="D1304" s="8" t="s">
        <v>804</v>
      </c>
      <c r="E1304" s="8" t="s">
        <v>40</v>
      </c>
      <c r="F1304" s="8" t="s">
        <v>39</v>
      </c>
      <c r="G1304" s="8" t="s">
        <v>60</v>
      </c>
      <c r="H1304" s="8" t="s">
        <v>37</v>
      </c>
      <c r="I1304" s="8" t="s">
        <v>53</v>
      </c>
      <c r="J1304" s="8" t="s">
        <v>59</v>
      </c>
      <c r="K1304" s="8" t="s">
        <v>807</v>
      </c>
      <c r="L1304" s="7">
        <v>8042</v>
      </c>
      <c r="M1304" s="10" t="str">
        <f t="shared" si="120"/>
        <v>CMI02100300</v>
      </c>
      <c r="N1304" s="10" t="str">
        <f t="shared" si="121"/>
        <v>SUM231200</v>
      </c>
      <c r="O1304" s="10" t="str">
        <f t="shared" si="122"/>
        <v>E</v>
      </c>
      <c r="P1304" s="10" t="str">
        <f t="shared" si="123"/>
        <v>50</v>
      </c>
      <c r="Q1304" s="10" t="str">
        <f t="shared" si="124"/>
        <v>ZSUM</v>
      </c>
      <c r="R1304" s="10" t="str">
        <f t="shared" si="125"/>
        <v>52152104</v>
      </c>
    </row>
    <row r="1305" spans="1:18" ht="38.25" hidden="1" x14ac:dyDescent="0.2">
      <c r="A1305" s="21" t="s">
        <v>806</v>
      </c>
      <c r="B1305" s="8" t="s">
        <v>805</v>
      </c>
      <c r="C1305" s="8" t="s">
        <v>40</v>
      </c>
      <c r="D1305" s="8" t="s">
        <v>804</v>
      </c>
      <c r="E1305" s="8" t="s">
        <v>40</v>
      </c>
      <c r="F1305" s="8" t="s">
        <v>39</v>
      </c>
      <c r="G1305" s="8" t="s">
        <v>60</v>
      </c>
      <c r="H1305" s="8" t="s">
        <v>37</v>
      </c>
      <c r="I1305" s="8" t="s">
        <v>53</v>
      </c>
      <c r="J1305" s="8" t="s">
        <v>59</v>
      </c>
      <c r="K1305" s="8" t="s">
        <v>803</v>
      </c>
      <c r="L1305" s="7">
        <v>8043</v>
      </c>
      <c r="M1305" s="10" t="str">
        <f t="shared" si="120"/>
        <v>CMI02100300</v>
      </c>
      <c r="N1305" s="10" t="str">
        <f t="shared" si="121"/>
        <v>SUM231200</v>
      </c>
      <c r="O1305" s="10" t="str">
        <f t="shared" si="122"/>
        <v>E</v>
      </c>
      <c r="P1305" s="10" t="str">
        <f t="shared" si="123"/>
        <v>50</v>
      </c>
      <c r="Q1305" s="10" t="str">
        <f t="shared" si="124"/>
        <v>ZSUM</v>
      </c>
      <c r="R1305" s="10" t="str">
        <f t="shared" si="125"/>
        <v>48101810</v>
      </c>
    </row>
    <row r="1306" spans="1:18" ht="25.5" hidden="1" x14ac:dyDescent="0.2">
      <c r="A1306" s="21" t="s">
        <v>802</v>
      </c>
      <c r="B1306" s="8" t="s">
        <v>801</v>
      </c>
      <c r="C1306" s="8" t="s">
        <v>40</v>
      </c>
      <c r="D1306" s="8" t="s">
        <v>797</v>
      </c>
      <c r="E1306" s="8" t="s">
        <v>40</v>
      </c>
      <c r="F1306" s="8" t="s">
        <v>39</v>
      </c>
      <c r="G1306" s="8" t="s">
        <v>60</v>
      </c>
      <c r="H1306" s="8" t="s">
        <v>37</v>
      </c>
      <c r="I1306" s="8" t="s">
        <v>53</v>
      </c>
      <c r="J1306" s="8" t="s">
        <v>59</v>
      </c>
      <c r="K1306" s="8" t="s">
        <v>800</v>
      </c>
      <c r="L1306" s="7">
        <v>8044</v>
      </c>
      <c r="M1306" s="10" t="str">
        <f t="shared" si="120"/>
        <v>CMI02100200</v>
      </c>
      <c r="N1306" s="10" t="str">
        <f t="shared" si="121"/>
        <v>SUM231200</v>
      </c>
      <c r="O1306" s="10" t="str">
        <f t="shared" si="122"/>
        <v>E</v>
      </c>
      <c r="P1306" s="10" t="str">
        <f t="shared" si="123"/>
        <v>50</v>
      </c>
      <c r="Q1306" s="10" t="str">
        <f t="shared" si="124"/>
        <v>ZSUM</v>
      </c>
      <c r="R1306" s="10" t="str">
        <f t="shared" si="125"/>
        <v>52151702</v>
      </c>
    </row>
    <row r="1307" spans="1:18" ht="25.5" hidden="1" x14ac:dyDescent="0.2">
      <c r="A1307" s="21" t="s">
        <v>799</v>
      </c>
      <c r="B1307" s="8" t="s">
        <v>798</v>
      </c>
      <c r="C1307" s="8" t="s">
        <v>40</v>
      </c>
      <c r="D1307" s="8" t="s">
        <v>797</v>
      </c>
      <c r="E1307" s="8" t="s">
        <v>40</v>
      </c>
      <c r="F1307" s="8" t="s">
        <v>39</v>
      </c>
      <c r="G1307" s="8" t="s">
        <v>60</v>
      </c>
      <c r="H1307" s="8" t="s">
        <v>37</v>
      </c>
      <c r="I1307" s="8" t="s">
        <v>53</v>
      </c>
      <c r="J1307" s="8" t="s">
        <v>59</v>
      </c>
      <c r="K1307" s="8" t="s">
        <v>796</v>
      </c>
      <c r="L1307" s="7">
        <v>8045</v>
      </c>
      <c r="M1307" s="10" t="str">
        <f t="shared" si="120"/>
        <v>CMI02100200</v>
      </c>
      <c r="N1307" s="10" t="str">
        <f t="shared" si="121"/>
        <v>SUM231200</v>
      </c>
      <c r="O1307" s="10" t="str">
        <f t="shared" si="122"/>
        <v>E</v>
      </c>
      <c r="P1307" s="10" t="str">
        <f t="shared" si="123"/>
        <v>50</v>
      </c>
      <c r="Q1307" s="10" t="str">
        <f t="shared" si="124"/>
        <v>ZSUM</v>
      </c>
      <c r="R1307" s="10" t="str">
        <f t="shared" si="125"/>
        <v>52151704</v>
      </c>
    </row>
    <row r="1308" spans="1:18" ht="38.25" hidden="1" x14ac:dyDescent="0.2">
      <c r="A1308" s="21" t="s">
        <v>795</v>
      </c>
      <c r="B1308" s="8" t="s">
        <v>794</v>
      </c>
      <c r="C1308" s="8" t="s">
        <v>40</v>
      </c>
      <c r="D1308" s="8" t="s">
        <v>793</v>
      </c>
      <c r="E1308" s="8" t="s">
        <v>40</v>
      </c>
      <c r="F1308" s="8" t="s">
        <v>39</v>
      </c>
      <c r="G1308" s="8" t="s">
        <v>60</v>
      </c>
      <c r="H1308" s="8" t="s">
        <v>37</v>
      </c>
      <c r="I1308" s="8" t="s">
        <v>53</v>
      </c>
      <c r="J1308" s="8" t="s">
        <v>59</v>
      </c>
      <c r="K1308" s="8" t="s">
        <v>792</v>
      </c>
      <c r="L1308" s="7">
        <v>8046</v>
      </c>
      <c r="M1308" s="10" t="str">
        <f t="shared" si="120"/>
        <v>CMI02060000</v>
      </c>
      <c r="N1308" s="10" t="str">
        <f t="shared" si="121"/>
        <v>SUM231200</v>
      </c>
      <c r="O1308" s="10" t="str">
        <f t="shared" si="122"/>
        <v>E</v>
      </c>
      <c r="P1308" s="10" t="str">
        <f t="shared" si="123"/>
        <v>50</v>
      </c>
      <c r="Q1308" s="10" t="str">
        <f t="shared" si="124"/>
        <v>ZSUM</v>
      </c>
      <c r="R1308" s="10" t="str">
        <f t="shared" si="125"/>
        <v>50131701</v>
      </c>
    </row>
    <row r="1309" spans="1:18" ht="25.5" hidden="1" x14ac:dyDescent="0.2">
      <c r="A1309" s="21" t="s">
        <v>791</v>
      </c>
      <c r="B1309" s="8" t="s">
        <v>790</v>
      </c>
      <c r="C1309" s="8" t="s">
        <v>40</v>
      </c>
      <c r="D1309" s="8" t="s">
        <v>216</v>
      </c>
      <c r="E1309" s="8" t="s">
        <v>40</v>
      </c>
      <c r="F1309" s="8" t="s">
        <v>39</v>
      </c>
      <c r="G1309" s="8" t="s">
        <v>85</v>
      </c>
      <c r="H1309" s="8" t="s">
        <v>37</v>
      </c>
      <c r="I1309" s="8" t="s">
        <v>53</v>
      </c>
      <c r="J1309" s="8" t="s">
        <v>59</v>
      </c>
      <c r="K1309" s="8" t="s">
        <v>789</v>
      </c>
      <c r="L1309" s="7">
        <v>8047</v>
      </c>
      <c r="M1309" s="10" t="str">
        <f t="shared" si="120"/>
        <v>CMI02140500</v>
      </c>
      <c r="N1309" s="10" t="str">
        <f t="shared" si="121"/>
        <v>SUM231500</v>
      </c>
      <c r="O1309" s="10" t="str">
        <f t="shared" si="122"/>
        <v>E</v>
      </c>
      <c r="P1309" s="10" t="str">
        <f t="shared" si="123"/>
        <v>50</v>
      </c>
      <c r="Q1309" s="10" t="str">
        <f t="shared" si="124"/>
        <v>ZSUM</v>
      </c>
      <c r="R1309" s="10" t="str">
        <f t="shared" si="125"/>
        <v>27111508</v>
      </c>
    </row>
    <row r="1310" spans="1:18" ht="25.5" hidden="1" x14ac:dyDescent="0.2">
      <c r="A1310" s="21" t="s">
        <v>788</v>
      </c>
      <c r="B1310" s="8" t="s">
        <v>787</v>
      </c>
      <c r="C1310" s="8" t="s">
        <v>40</v>
      </c>
      <c r="D1310" s="8" t="s">
        <v>363</v>
      </c>
      <c r="E1310" s="8" t="s">
        <v>40</v>
      </c>
      <c r="F1310" s="8" t="s">
        <v>39</v>
      </c>
      <c r="G1310" s="8" t="s">
        <v>60</v>
      </c>
      <c r="H1310" s="8" t="s">
        <v>37</v>
      </c>
      <c r="I1310" s="8" t="s">
        <v>53</v>
      </c>
      <c r="J1310" s="8" t="s">
        <v>59</v>
      </c>
      <c r="K1310" s="8" t="s">
        <v>786</v>
      </c>
      <c r="L1310" s="7">
        <v>8048</v>
      </c>
      <c r="M1310" s="10" t="str">
        <f t="shared" si="120"/>
        <v>CMI02051300</v>
      </c>
      <c r="N1310" s="10" t="str">
        <f t="shared" si="121"/>
        <v>SUM231200</v>
      </c>
      <c r="O1310" s="10" t="str">
        <f t="shared" si="122"/>
        <v>E</v>
      </c>
      <c r="P1310" s="10" t="str">
        <f t="shared" si="123"/>
        <v>50</v>
      </c>
      <c r="Q1310" s="10" t="str">
        <f t="shared" si="124"/>
        <v>ZSUM</v>
      </c>
      <c r="R1310" s="10" t="str">
        <f t="shared" si="125"/>
        <v>31162800</v>
      </c>
    </row>
    <row r="1311" spans="1:18" ht="25.5" hidden="1" x14ac:dyDescent="0.2">
      <c r="A1311" s="21" t="s">
        <v>785</v>
      </c>
      <c r="B1311" s="8" t="s">
        <v>784</v>
      </c>
      <c r="C1311" s="8" t="s">
        <v>40</v>
      </c>
      <c r="D1311" s="8" t="s">
        <v>74</v>
      </c>
      <c r="E1311" s="8" t="s">
        <v>40</v>
      </c>
      <c r="F1311" s="8" t="s">
        <v>39</v>
      </c>
      <c r="G1311" s="8" t="s">
        <v>60</v>
      </c>
      <c r="H1311" s="8" t="s">
        <v>37</v>
      </c>
      <c r="I1311" s="8" t="s">
        <v>53</v>
      </c>
      <c r="J1311" s="8" t="s">
        <v>59</v>
      </c>
      <c r="K1311" s="8" t="s">
        <v>118</v>
      </c>
      <c r="L1311" s="7">
        <v>8049</v>
      </c>
      <c r="M1311" s="10" t="str">
        <f t="shared" si="120"/>
        <v>CMI02170300</v>
      </c>
      <c r="N1311" s="10" t="str">
        <f t="shared" si="121"/>
        <v>SUM231200</v>
      </c>
      <c r="O1311" s="10" t="str">
        <f t="shared" si="122"/>
        <v>E</v>
      </c>
      <c r="P1311" s="10" t="str">
        <f t="shared" si="123"/>
        <v>50</v>
      </c>
      <c r="Q1311" s="10" t="str">
        <f t="shared" si="124"/>
        <v>ZSUM</v>
      </c>
      <c r="R1311" s="10" t="str">
        <f t="shared" si="125"/>
        <v>21111500</v>
      </c>
    </row>
    <row r="1312" spans="1:18" ht="25.5" hidden="1" x14ac:dyDescent="0.2">
      <c r="A1312" s="21" t="s">
        <v>783</v>
      </c>
      <c r="B1312" s="8" t="s">
        <v>782</v>
      </c>
      <c r="C1312" s="8" t="s">
        <v>40</v>
      </c>
      <c r="D1312" s="8" t="s">
        <v>74</v>
      </c>
      <c r="E1312" s="8" t="s">
        <v>40</v>
      </c>
      <c r="F1312" s="8" t="s">
        <v>39</v>
      </c>
      <c r="G1312" s="8" t="s">
        <v>60</v>
      </c>
      <c r="H1312" s="8" t="s">
        <v>37</v>
      </c>
      <c r="I1312" s="8" t="s">
        <v>53</v>
      </c>
      <c r="J1312" s="8" t="s">
        <v>59</v>
      </c>
      <c r="K1312" s="8" t="s">
        <v>781</v>
      </c>
      <c r="L1312" s="7">
        <v>8050</v>
      </c>
      <c r="M1312" s="10" t="str">
        <f t="shared" si="120"/>
        <v>CMI02170300</v>
      </c>
      <c r="N1312" s="10" t="str">
        <f t="shared" si="121"/>
        <v>SUM231200</v>
      </c>
      <c r="O1312" s="10" t="str">
        <f t="shared" si="122"/>
        <v>E</v>
      </c>
      <c r="P1312" s="10" t="str">
        <f t="shared" si="123"/>
        <v>50</v>
      </c>
      <c r="Q1312" s="10" t="str">
        <f t="shared" si="124"/>
        <v>ZSUM</v>
      </c>
      <c r="R1312" s="10" t="str">
        <f t="shared" si="125"/>
        <v>53131503</v>
      </c>
    </row>
    <row r="1313" spans="1:18" ht="25.5" hidden="1" x14ac:dyDescent="0.2">
      <c r="A1313" s="21" t="s">
        <v>780</v>
      </c>
      <c r="B1313" s="8" t="s">
        <v>779</v>
      </c>
      <c r="C1313" s="8" t="s">
        <v>40</v>
      </c>
      <c r="D1313" s="8" t="s">
        <v>74</v>
      </c>
      <c r="E1313" s="8" t="s">
        <v>40</v>
      </c>
      <c r="F1313" s="8" t="s">
        <v>39</v>
      </c>
      <c r="G1313" s="8" t="s">
        <v>60</v>
      </c>
      <c r="H1313" s="8" t="s">
        <v>37</v>
      </c>
      <c r="I1313" s="8" t="s">
        <v>53</v>
      </c>
      <c r="J1313" s="8" t="s">
        <v>59</v>
      </c>
      <c r="K1313" s="8" t="s">
        <v>778</v>
      </c>
      <c r="L1313" s="7">
        <v>8051</v>
      </c>
      <c r="M1313" s="10" t="str">
        <f t="shared" si="120"/>
        <v>CMI02170300</v>
      </c>
      <c r="N1313" s="10" t="str">
        <f t="shared" si="121"/>
        <v>SUM231200</v>
      </c>
      <c r="O1313" s="10" t="str">
        <f t="shared" si="122"/>
        <v>E</v>
      </c>
      <c r="P1313" s="10" t="str">
        <f t="shared" si="123"/>
        <v>50</v>
      </c>
      <c r="Q1313" s="10" t="str">
        <f t="shared" si="124"/>
        <v>ZSUM</v>
      </c>
      <c r="R1313" s="10" t="str">
        <f t="shared" si="125"/>
        <v>53131502</v>
      </c>
    </row>
    <row r="1314" spans="1:18" ht="25.5" hidden="1" x14ac:dyDescent="0.2">
      <c r="A1314" s="21" t="s">
        <v>777</v>
      </c>
      <c r="B1314" s="8" t="s">
        <v>776</v>
      </c>
      <c r="C1314" s="8" t="s">
        <v>40</v>
      </c>
      <c r="D1314" s="8" t="s">
        <v>74</v>
      </c>
      <c r="E1314" s="8" t="s">
        <v>40</v>
      </c>
      <c r="F1314" s="8" t="s">
        <v>39</v>
      </c>
      <c r="G1314" s="8" t="s">
        <v>60</v>
      </c>
      <c r="H1314" s="8" t="s">
        <v>37</v>
      </c>
      <c r="I1314" s="8" t="s">
        <v>53</v>
      </c>
      <c r="J1314" s="8" t="s">
        <v>59</v>
      </c>
      <c r="K1314" s="8" t="s">
        <v>775</v>
      </c>
      <c r="L1314" s="7">
        <v>8052</v>
      </c>
      <c r="M1314" s="10" t="str">
        <f t="shared" si="120"/>
        <v>CMI02170300</v>
      </c>
      <c r="N1314" s="10" t="str">
        <f t="shared" si="121"/>
        <v>SUM231200</v>
      </c>
      <c r="O1314" s="10" t="str">
        <f t="shared" si="122"/>
        <v>E</v>
      </c>
      <c r="P1314" s="10" t="str">
        <f t="shared" si="123"/>
        <v>50</v>
      </c>
      <c r="Q1314" s="10" t="str">
        <f t="shared" si="124"/>
        <v>ZSUM</v>
      </c>
      <c r="R1314" s="10" t="str">
        <f t="shared" si="125"/>
        <v>53131608</v>
      </c>
    </row>
    <row r="1315" spans="1:18" ht="25.5" hidden="1" x14ac:dyDescent="0.2">
      <c r="A1315" s="21" t="s">
        <v>774</v>
      </c>
      <c r="B1315" s="8" t="s">
        <v>773</v>
      </c>
      <c r="C1315" s="8" t="s">
        <v>40</v>
      </c>
      <c r="D1315" s="8" t="s">
        <v>74</v>
      </c>
      <c r="E1315" s="8" t="s">
        <v>40</v>
      </c>
      <c r="F1315" s="8" t="s">
        <v>39</v>
      </c>
      <c r="G1315" s="8" t="s">
        <v>60</v>
      </c>
      <c r="H1315" s="8" t="s">
        <v>37</v>
      </c>
      <c r="I1315" s="8" t="s">
        <v>53</v>
      </c>
      <c r="J1315" s="8" t="s">
        <v>59</v>
      </c>
      <c r="K1315" s="8" t="s">
        <v>772</v>
      </c>
      <c r="L1315" s="7">
        <v>8053</v>
      </c>
      <c r="M1315" s="10" t="str">
        <f t="shared" si="120"/>
        <v>CMI02170300</v>
      </c>
      <c r="N1315" s="10" t="str">
        <f t="shared" si="121"/>
        <v>SUM231200</v>
      </c>
      <c r="O1315" s="10" t="str">
        <f t="shared" si="122"/>
        <v>E</v>
      </c>
      <c r="P1315" s="10" t="str">
        <f t="shared" si="123"/>
        <v>50</v>
      </c>
      <c r="Q1315" s="10" t="str">
        <f t="shared" si="124"/>
        <v>ZSUM</v>
      </c>
      <c r="R1315" s="10" t="str">
        <f t="shared" si="125"/>
        <v>53131606</v>
      </c>
    </row>
    <row r="1316" spans="1:18" ht="25.5" hidden="1" x14ac:dyDescent="0.2">
      <c r="A1316" s="21" t="s">
        <v>771</v>
      </c>
      <c r="B1316" s="8" t="s">
        <v>770</v>
      </c>
      <c r="C1316" s="8" t="s">
        <v>40</v>
      </c>
      <c r="D1316" s="8" t="s">
        <v>74</v>
      </c>
      <c r="E1316" s="8" t="s">
        <v>40</v>
      </c>
      <c r="F1316" s="8" t="s">
        <v>39</v>
      </c>
      <c r="G1316" s="8" t="s">
        <v>60</v>
      </c>
      <c r="H1316" s="8" t="s">
        <v>37</v>
      </c>
      <c r="I1316" s="8" t="s">
        <v>53</v>
      </c>
      <c r="J1316" s="8" t="s">
        <v>59</v>
      </c>
      <c r="K1316" s="8" t="s">
        <v>769</v>
      </c>
      <c r="L1316" s="7">
        <v>8054</v>
      </c>
      <c r="M1316" s="10" t="str">
        <f t="shared" si="120"/>
        <v>CMI02170300</v>
      </c>
      <c r="N1316" s="10" t="str">
        <f t="shared" si="121"/>
        <v>SUM231200</v>
      </c>
      <c r="O1316" s="10" t="str">
        <f t="shared" si="122"/>
        <v>E</v>
      </c>
      <c r="P1316" s="10" t="str">
        <f t="shared" si="123"/>
        <v>50</v>
      </c>
      <c r="Q1316" s="10" t="str">
        <f t="shared" si="124"/>
        <v>ZSUM</v>
      </c>
      <c r="R1316" s="10" t="str">
        <f t="shared" si="125"/>
        <v>53131628</v>
      </c>
    </row>
    <row r="1317" spans="1:18" ht="25.5" hidden="1" x14ac:dyDescent="0.2">
      <c r="A1317" s="21" t="s">
        <v>768</v>
      </c>
      <c r="B1317" s="8" t="s">
        <v>767</v>
      </c>
      <c r="C1317" s="8" t="s">
        <v>40</v>
      </c>
      <c r="D1317" s="8" t="s">
        <v>74</v>
      </c>
      <c r="E1317" s="8" t="s">
        <v>40</v>
      </c>
      <c r="F1317" s="8" t="s">
        <v>39</v>
      </c>
      <c r="G1317" s="8" t="s">
        <v>60</v>
      </c>
      <c r="H1317" s="8" t="s">
        <v>37</v>
      </c>
      <c r="I1317" s="8" t="s">
        <v>53</v>
      </c>
      <c r="J1317" s="8" t="s">
        <v>59</v>
      </c>
      <c r="K1317" s="8" t="s">
        <v>766</v>
      </c>
      <c r="L1317" s="7">
        <v>8055</v>
      </c>
      <c r="M1317" s="10" t="str">
        <f t="shared" si="120"/>
        <v>CMI02170300</v>
      </c>
      <c r="N1317" s="10" t="str">
        <f t="shared" si="121"/>
        <v>SUM231200</v>
      </c>
      <c r="O1317" s="10" t="str">
        <f t="shared" si="122"/>
        <v>E</v>
      </c>
      <c r="P1317" s="10" t="str">
        <f t="shared" si="123"/>
        <v>50</v>
      </c>
      <c r="Q1317" s="10" t="str">
        <f t="shared" si="124"/>
        <v>ZSUM</v>
      </c>
      <c r="R1317" s="10" t="str">
        <f t="shared" si="125"/>
        <v>53131604</v>
      </c>
    </row>
    <row r="1318" spans="1:18" ht="38.25" hidden="1" x14ac:dyDescent="0.2">
      <c r="A1318" s="21" t="s">
        <v>765</v>
      </c>
      <c r="B1318" s="8" t="s">
        <v>764</v>
      </c>
      <c r="C1318" s="8" t="s">
        <v>40</v>
      </c>
      <c r="D1318" s="8" t="s">
        <v>74</v>
      </c>
      <c r="E1318" s="8" t="s">
        <v>40</v>
      </c>
      <c r="F1318" s="8" t="s">
        <v>39</v>
      </c>
      <c r="G1318" s="8" t="s">
        <v>85</v>
      </c>
      <c r="H1318" s="8" t="s">
        <v>37</v>
      </c>
      <c r="I1318" s="8" t="s">
        <v>53</v>
      </c>
      <c r="J1318" s="8" t="s">
        <v>59</v>
      </c>
      <c r="K1318" s="8" t="s">
        <v>763</v>
      </c>
      <c r="L1318" s="7">
        <v>8056</v>
      </c>
      <c r="M1318" s="10" t="str">
        <f t="shared" si="120"/>
        <v>CMI02170300</v>
      </c>
      <c r="N1318" s="10" t="str">
        <f t="shared" si="121"/>
        <v>SUM231500</v>
      </c>
      <c r="O1318" s="10" t="str">
        <f t="shared" si="122"/>
        <v>E</v>
      </c>
      <c r="P1318" s="10" t="str">
        <f t="shared" si="123"/>
        <v>50</v>
      </c>
      <c r="Q1318" s="10" t="str">
        <f t="shared" si="124"/>
        <v>ZSUM</v>
      </c>
      <c r="R1318" s="10" t="str">
        <f t="shared" si="125"/>
        <v>25191700</v>
      </c>
    </row>
    <row r="1319" spans="1:18" ht="25.5" hidden="1" x14ac:dyDescent="0.2">
      <c r="A1319" s="21" t="s">
        <v>762</v>
      </c>
      <c r="B1319" s="8" t="s">
        <v>761</v>
      </c>
      <c r="C1319" s="8" t="s">
        <v>40</v>
      </c>
      <c r="D1319" s="8" t="s">
        <v>74</v>
      </c>
      <c r="E1319" s="8" t="s">
        <v>40</v>
      </c>
      <c r="F1319" s="8" t="s">
        <v>39</v>
      </c>
      <c r="G1319" s="8" t="s">
        <v>60</v>
      </c>
      <c r="H1319" s="8" t="s">
        <v>37</v>
      </c>
      <c r="I1319" s="8" t="s">
        <v>53</v>
      </c>
      <c r="J1319" s="8" t="s">
        <v>59</v>
      </c>
      <c r="K1319" s="8" t="s">
        <v>760</v>
      </c>
      <c r="L1319" s="7">
        <v>8057</v>
      </c>
      <c r="M1319" s="10" t="str">
        <f t="shared" si="120"/>
        <v>CMI02170300</v>
      </c>
      <c r="N1319" s="10" t="str">
        <f t="shared" si="121"/>
        <v>SUM231200</v>
      </c>
      <c r="O1319" s="10" t="str">
        <f t="shared" si="122"/>
        <v>E</v>
      </c>
      <c r="P1319" s="10" t="str">
        <f t="shared" si="123"/>
        <v>50</v>
      </c>
      <c r="Q1319" s="10" t="str">
        <f t="shared" si="124"/>
        <v>ZSUM</v>
      </c>
      <c r="R1319" s="10" t="str">
        <f t="shared" si="125"/>
        <v>60122102</v>
      </c>
    </row>
    <row r="1320" spans="1:18" ht="25.5" hidden="1" x14ac:dyDescent="0.2">
      <c r="A1320" s="21" t="s">
        <v>759</v>
      </c>
      <c r="B1320" s="8" t="s">
        <v>758</v>
      </c>
      <c r="C1320" s="8" t="s">
        <v>40</v>
      </c>
      <c r="D1320" s="8" t="s">
        <v>74</v>
      </c>
      <c r="E1320" s="8" t="s">
        <v>40</v>
      </c>
      <c r="F1320" s="8" t="s">
        <v>39</v>
      </c>
      <c r="G1320" s="8" t="s">
        <v>60</v>
      </c>
      <c r="H1320" s="8" t="s">
        <v>37</v>
      </c>
      <c r="I1320" s="8" t="s">
        <v>53</v>
      </c>
      <c r="J1320" s="8" t="s">
        <v>59</v>
      </c>
      <c r="K1320" s="8" t="s">
        <v>757</v>
      </c>
      <c r="L1320" s="7">
        <v>8058</v>
      </c>
      <c r="M1320" s="10" t="str">
        <f t="shared" si="120"/>
        <v>CMI02170300</v>
      </c>
      <c r="N1320" s="10" t="str">
        <f t="shared" si="121"/>
        <v>SUM231200</v>
      </c>
      <c r="O1320" s="10" t="str">
        <f t="shared" si="122"/>
        <v>E</v>
      </c>
      <c r="P1320" s="10" t="str">
        <f t="shared" si="123"/>
        <v>50</v>
      </c>
      <c r="Q1320" s="10" t="str">
        <f t="shared" si="124"/>
        <v>ZSUM</v>
      </c>
      <c r="R1320" s="10" t="str">
        <f t="shared" si="125"/>
        <v>12181500</v>
      </c>
    </row>
    <row r="1321" spans="1:18" ht="25.5" hidden="1" x14ac:dyDescent="0.2">
      <c r="A1321" s="21" t="s">
        <v>756</v>
      </c>
      <c r="B1321" s="8" t="s">
        <v>755</v>
      </c>
      <c r="C1321" s="8" t="s">
        <v>40</v>
      </c>
      <c r="D1321" s="8" t="s">
        <v>74</v>
      </c>
      <c r="E1321" s="8" t="s">
        <v>40</v>
      </c>
      <c r="F1321" s="8" t="s">
        <v>39</v>
      </c>
      <c r="G1321" s="8" t="s">
        <v>60</v>
      </c>
      <c r="H1321" s="8" t="s">
        <v>37</v>
      </c>
      <c r="I1321" s="8" t="s">
        <v>53</v>
      </c>
      <c r="J1321" s="8" t="s">
        <v>59</v>
      </c>
      <c r="K1321" s="8" t="s">
        <v>754</v>
      </c>
      <c r="L1321" s="7">
        <v>8059</v>
      </c>
      <c r="M1321" s="10" t="str">
        <f t="shared" si="120"/>
        <v>CMI02170300</v>
      </c>
      <c r="N1321" s="10" t="str">
        <f t="shared" si="121"/>
        <v>SUM231200</v>
      </c>
      <c r="O1321" s="10" t="str">
        <f t="shared" si="122"/>
        <v>E</v>
      </c>
      <c r="P1321" s="10" t="str">
        <f t="shared" si="123"/>
        <v>50</v>
      </c>
      <c r="Q1321" s="10" t="str">
        <f t="shared" si="124"/>
        <v>ZSUM</v>
      </c>
      <c r="R1321" s="10" t="str">
        <f t="shared" si="125"/>
        <v>31241700</v>
      </c>
    </row>
    <row r="1322" spans="1:18" ht="38.25" hidden="1" x14ac:dyDescent="0.2">
      <c r="A1322" s="21" t="s">
        <v>753</v>
      </c>
      <c r="B1322" s="8" t="s">
        <v>752</v>
      </c>
      <c r="C1322" s="8" t="s">
        <v>40</v>
      </c>
      <c r="D1322" s="8" t="s">
        <v>74</v>
      </c>
      <c r="E1322" s="8" t="s">
        <v>40</v>
      </c>
      <c r="F1322" s="8" t="s">
        <v>39</v>
      </c>
      <c r="G1322" s="8" t="s">
        <v>60</v>
      </c>
      <c r="H1322" s="8" t="s">
        <v>37</v>
      </c>
      <c r="I1322" s="8" t="s">
        <v>53</v>
      </c>
      <c r="J1322" s="8" t="s">
        <v>59</v>
      </c>
      <c r="K1322" s="8" t="s">
        <v>751</v>
      </c>
      <c r="L1322" s="7">
        <v>8060</v>
      </c>
      <c r="M1322" s="10" t="str">
        <f t="shared" si="120"/>
        <v>CMI02170300</v>
      </c>
      <c r="N1322" s="10" t="str">
        <f t="shared" si="121"/>
        <v>SUM231200</v>
      </c>
      <c r="O1322" s="10" t="str">
        <f t="shared" si="122"/>
        <v>E</v>
      </c>
      <c r="P1322" s="10" t="str">
        <f t="shared" si="123"/>
        <v>50</v>
      </c>
      <c r="Q1322" s="10" t="str">
        <f t="shared" si="124"/>
        <v>ZSUM</v>
      </c>
      <c r="R1322" s="10" t="str">
        <f t="shared" si="125"/>
        <v>60122101</v>
      </c>
    </row>
    <row r="1323" spans="1:18" ht="25.5" hidden="1" x14ac:dyDescent="0.2">
      <c r="A1323" s="21" t="s">
        <v>750</v>
      </c>
      <c r="B1323" s="8" t="s">
        <v>749</v>
      </c>
      <c r="C1323" s="8" t="s">
        <v>40</v>
      </c>
      <c r="D1323" s="8" t="s">
        <v>74</v>
      </c>
      <c r="E1323" s="8" t="s">
        <v>40</v>
      </c>
      <c r="F1323" s="8" t="s">
        <v>39</v>
      </c>
      <c r="G1323" s="8" t="s">
        <v>60</v>
      </c>
      <c r="H1323" s="8" t="s">
        <v>37</v>
      </c>
      <c r="I1323" s="8" t="s">
        <v>53</v>
      </c>
      <c r="J1323" s="8" t="s">
        <v>59</v>
      </c>
      <c r="K1323" s="8" t="s">
        <v>748</v>
      </c>
      <c r="L1323" s="7">
        <v>8061</v>
      </c>
      <c r="M1323" s="10" t="str">
        <f t="shared" si="120"/>
        <v>CMI02170300</v>
      </c>
      <c r="N1323" s="10" t="str">
        <f t="shared" si="121"/>
        <v>SUM231200</v>
      </c>
      <c r="O1323" s="10" t="str">
        <f t="shared" si="122"/>
        <v>E</v>
      </c>
      <c r="P1323" s="10" t="str">
        <f t="shared" si="123"/>
        <v>50</v>
      </c>
      <c r="Q1323" s="10" t="str">
        <f t="shared" si="124"/>
        <v>ZSUM</v>
      </c>
      <c r="R1323" s="10" t="str">
        <f t="shared" si="125"/>
        <v>12181504</v>
      </c>
    </row>
    <row r="1324" spans="1:18" ht="25.5" hidden="1" x14ac:dyDescent="0.2">
      <c r="A1324" s="21" t="s">
        <v>747</v>
      </c>
      <c r="B1324" s="8" t="s">
        <v>746</v>
      </c>
      <c r="C1324" s="8" t="s">
        <v>40</v>
      </c>
      <c r="D1324" s="8" t="s">
        <v>74</v>
      </c>
      <c r="E1324" s="8" t="s">
        <v>40</v>
      </c>
      <c r="F1324" s="8" t="s">
        <v>39</v>
      </c>
      <c r="G1324" s="8" t="s">
        <v>60</v>
      </c>
      <c r="H1324" s="8" t="s">
        <v>37</v>
      </c>
      <c r="I1324" s="8" t="s">
        <v>53</v>
      </c>
      <c r="J1324" s="8" t="s">
        <v>59</v>
      </c>
      <c r="K1324" s="8" t="s">
        <v>745</v>
      </c>
      <c r="L1324" s="7">
        <v>8062</v>
      </c>
      <c r="M1324" s="10" t="str">
        <f t="shared" si="120"/>
        <v>CMI02170300</v>
      </c>
      <c r="N1324" s="10" t="str">
        <f t="shared" si="121"/>
        <v>SUM231200</v>
      </c>
      <c r="O1324" s="10" t="str">
        <f t="shared" si="122"/>
        <v>E</v>
      </c>
      <c r="P1324" s="10" t="str">
        <f t="shared" si="123"/>
        <v>50</v>
      </c>
      <c r="Q1324" s="10" t="str">
        <f t="shared" si="124"/>
        <v>ZSUM</v>
      </c>
      <c r="R1324" s="10" t="str">
        <f t="shared" si="125"/>
        <v>52151706</v>
      </c>
    </row>
    <row r="1325" spans="1:18" ht="25.5" hidden="1" x14ac:dyDescent="0.2">
      <c r="A1325" s="21" t="s">
        <v>744</v>
      </c>
      <c r="B1325" s="8" t="s">
        <v>743</v>
      </c>
      <c r="C1325" s="8" t="s">
        <v>40</v>
      </c>
      <c r="D1325" s="8" t="s">
        <v>74</v>
      </c>
      <c r="E1325" s="8" t="s">
        <v>40</v>
      </c>
      <c r="F1325" s="8" t="s">
        <v>39</v>
      </c>
      <c r="G1325" s="8" t="s">
        <v>60</v>
      </c>
      <c r="H1325" s="8" t="s">
        <v>37</v>
      </c>
      <c r="I1325" s="8" t="s">
        <v>53</v>
      </c>
      <c r="J1325" s="8" t="s">
        <v>59</v>
      </c>
      <c r="K1325" s="8" t="s">
        <v>742</v>
      </c>
      <c r="L1325" s="7">
        <v>8063</v>
      </c>
      <c r="M1325" s="10" t="str">
        <f t="shared" si="120"/>
        <v>CMI02170300</v>
      </c>
      <c r="N1325" s="10" t="str">
        <f t="shared" si="121"/>
        <v>SUM231200</v>
      </c>
      <c r="O1325" s="10" t="str">
        <f t="shared" si="122"/>
        <v>E</v>
      </c>
      <c r="P1325" s="10" t="str">
        <f t="shared" si="123"/>
        <v>50</v>
      </c>
      <c r="Q1325" s="10" t="str">
        <f t="shared" si="124"/>
        <v>ZSUM</v>
      </c>
      <c r="R1325" s="10" t="str">
        <f t="shared" si="125"/>
        <v>10161904</v>
      </c>
    </row>
    <row r="1326" spans="1:18" ht="38.25" hidden="1" x14ac:dyDescent="0.2">
      <c r="A1326" s="21" t="s">
        <v>741</v>
      </c>
      <c r="B1326" s="8" t="s">
        <v>740</v>
      </c>
      <c r="C1326" s="8" t="s">
        <v>40</v>
      </c>
      <c r="D1326" s="8" t="s">
        <v>74</v>
      </c>
      <c r="E1326" s="8" t="s">
        <v>40</v>
      </c>
      <c r="F1326" s="8" t="s">
        <v>39</v>
      </c>
      <c r="G1326" s="8" t="s">
        <v>60</v>
      </c>
      <c r="H1326" s="8" t="s">
        <v>37</v>
      </c>
      <c r="I1326" s="8" t="s">
        <v>53</v>
      </c>
      <c r="J1326" s="8" t="s">
        <v>59</v>
      </c>
      <c r="K1326" s="8" t="s">
        <v>739</v>
      </c>
      <c r="L1326" s="7">
        <v>8064</v>
      </c>
      <c r="M1326" s="10" t="str">
        <f t="shared" si="120"/>
        <v>CMI02170300</v>
      </c>
      <c r="N1326" s="10" t="str">
        <f t="shared" si="121"/>
        <v>SUM231200</v>
      </c>
      <c r="O1326" s="10" t="str">
        <f t="shared" si="122"/>
        <v>E</v>
      </c>
      <c r="P1326" s="10" t="str">
        <f t="shared" si="123"/>
        <v>50</v>
      </c>
      <c r="Q1326" s="10" t="str">
        <f t="shared" si="124"/>
        <v>ZSUM</v>
      </c>
      <c r="R1326" s="10" t="str">
        <f t="shared" si="125"/>
        <v>53131602</v>
      </c>
    </row>
    <row r="1327" spans="1:18" ht="25.5" hidden="1" x14ac:dyDescent="0.2">
      <c r="A1327" s="21" t="s">
        <v>738</v>
      </c>
      <c r="B1327" s="8" t="s">
        <v>737</v>
      </c>
      <c r="C1327" s="8" t="s">
        <v>40</v>
      </c>
      <c r="D1327" s="8" t="s">
        <v>733</v>
      </c>
      <c r="E1327" s="8" t="s">
        <v>40</v>
      </c>
      <c r="F1327" s="8" t="s">
        <v>39</v>
      </c>
      <c r="G1327" s="8" t="s">
        <v>60</v>
      </c>
      <c r="H1327" s="8" t="s">
        <v>37</v>
      </c>
      <c r="I1327" s="8" t="s">
        <v>53</v>
      </c>
      <c r="J1327" s="8" t="s">
        <v>59</v>
      </c>
      <c r="K1327" s="8" t="s">
        <v>736</v>
      </c>
      <c r="L1327" s="7">
        <v>8065</v>
      </c>
      <c r="M1327" s="10" t="str">
        <f t="shared" si="120"/>
        <v>CMI02060100</v>
      </c>
      <c r="N1327" s="10" t="str">
        <f t="shared" si="121"/>
        <v>SUM231200</v>
      </c>
      <c r="O1327" s="10" t="str">
        <f t="shared" si="122"/>
        <v>E</v>
      </c>
      <c r="P1327" s="10" t="str">
        <f t="shared" si="123"/>
        <v>50</v>
      </c>
      <c r="Q1327" s="10" t="str">
        <f t="shared" si="124"/>
        <v>ZSUM</v>
      </c>
      <c r="R1327" s="10" t="str">
        <f t="shared" si="125"/>
        <v>51171630</v>
      </c>
    </row>
    <row r="1328" spans="1:18" ht="25.5" hidden="1" x14ac:dyDescent="0.2">
      <c r="A1328" s="21" t="s">
        <v>735</v>
      </c>
      <c r="B1328" s="8" t="s">
        <v>734</v>
      </c>
      <c r="C1328" s="8" t="s">
        <v>40</v>
      </c>
      <c r="D1328" s="8" t="s">
        <v>733</v>
      </c>
      <c r="E1328" s="8" t="s">
        <v>40</v>
      </c>
      <c r="F1328" s="8" t="s">
        <v>39</v>
      </c>
      <c r="G1328" s="8" t="s">
        <v>60</v>
      </c>
      <c r="H1328" s="8" t="s">
        <v>37</v>
      </c>
      <c r="I1328" s="8" t="s">
        <v>53</v>
      </c>
      <c r="J1328" s="8" t="s">
        <v>59</v>
      </c>
      <c r="K1328" s="8" t="s">
        <v>169</v>
      </c>
      <c r="L1328" s="7">
        <v>8066</v>
      </c>
      <c r="M1328" s="10" t="str">
        <f t="shared" si="120"/>
        <v>CMI02060100</v>
      </c>
      <c r="N1328" s="10" t="str">
        <f t="shared" si="121"/>
        <v>SUM231200</v>
      </c>
      <c r="O1328" s="10" t="str">
        <f t="shared" si="122"/>
        <v>E</v>
      </c>
      <c r="P1328" s="10" t="str">
        <f t="shared" si="123"/>
        <v>50</v>
      </c>
      <c r="Q1328" s="10" t="str">
        <f t="shared" si="124"/>
        <v>ZSUM</v>
      </c>
      <c r="R1328" s="10" t="str">
        <f t="shared" si="125"/>
        <v>50151513</v>
      </c>
    </row>
    <row r="1329" spans="1:18" ht="51" hidden="1" x14ac:dyDescent="0.2">
      <c r="A1329" s="21" t="s">
        <v>732</v>
      </c>
      <c r="B1329" s="8" t="s">
        <v>731</v>
      </c>
      <c r="C1329" s="8" t="s">
        <v>40</v>
      </c>
      <c r="D1329" s="8" t="s">
        <v>730</v>
      </c>
      <c r="E1329" s="8" t="s">
        <v>40</v>
      </c>
      <c r="F1329" s="8" t="s">
        <v>39</v>
      </c>
      <c r="G1329" s="8" t="s">
        <v>60</v>
      </c>
      <c r="H1329" s="8" t="s">
        <v>37</v>
      </c>
      <c r="I1329" s="8" t="s">
        <v>53</v>
      </c>
      <c r="J1329" s="8" t="s">
        <v>59</v>
      </c>
      <c r="K1329" s="8" t="s">
        <v>729</v>
      </c>
      <c r="L1329" s="7">
        <v>8067</v>
      </c>
      <c r="M1329" s="10" t="str">
        <f t="shared" si="120"/>
        <v>CMI02130200</v>
      </c>
      <c r="N1329" s="10" t="str">
        <f t="shared" si="121"/>
        <v>SUM231200</v>
      </c>
      <c r="O1329" s="10" t="str">
        <f t="shared" si="122"/>
        <v>E</v>
      </c>
      <c r="P1329" s="10" t="str">
        <f t="shared" si="123"/>
        <v>50</v>
      </c>
      <c r="Q1329" s="10" t="str">
        <f t="shared" si="124"/>
        <v>ZSUM</v>
      </c>
      <c r="R1329" s="10" t="str">
        <f t="shared" si="125"/>
        <v>12352005</v>
      </c>
    </row>
    <row r="1330" spans="1:18" ht="38.25" hidden="1" x14ac:dyDescent="0.2">
      <c r="A1330" s="21" t="s">
        <v>728</v>
      </c>
      <c r="B1330" s="8" t="s">
        <v>727</v>
      </c>
      <c r="C1330" s="8" t="s">
        <v>40</v>
      </c>
      <c r="D1330" s="8" t="s">
        <v>86</v>
      </c>
      <c r="E1330" s="8" t="s">
        <v>40</v>
      </c>
      <c r="F1330" s="8" t="s">
        <v>39</v>
      </c>
      <c r="G1330" s="8" t="s">
        <v>60</v>
      </c>
      <c r="H1330" s="8" t="s">
        <v>37</v>
      </c>
      <c r="I1330" s="8" t="s">
        <v>53</v>
      </c>
      <c r="J1330" s="8" t="s">
        <v>59</v>
      </c>
      <c r="K1330" s="8" t="s">
        <v>726</v>
      </c>
      <c r="L1330" s="7">
        <v>8068</v>
      </c>
      <c r="M1330" s="10" t="str">
        <f t="shared" si="120"/>
        <v>CMI02160300</v>
      </c>
      <c r="N1330" s="10" t="str">
        <f t="shared" si="121"/>
        <v>SUM231200</v>
      </c>
      <c r="O1330" s="10" t="str">
        <f t="shared" si="122"/>
        <v>E</v>
      </c>
      <c r="P1330" s="10" t="str">
        <f t="shared" si="123"/>
        <v>50</v>
      </c>
      <c r="Q1330" s="10" t="str">
        <f t="shared" si="124"/>
        <v>ZSUM</v>
      </c>
      <c r="R1330" s="10" t="str">
        <f t="shared" si="125"/>
        <v>60121002</v>
      </c>
    </row>
    <row r="1331" spans="1:18" ht="25.5" hidden="1" x14ac:dyDescent="0.2">
      <c r="A1331" s="21" t="s">
        <v>725</v>
      </c>
      <c r="B1331" s="8" t="s">
        <v>724</v>
      </c>
      <c r="C1331" s="8" t="s">
        <v>40</v>
      </c>
      <c r="D1331" s="8" t="s">
        <v>95</v>
      </c>
      <c r="E1331" s="8" t="s">
        <v>40</v>
      </c>
      <c r="F1331" s="8" t="s">
        <v>39</v>
      </c>
      <c r="G1331" s="8" t="s">
        <v>60</v>
      </c>
      <c r="H1331" s="8" t="s">
        <v>37</v>
      </c>
      <c r="I1331" s="8" t="s">
        <v>53</v>
      </c>
      <c r="J1331" s="8" t="s">
        <v>59</v>
      </c>
      <c r="K1331" s="8" t="s">
        <v>723</v>
      </c>
      <c r="L1331" s="7">
        <v>8069</v>
      </c>
      <c r="M1331" s="10" t="str">
        <f t="shared" si="120"/>
        <v>CMI02160100</v>
      </c>
      <c r="N1331" s="10" t="str">
        <f t="shared" si="121"/>
        <v>SUM231200</v>
      </c>
      <c r="O1331" s="10" t="str">
        <f t="shared" si="122"/>
        <v>E</v>
      </c>
      <c r="P1331" s="10" t="str">
        <f t="shared" si="123"/>
        <v>50</v>
      </c>
      <c r="Q1331" s="10" t="str">
        <f t="shared" si="124"/>
        <v>ZSUM</v>
      </c>
      <c r="R1331" s="10" t="str">
        <f t="shared" si="125"/>
        <v>44122000</v>
      </c>
    </row>
    <row r="1332" spans="1:18" ht="25.5" hidden="1" x14ac:dyDescent="0.2">
      <c r="A1332" s="21" t="s">
        <v>722</v>
      </c>
      <c r="B1332" s="8" t="s">
        <v>721</v>
      </c>
      <c r="C1332" s="8" t="s">
        <v>40</v>
      </c>
      <c r="D1332" s="8" t="s">
        <v>95</v>
      </c>
      <c r="E1332" s="8" t="s">
        <v>40</v>
      </c>
      <c r="F1332" s="8" t="s">
        <v>39</v>
      </c>
      <c r="G1332" s="8" t="s">
        <v>60</v>
      </c>
      <c r="H1332" s="8" t="s">
        <v>37</v>
      </c>
      <c r="I1332" s="8" t="s">
        <v>53</v>
      </c>
      <c r="J1332" s="8" t="s">
        <v>59</v>
      </c>
      <c r="K1332" s="8" t="s">
        <v>720</v>
      </c>
      <c r="L1332" s="7">
        <v>8070</v>
      </c>
      <c r="M1332" s="10" t="str">
        <f t="shared" si="120"/>
        <v>CMI02160100</v>
      </c>
      <c r="N1332" s="10" t="str">
        <f t="shared" si="121"/>
        <v>SUM231200</v>
      </c>
      <c r="O1332" s="10" t="str">
        <f t="shared" si="122"/>
        <v>E</v>
      </c>
      <c r="P1332" s="10" t="str">
        <f t="shared" si="123"/>
        <v>50</v>
      </c>
      <c r="Q1332" s="10" t="str">
        <f t="shared" si="124"/>
        <v>ZSUM</v>
      </c>
      <c r="R1332" s="10" t="str">
        <f t="shared" si="125"/>
        <v>44121701</v>
      </c>
    </row>
    <row r="1333" spans="1:18" ht="25.5" hidden="1" x14ac:dyDescent="0.2">
      <c r="A1333" s="21" t="s">
        <v>719</v>
      </c>
      <c r="B1333" s="8" t="s">
        <v>718</v>
      </c>
      <c r="C1333" s="8" t="s">
        <v>40</v>
      </c>
      <c r="D1333" s="8" t="s">
        <v>95</v>
      </c>
      <c r="E1333" s="8" t="s">
        <v>40</v>
      </c>
      <c r="F1333" s="8" t="s">
        <v>39</v>
      </c>
      <c r="G1333" s="8" t="s">
        <v>60</v>
      </c>
      <c r="H1333" s="8" t="s">
        <v>37</v>
      </c>
      <c r="I1333" s="8" t="s">
        <v>53</v>
      </c>
      <c r="J1333" s="8" t="s">
        <v>59</v>
      </c>
      <c r="K1333" s="8" t="s">
        <v>717</v>
      </c>
      <c r="L1333" s="7">
        <v>8071</v>
      </c>
      <c r="M1333" s="10" t="str">
        <f t="shared" si="120"/>
        <v>CMI02160100</v>
      </c>
      <c r="N1333" s="10" t="str">
        <f t="shared" si="121"/>
        <v>SUM231200</v>
      </c>
      <c r="O1333" s="10" t="str">
        <f t="shared" si="122"/>
        <v>E</v>
      </c>
      <c r="P1333" s="10" t="str">
        <f t="shared" si="123"/>
        <v>50</v>
      </c>
      <c r="Q1333" s="10" t="str">
        <f t="shared" si="124"/>
        <v>ZSUM</v>
      </c>
      <c r="R1333" s="10" t="str">
        <f t="shared" si="125"/>
        <v>14111500</v>
      </c>
    </row>
    <row r="1334" spans="1:18" ht="38.25" hidden="1" x14ac:dyDescent="0.2">
      <c r="A1334" s="21" t="s">
        <v>716</v>
      </c>
      <c r="B1334" s="8" t="s">
        <v>715</v>
      </c>
      <c r="C1334" s="8" t="s">
        <v>40</v>
      </c>
      <c r="D1334" s="8" t="s">
        <v>86</v>
      </c>
      <c r="E1334" s="8" t="s">
        <v>40</v>
      </c>
      <c r="F1334" s="8" t="s">
        <v>39</v>
      </c>
      <c r="G1334" s="8" t="s">
        <v>60</v>
      </c>
      <c r="H1334" s="8" t="s">
        <v>37</v>
      </c>
      <c r="I1334" s="8" t="s">
        <v>53</v>
      </c>
      <c r="J1334" s="8" t="s">
        <v>59</v>
      </c>
      <c r="K1334" s="8" t="s">
        <v>714</v>
      </c>
      <c r="L1334" s="7">
        <v>8072</v>
      </c>
      <c r="M1334" s="10" t="str">
        <f t="shared" si="120"/>
        <v>CMI02160300</v>
      </c>
      <c r="N1334" s="10" t="str">
        <f t="shared" si="121"/>
        <v>SUM231200</v>
      </c>
      <c r="O1334" s="10" t="str">
        <f t="shared" si="122"/>
        <v>E</v>
      </c>
      <c r="P1334" s="10" t="str">
        <f t="shared" si="123"/>
        <v>50</v>
      </c>
      <c r="Q1334" s="10" t="str">
        <f t="shared" si="124"/>
        <v>ZSUM</v>
      </c>
      <c r="R1334" s="10" t="str">
        <f t="shared" si="125"/>
        <v>44120000</v>
      </c>
    </row>
    <row r="1335" spans="1:18" ht="25.5" hidden="1" x14ac:dyDescent="0.2">
      <c r="A1335" s="21" t="s">
        <v>713</v>
      </c>
      <c r="B1335" s="8" t="s">
        <v>712</v>
      </c>
      <c r="C1335" s="8" t="s">
        <v>40</v>
      </c>
      <c r="D1335" s="8" t="s">
        <v>74</v>
      </c>
      <c r="E1335" s="8" t="s">
        <v>40</v>
      </c>
      <c r="F1335" s="8" t="s">
        <v>39</v>
      </c>
      <c r="G1335" s="8" t="s">
        <v>60</v>
      </c>
      <c r="H1335" s="8" t="s">
        <v>37</v>
      </c>
      <c r="I1335" s="8" t="s">
        <v>53</v>
      </c>
      <c r="J1335" s="8" t="s">
        <v>59</v>
      </c>
      <c r="K1335" s="8" t="s">
        <v>711</v>
      </c>
      <c r="L1335" s="7">
        <v>8073</v>
      </c>
      <c r="M1335" s="10" t="str">
        <f t="shared" si="120"/>
        <v>CMI02170300</v>
      </c>
      <c r="N1335" s="10" t="str">
        <f t="shared" si="121"/>
        <v>SUM231200</v>
      </c>
      <c r="O1335" s="10" t="str">
        <f t="shared" si="122"/>
        <v>E</v>
      </c>
      <c r="P1335" s="10" t="str">
        <f t="shared" si="123"/>
        <v>50</v>
      </c>
      <c r="Q1335" s="10" t="str">
        <f t="shared" si="124"/>
        <v>ZSUM</v>
      </c>
      <c r="R1335" s="10" t="str">
        <f t="shared" si="125"/>
        <v>24111501</v>
      </c>
    </row>
    <row r="1336" spans="1:18" ht="38.25" hidden="1" x14ac:dyDescent="0.2">
      <c r="A1336" s="21" t="s">
        <v>710</v>
      </c>
      <c r="B1336" s="8" t="s">
        <v>709</v>
      </c>
      <c r="C1336" s="8" t="s">
        <v>40</v>
      </c>
      <c r="D1336" s="8" t="s">
        <v>86</v>
      </c>
      <c r="E1336" s="8" t="s">
        <v>40</v>
      </c>
      <c r="F1336" s="8" t="s">
        <v>39</v>
      </c>
      <c r="G1336" s="8" t="s">
        <v>60</v>
      </c>
      <c r="H1336" s="8" t="s">
        <v>37</v>
      </c>
      <c r="I1336" s="8" t="s">
        <v>53</v>
      </c>
      <c r="J1336" s="8" t="s">
        <v>59</v>
      </c>
      <c r="K1336" s="8" t="s">
        <v>708</v>
      </c>
      <c r="L1336" s="7">
        <v>8074</v>
      </c>
      <c r="M1336" s="10" t="str">
        <f t="shared" si="120"/>
        <v>CMI02160300</v>
      </c>
      <c r="N1336" s="10" t="str">
        <f t="shared" si="121"/>
        <v>SUM231200</v>
      </c>
      <c r="O1336" s="10" t="str">
        <f t="shared" si="122"/>
        <v>E</v>
      </c>
      <c r="P1336" s="10" t="str">
        <f t="shared" si="123"/>
        <v>50</v>
      </c>
      <c r="Q1336" s="10" t="str">
        <f t="shared" si="124"/>
        <v>ZSUM</v>
      </c>
      <c r="R1336" s="10" t="str">
        <f t="shared" si="125"/>
        <v>14111704</v>
      </c>
    </row>
    <row r="1337" spans="1:18" ht="38.25" hidden="1" x14ac:dyDescent="0.2">
      <c r="A1337" s="21" t="s">
        <v>707</v>
      </c>
      <c r="B1337" s="8" t="s">
        <v>706</v>
      </c>
      <c r="C1337" s="8" t="s">
        <v>40</v>
      </c>
      <c r="D1337" s="8" t="s">
        <v>86</v>
      </c>
      <c r="E1337" s="8" t="s">
        <v>40</v>
      </c>
      <c r="F1337" s="8" t="s">
        <v>39</v>
      </c>
      <c r="G1337" s="8" t="s">
        <v>60</v>
      </c>
      <c r="H1337" s="8" t="s">
        <v>37</v>
      </c>
      <c r="I1337" s="8" t="s">
        <v>53</v>
      </c>
      <c r="J1337" s="8" t="s">
        <v>59</v>
      </c>
      <c r="K1337" s="8" t="s">
        <v>705</v>
      </c>
      <c r="L1337" s="7">
        <v>8075</v>
      </c>
      <c r="M1337" s="10" t="str">
        <f t="shared" si="120"/>
        <v>CMI02160300</v>
      </c>
      <c r="N1337" s="10" t="str">
        <f t="shared" si="121"/>
        <v>SUM231200</v>
      </c>
      <c r="O1337" s="10" t="str">
        <f t="shared" si="122"/>
        <v>E</v>
      </c>
      <c r="P1337" s="10" t="str">
        <f t="shared" si="123"/>
        <v>50</v>
      </c>
      <c r="Q1337" s="10" t="str">
        <f t="shared" si="124"/>
        <v>ZSUM</v>
      </c>
      <c r="R1337" s="10" t="str">
        <f t="shared" si="125"/>
        <v>14111705</v>
      </c>
    </row>
    <row r="1338" spans="1:18" ht="38.25" hidden="1" x14ac:dyDescent="0.2">
      <c r="A1338" s="21" t="s">
        <v>704</v>
      </c>
      <c r="B1338" s="8" t="s">
        <v>703</v>
      </c>
      <c r="C1338" s="8" t="s">
        <v>40</v>
      </c>
      <c r="D1338" s="8" t="s">
        <v>363</v>
      </c>
      <c r="E1338" s="8" t="s">
        <v>40</v>
      </c>
      <c r="F1338" s="8" t="s">
        <v>39</v>
      </c>
      <c r="G1338" s="8" t="s">
        <v>60</v>
      </c>
      <c r="H1338" s="8" t="s">
        <v>37</v>
      </c>
      <c r="I1338" s="8" t="s">
        <v>53</v>
      </c>
      <c r="J1338" s="8" t="s">
        <v>59</v>
      </c>
      <c r="K1338" s="8" t="s">
        <v>702</v>
      </c>
      <c r="L1338" s="7">
        <v>8076</v>
      </c>
      <c r="M1338" s="10" t="str">
        <f t="shared" si="120"/>
        <v>CMI02051300</v>
      </c>
      <c r="N1338" s="10" t="str">
        <f t="shared" si="121"/>
        <v>SUM231200</v>
      </c>
      <c r="O1338" s="10" t="str">
        <f t="shared" si="122"/>
        <v>E</v>
      </c>
      <c r="P1338" s="10" t="str">
        <f t="shared" si="123"/>
        <v>50</v>
      </c>
      <c r="Q1338" s="10" t="str">
        <f t="shared" si="124"/>
        <v>ZSUM</v>
      </c>
      <c r="R1338" s="10" t="str">
        <f t="shared" si="125"/>
        <v>47131703</v>
      </c>
    </row>
    <row r="1339" spans="1:18" ht="38.25" hidden="1" x14ac:dyDescent="0.2">
      <c r="A1339" s="21" t="s">
        <v>701</v>
      </c>
      <c r="B1339" s="8" t="s">
        <v>700</v>
      </c>
      <c r="C1339" s="8" t="s">
        <v>40</v>
      </c>
      <c r="D1339" s="8" t="s">
        <v>434</v>
      </c>
      <c r="E1339" s="8" t="s">
        <v>40</v>
      </c>
      <c r="F1339" s="8" t="s">
        <v>39</v>
      </c>
      <c r="G1339" s="8" t="s">
        <v>60</v>
      </c>
      <c r="H1339" s="8" t="s">
        <v>37</v>
      </c>
      <c r="I1339" s="8" t="s">
        <v>53</v>
      </c>
      <c r="J1339" s="8" t="s">
        <v>59</v>
      </c>
      <c r="K1339" s="8" t="s">
        <v>699</v>
      </c>
      <c r="L1339" s="7">
        <v>8077</v>
      </c>
      <c r="M1339" s="10" t="str">
        <f t="shared" si="120"/>
        <v>CMI02130300</v>
      </c>
      <c r="N1339" s="10" t="str">
        <f t="shared" si="121"/>
        <v>SUM231200</v>
      </c>
      <c r="O1339" s="10" t="str">
        <f t="shared" si="122"/>
        <v>E</v>
      </c>
      <c r="P1339" s="10" t="str">
        <f t="shared" si="123"/>
        <v>50</v>
      </c>
      <c r="Q1339" s="10" t="str">
        <f t="shared" si="124"/>
        <v>ZSUM</v>
      </c>
      <c r="R1339" s="10" t="str">
        <f t="shared" si="125"/>
        <v>47131706</v>
      </c>
    </row>
    <row r="1340" spans="1:18" ht="51" hidden="1" x14ac:dyDescent="0.2">
      <c r="A1340" s="21" t="s">
        <v>698</v>
      </c>
      <c r="B1340" s="8" t="s">
        <v>697</v>
      </c>
      <c r="C1340" s="8" t="s">
        <v>40</v>
      </c>
      <c r="D1340" s="8" t="s">
        <v>141</v>
      </c>
      <c r="E1340" s="8" t="s">
        <v>40</v>
      </c>
      <c r="F1340" s="8" t="s">
        <v>39</v>
      </c>
      <c r="G1340" s="8" t="s">
        <v>60</v>
      </c>
      <c r="H1340" s="8" t="s">
        <v>37</v>
      </c>
      <c r="I1340" s="8" t="s">
        <v>53</v>
      </c>
      <c r="J1340" s="8" t="s">
        <v>59</v>
      </c>
      <c r="K1340" s="8" t="s">
        <v>696</v>
      </c>
      <c r="L1340" s="7">
        <v>8078</v>
      </c>
      <c r="M1340" s="10" t="str">
        <f t="shared" si="120"/>
        <v>CMI02150200</v>
      </c>
      <c r="N1340" s="10" t="str">
        <f t="shared" si="121"/>
        <v>SUM231200</v>
      </c>
      <c r="O1340" s="10" t="str">
        <f t="shared" si="122"/>
        <v>E</v>
      </c>
      <c r="P1340" s="10" t="str">
        <f t="shared" si="123"/>
        <v>50</v>
      </c>
      <c r="Q1340" s="10" t="str">
        <f t="shared" si="124"/>
        <v>ZSUM</v>
      </c>
      <c r="R1340" s="10" t="str">
        <f t="shared" si="125"/>
        <v>42192207</v>
      </c>
    </row>
    <row r="1341" spans="1:18" ht="38.25" hidden="1" x14ac:dyDescent="0.2">
      <c r="A1341" s="21" t="s">
        <v>695</v>
      </c>
      <c r="B1341" s="8" t="s">
        <v>694</v>
      </c>
      <c r="C1341" s="8" t="s">
        <v>40</v>
      </c>
      <c r="D1341" s="8" t="s">
        <v>86</v>
      </c>
      <c r="E1341" s="8" t="s">
        <v>40</v>
      </c>
      <c r="F1341" s="8" t="s">
        <v>39</v>
      </c>
      <c r="G1341" s="8" t="s">
        <v>60</v>
      </c>
      <c r="H1341" s="8" t="s">
        <v>37</v>
      </c>
      <c r="I1341" s="8" t="s">
        <v>53</v>
      </c>
      <c r="J1341" s="8" t="s">
        <v>59</v>
      </c>
      <c r="K1341" s="8" t="s">
        <v>693</v>
      </c>
      <c r="L1341" s="7">
        <v>8079</v>
      </c>
      <c r="M1341" s="10" t="str">
        <f t="shared" si="120"/>
        <v>CMI02160300</v>
      </c>
      <c r="N1341" s="10" t="str">
        <f t="shared" si="121"/>
        <v>SUM231200</v>
      </c>
      <c r="O1341" s="10" t="str">
        <f t="shared" si="122"/>
        <v>E</v>
      </c>
      <c r="P1341" s="10" t="str">
        <f t="shared" si="123"/>
        <v>50</v>
      </c>
      <c r="Q1341" s="10" t="str">
        <f t="shared" si="124"/>
        <v>ZSUM</v>
      </c>
      <c r="R1341" s="10" t="str">
        <f t="shared" si="125"/>
        <v>39112604</v>
      </c>
    </row>
    <row r="1342" spans="1:18" ht="38.25" hidden="1" x14ac:dyDescent="0.2">
      <c r="A1342" s="21" t="s">
        <v>692</v>
      </c>
      <c r="B1342" s="8" t="s">
        <v>691</v>
      </c>
      <c r="C1342" s="8" t="s">
        <v>40</v>
      </c>
      <c r="D1342" s="8" t="s">
        <v>166</v>
      </c>
      <c r="E1342" s="8" t="s">
        <v>40</v>
      </c>
      <c r="F1342" s="8" t="s">
        <v>39</v>
      </c>
      <c r="G1342" s="8" t="s">
        <v>60</v>
      </c>
      <c r="H1342" s="8" t="s">
        <v>37</v>
      </c>
      <c r="I1342" s="8" t="s">
        <v>53</v>
      </c>
      <c r="J1342" s="8" t="s">
        <v>59</v>
      </c>
      <c r="K1342" s="8" t="s">
        <v>690</v>
      </c>
      <c r="L1342" s="7">
        <v>8080</v>
      </c>
      <c r="M1342" s="10" t="str">
        <f t="shared" si="120"/>
        <v>CMI02170200</v>
      </c>
      <c r="N1342" s="10" t="str">
        <f t="shared" si="121"/>
        <v>SUM231200</v>
      </c>
      <c r="O1342" s="10" t="str">
        <f t="shared" si="122"/>
        <v>E</v>
      </c>
      <c r="P1342" s="10" t="str">
        <f t="shared" si="123"/>
        <v>50</v>
      </c>
      <c r="Q1342" s="10" t="str">
        <f t="shared" si="124"/>
        <v>ZSUM</v>
      </c>
      <c r="R1342" s="10" t="str">
        <f t="shared" si="125"/>
        <v>48101520</v>
      </c>
    </row>
    <row r="1343" spans="1:18" ht="38.25" hidden="1" x14ac:dyDescent="0.2">
      <c r="A1343" s="21" t="s">
        <v>689</v>
      </c>
      <c r="B1343" s="8" t="s">
        <v>688</v>
      </c>
      <c r="C1343" s="8" t="s">
        <v>40</v>
      </c>
      <c r="D1343" s="8" t="s">
        <v>141</v>
      </c>
      <c r="E1343" s="8" t="s">
        <v>40</v>
      </c>
      <c r="F1343" s="8" t="s">
        <v>39</v>
      </c>
      <c r="G1343" s="8" t="s">
        <v>60</v>
      </c>
      <c r="H1343" s="8" t="s">
        <v>37</v>
      </c>
      <c r="I1343" s="8" t="s">
        <v>53</v>
      </c>
      <c r="J1343" s="8" t="s">
        <v>59</v>
      </c>
      <c r="K1343" s="8" t="s">
        <v>687</v>
      </c>
      <c r="L1343" s="7">
        <v>8081</v>
      </c>
      <c r="M1343" s="10" t="str">
        <f t="shared" si="120"/>
        <v>CMI02150200</v>
      </c>
      <c r="N1343" s="10" t="str">
        <f t="shared" si="121"/>
        <v>SUM231200</v>
      </c>
      <c r="O1343" s="10" t="str">
        <f t="shared" si="122"/>
        <v>E</v>
      </c>
      <c r="P1343" s="10" t="str">
        <f t="shared" si="123"/>
        <v>50</v>
      </c>
      <c r="Q1343" s="10" t="str">
        <f t="shared" si="124"/>
        <v>ZSUM</v>
      </c>
      <c r="R1343" s="10" t="str">
        <f t="shared" si="125"/>
        <v>42182005</v>
      </c>
    </row>
    <row r="1344" spans="1:18" ht="25.5" hidden="1" x14ac:dyDescent="0.2">
      <c r="A1344" s="21" t="s">
        <v>686</v>
      </c>
      <c r="B1344" s="8" t="s">
        <v>685</v>
      </c>
      <c r="C1344" s="8" t="s">
        <v>40</v>
      </c>
      <c r="D1344" s="8" t="s">
        <v>141</v>
      </c>
      <c r="E1344" s="8" t="s">
        <v>40</v>
      </c>
      <c r="F1344" s="8" t="s">
        <v>39</v>
      </c>
      <c r="G1344" s="8" t="s">
        <v>60</v>
      </c>
      <c r="H1344" s="8" t="s">
        <v>37</v>
      </c>
      <c r="I1344" s="8" t="s">
        <v>53</v>
      </c>
      <c r="J1344" s="8" t="s">
        <v>59</v>
      </c>
      <c r="K1344" s="8" t="s">
        <v>684</v>
      </c>
      <c r="L1344" s="7">
        <v>8082</v>
      </c>
      <c r="M1344" s="10" t="str">
        <f t="shared" si="120"/>
        <v>CMI02150200</v>
      </c>
      <c r="N1344" s="10" t="str">
        <f t="shared" si="121"/>
        <v>SUM231200</v>
      </c>
      <c r="O1344" s="10" t="str">
        <f t="shared" si="122"/>
        <v>E</v>
      </c>
      <c r="P1344" s="10" t="str">
        <f t="shared" si="123"/>
        <v>50</v>
      </c>
      <c r="Q1344" s="10" t="str">
        <f t="shared" si="124"/>
        <v>ZSUM</v>
      </c>
      <c r="R1344" s="10" t="str">
        <f t="shared" si="125"/>
        <v>42292701</v>
      </c>
    </row>
    <row r="1345" spans="1:18" ht="25.5" hidden="1" x14ac:dyDescent="0.2">
      <c r="A1345" s="21" t="s">
        <v>683</v>
      </c>
      <c r="B1345" s="8" t="s">
        <v>682</v>
      </c>
      <c r="C1345" s="8" t="s">
        <v>40</v>
      </c>
      <c r="D1345" s="8" t="s">
        <v>141</v>
      </c>
      <c r="E1345" s="8" t="s">
        <v>40</v>
      </c>
      <c r="F1345" s="8" t="s">
        <v>39</v>
      </c>
      <c r="G1345" s="8" t="s">
        <v>60</v>
      </c>
      <c r="H1345" s="8" t="s">
        <v>37</v>
      </c>
      <c r="I1345" s="8" t="s">
        <v>53</v>
      </c>
      <c r="J1345" s="8" t="s">
        <v>59</v>
      </c>
      <c r="K1345" s="8" t="s">
        <v>681</v>
      </c>
      <c r="L1345" s="7">
        <v>8083</v>
      </c>
      <c r="M1345" s="10" t="str">
        <f t="shared" si="120"/>
        <v>CMI02150200</v>
      </c>
      <c r="N1345" s="10" t="str">
        <f t="shared" si="121"/>
        <v>SUM231200</v>
      </c>
      <c r="O1345" s="10" t="str">
        <f t="shared" si="122"/>
        <v>E</v>
      </c>
      <c r="P1345" s="10" t="str">
        <f t="shared" si="123"/>
        <v>50</v>
      </c>
      <c r="Q1345" s="10" t="str">
        <f t="shared" si="124"/>
        <v>ZSUM</v>
      </c>
      <c r="R1345" s="10" t="str">
        <f t="shared" si="125"/>
        <v>42291802</v>
      </c>
    </row>
    <row r="1346" spans="1:18" ht="38.25" hidden="1" x14ac:dyDescent="0.2">
      <c r="A1346" s="21" t="s">
        <v>680</v>
      </c>
      <c r="B1346" s="8" t="s">
        <v>679</v>
      </c>
      <c r="C1346" s="8" t="s">
        <v>40</v>
      </c>
      <c r="D1346" s="8" t="s">
        <v>74</v>
      </c>
      <c r="E1346" s="8" t="s">
        <v>40</v>
      </c>
      <c r="F1346" s="8" t="s">
        <v>39</v>
      </c>
      <c r="G1346" s="8" t="s">
        <v>60</v>
      </c>
      <c r="H1346" s="8" t="s">
        <v>37</v>
      </c>
      <c r="I1346" s="8" t="s">
        <v>36</v>
      </c>
      <c r="J1346" s="8" t="s">
        <v>59</v>
      </c>
      <c r="K1346" s="8" t="s">
        <v>678</v>
      </c>
      <c r="L1346" s="7">
        <v>8084</v>
      </c>
      <c r="M1346" s="10" t="str">
        <f t="shared" si="120"/>
        <v>CMI02170300</v>
      </c>
      <c r="N1346" s="10" t="str">
        <f t="shared" si="121"/>
        <v>SUM231200</v>
      </c>
      <c r="O1346" s="10" t="str">
        <f t="shared" si="122"/>
        <v>E</v>
      </c>
      <c r="P1346" s="10" t="str">
        <f t="shared" si="123"/>
        <v>10</v>
      </c>
      <c r="Q1346" s="10" t="str">
        <f t="shared" si="124"/>
        <v>ZSUM</v>
      </c>
      <c r="R1346" s="10" t="str">
        <f t="shared" si="125"/>
        <v>52152010</v>
      </c>
    </row>
    <row r="1347" spans="1:18" ht="25.5" hidden="1" x14ac:dyDescent="0.2">
      <c r="A1347" s="21" t="s">
        <v>677</v>
      </c>
      <c r="B1347" s="8" t="s">
        <v>676</v>
      </c>
      <c r="C1347" s="8" t="s">
        <v>40</v>
      </c>
      <c r="D1347" s="8" t="s">
        <v>74</v>
      </c>
      <c r="E1347" s="8" t="s">
        <v>40</v>
      </c>
      <c r="F1347" s="8" t="s">
        <v>39</v>
      </c>
      <c r="G1347" s="8" t="s">
        <v>60</v>
      </c>
      <c r="H1347" s="8" t="s">
        <v>37</v>
      </c>
      <c r="I1347" s="8" t="s">
        <v>53</v>
      </c>
      <c r="J1347" s="8" t="s">
        <v>59</v>
      </c>
      <c r="K1347" s="8" t="s">
        <v>675</v>
      </c>
      <c r="L1347" s="7">
        <v>8085</v>
      </c>
      <c r="M1347" s="10" t="str">
        <f t="shared" ref="M1347:M1410" si="126">+LEFT(D1347,11)</f>
        <v>CMI02170300</v>
      </c>
      <c r="N1347" s="10" t="str">
        <f t="shared" ref="N1347:N1410" si="127">+LEFT(G1347,9)</f>
        <v>SUM231200</v>
      </c>
      <c r="O1347" s="10" t="str">
        <f t="shared" ref="O1347:O1410" si="128">+LEFT(H1347,1)</f>
        <v>E</v>
      </c>
      <c r="P1347" s="10" t="str">
        <f t="shared" ref="P1347:P1410" si="129">+LEFT(I1347,2)</f>
        <v>50</v>
      </c>
      <c r="Q1347" s="10" t="str">
        <f t="shared" ref="Q1347:Q1410" si="130">+LEFT(J1347,4)</f>
        <v>ZSUM</v>
      </c>
      <c r="R1347" s="10" t="str">
        <f t="shared" ref="R1347:R1410" si="131">+LEFT(K1347,8)</f>
        <v>52121500</v>
      </c>
    </row>
    <row r="1348" spans="1:18" ht="25.5" hidden="1" x14ac:dyDescent="0.2">
      <c r="A1348" s="21" t="s">
        <v>674</v>
      </c>
      <c r="B1348" s="8" t="s">
        <v>673</v>
      </c>
      <c r="C1348" s="8" t="s">
        <v>40</v>
      </c>
      <c r="D1348" s="8" t="s">
        <v>70</v>
      </c>
      <c r="E1348" s="8" t="s">
        <v>40</v>
      </c>
      <c r="F1348" s="8" t="s">
        <v>39</v>
      </c>
      <c r="G1348" s="8" t="s">
        <v>60</v>
      </c>
      <c r="H1348" s="8" t="s">
        <v>37</v>
      </c>
      <c r="I1348" s="8" t="s">
        <v>53</v>
      </c>
      <c r="J1348" s="8" t="s">
        <v>59</v>
      </c>
      <c r="K1348" s="8" t="s">
        <v>672</v>
      </c>
      <c r="L1348" s="7">
        <v>8086</v>
      </c>
      <c r="M1348" s="10" t="str">
        <f t="shared" si="126"/>
        <v>CMI01030400</v>
      </c>
      <c r="N1348" s="10" t="str">
        <f t="shared" si="127"/>
        <v>SUM231200</v>
      </c>
      <c r="O1348" s="10" t="str">
        <f t="shared" si="128"/>
        <v>E</v>
      </c>
      <c r="P1348" s="10" t="str">
        <f t="shared" si="129"/>
        <v>50</v>
      </c>
      <c r="Q1348" s="10" t="str">
        <f t="shared" si="130"/>
        <v>ZSUM</v>
      </c>
      <c r="R1348" s="10" t="str">
        <f t="shared" si="131"/>
        <v>56101508</v>
      </c>
    </row>
    <row r="1349" spans="1:18" ht="25.5" hidden="1" x14ac:dyDescent="0.2">
      <c r="A1349" s="21" t="s">
        <v>671</v>
      </c>
      <c r="B1349" s="8" t="s">
        <v>670</v>
      </c>
      <c r="C1349" s="8" t="s">
        <v>40</v>
      </c>
      <c r="D1349" s="8" t="s">
        <v>669</v>
      </c>
      <c r="E1349" s="8" t="s">
        <v>40</v>
      </c>
      <c r="F1349" s="8" t="s">
        <v>39</v>
      </c>
      <c r="G1349" s="8" t="s">
        <v>85</v>
      </c>
      <c r="H1349" s="8" t="s">
        <v>37</v>
      </c>
      <c r="I1349" s="8" t="s">
        <v>53</v>
      </c>
      <c r="J1349" s="8" t="s">
        <v>59</v>
      </c>
      <c r="K1349" s="8" t="s">
        <v>362</v>
      </c>
      <c r="L1349" s="7">
        <v>8087</v>
      </c>
      <c r="M1349" s="10" t="str">
        <f t="shared" si="126"/>
        <v>CMI02140700</v>
      </c>
      <c r="N1349" s="10" t="str">
        <f t="shared" si="127"/>
        <v>SUM231500</v>
      </c>
      <c r="O1349" s="10" t="str">
        <f t="shared" si="128"/>
        <v>E</v>
      </c>
      <c r="P1349" s="10" t="str">
        <f t="shared" si="129"/>
        <v>50</v>
      </c>
      <c r="Q1349" s="10" t="str">
        <f t="shared" si="130"/>
        <v>ZSUM</v>
      </c>
      <c r="R1349" s="10" t="str">
        <f t="shared" si="131"/>
        <v>40171600</v>
      </c>
    </row>
    <row r="1350" spans="1:18" ht="25.5" hidden="1" x14ac:dyDescent="0.2">
      <c r="A1350" s="21" t="s">
        <v>668</v>
      </c>
      <c r="B1350" s="8" t="s">
        <v>667</v>
      </c>
      <c r="C1350" s="8" t="s">
        <v>40</v>
      </c>
      <c r="D1350" s="8" t="s">
        <v>127</v>
      </c>
      <c r="E1350" s="8" t="s">
        <v>40</v>
      </c>
      <c r="F1350" s="8" t="s">
        <v>39</v>
      </c>
      <c r="G1350" s="8" t="s">
        <v>60</v>
      </c>
      <c r="H1350" s="8" t="s">
        <v>37</v>
      </c>
      <c r="I1350" s="8" t="s">
        <v>53</v>
      </c>
      <c r="J1350" s="8" t="s">
        <v>59</v>
      </c>
      <c r="K1350" s="8" t="s">
        <v>666</v>
      </c>
      <c r="L1350" s="7">
        <v>8088</v>
      </c>
      <c r="M1350" s="10" t="str">
        <f t="shared" si="126"/>
        <v>CMI02150100</v>
      </c>
      <c r="N1350" s="10" t="str">
        <f t="shared" si="127"/>
        <v>SUM231200</v>
      </c>
      <c r="O1350" s="10" t="str">
        <f t="shared" si="128"/>
        <v>E</v>
      </c>
      <c r="P1350" s="10" t="str">
        <f t="shared" si="129"/>
        <v>50</v>
      </c>
      <c r="Q1350" s="10" t="str">
        <f t="shared" si="130"/>
        <v>ZSUM</v>
      </c>
      <c r="R1350" s="10" t="str">
        <f t="shared" si="131"/>
        <v>51191600</v>
      </c>
    </row>
    <row r="1351" spans="1:18" ht="38.25" hidden="1" x14ac:dyDescent="0.2">
      <c r="A1351" s="21" t="s">
        <v>665</v>
      </c>
      <c r="B1351" s="8" t="s">
        <v>664</v>
      </c>
      <c r="C1351" s="8" t="s">
        <v>40</v>
      </c>
      <c r="D1351" s="8" t="s">
        <v>127</v>
      </c>
      <c r="E1351" s="8" t="s">
        <v>40</v>
      </c>
      <c r="F1351" s="8" t="s">
        <v>39</v>
      </c>
      <c r="G1351" s="8" t="s">
        <v>60</v>
      </c>
      <c r="H1351" s="8" t="s">
        <v>37</v>
      </c>
      <c r="I1351" s="8" t="s">
        <v>53</v>
      </c>
      <c r="J1351" s="8" t="s">
        <v>59</v>
      </c>
      <c r="K1351" s="8" t="s">
        <v>663</v>
      </c>
      <c r="L1351" s="7">
        <v>8089</v>
      </c>
      <c r="M1351" s="10" t="str">
        <f t="shared" si="126"/>
        <v>CMI02150100</v>
      </c>
      <c r="N1351" s="10" t="str">
        <f t="shared" si="127"/>
        <v>SUM231200</v>
      </c>
      <c r="O1351" s="10" t="str">
        <f t="shared" si="128"/>
        <v>E</v>
      </c>
      <c r="P1351" s="10" t="str">
        <f t="shared" si="129"/>
        <v>50</v>
      </c>
      <c r="Q1351" s="10" t="str">
        <f t="shared" si="130"/>
        <v>ZSUM</v>
      </c>
      <c r="R1351" s="10" t="str">
        <f t="shared" si="131"/>
        <v>42311500</v>
      </c>
    </row>
    <row r="1352" spans="1:18" ht="38.25" hidden="1" x14ac:dyDescent="0.2">
      <c r="A1352" s="21" t="s">
        <v>662</v>
      </c>
      <c r="B1352" s="8" t="s">
        <v>661</v>
      </c>
      <c r="C1352" s="8" t="s">
        <v>40</v>
      </c>
      <c r="D1352" s="8" t="s">
        <v>245</v>
      </c>
      <c r="E1352" s="8" t="s">
        <v>40</v>
      </c>
      <c r="F1352" s="8" t="s">
        <v>39</v>
      </c>
      <c r="G1352" s="8" t="s">
        <v>85</v>
      </c>
      <c r="H1352" s="8" t="s">
        <v>37</v>
      </c>
      <c r="I1352" s="8" t="s">
        <v>53</v>
      </c>
      <c r="J1352" s="8" t="s">
        <v>59</v>
      </c>
      <c r="K1352" s="8" t="s">
        <v>660</v>
      </c>
      <c r="L1352" s="7">
        <v>8090</v>
      </c>
      <c r="M1352" s="10" t="str">
        <f t="shared" si="126"/>
        <v>CMI01020300</v>
      </c>
      <c r="N1352" s="10" t="str">
        <f t="shared" si="127"/>
        <v>SUM231500</v>
      </c>
      <c r="O1352" s="10" t="str">
        <f t="shared" si="128"/>
        <v>E</v>
      </c>
      <c r="P1352" s="10" t="str">
        <f t="shared" si="129"/>
        <v>50</v>
      </c>
      <c r="Q1352" s="10" t="str">
        <f t="shared" si="130"/>
        <v>ZSUM</v>
      </c>
      <c r="R1352" s="10" t="str">
        <f t="shared" si="131"/>
        <v>27121800</v>
      </c>
    </row>
    <row r="1353" spans="1:18" ht="25.5" hidden="1" x14ac:dyDescent="0.2">
      <c r="A1353" s="21" t="s">
        <v>659</v>
      </c>
      <c r="B1353" s="8" t="s">
        <v>658</v>
      </c>
      <c r="C1353" s="8" t="s">
        <v>40</v>
      </c>
      <c r="D1353" s="8" t="s">
        <v>74</v>
      </c>
      <c r="E1353" s="8" t="s">
        <v>40</v>
      </c>
      <c r="F1353" s="8" t="s">
        <v>39</v>
      </c>
      <c r="G1353" s="8" t="s">
        <v>60</v>
      </c>
      <c r="H1353" s="8" t="s">
        <v>37</v>
      </c>
      <c r="I1353" s="8" t="s">
        <v>53</v>
      </c>
      <c r="J1353" s="8" t="s">
        <v>59</v>
      </c>
      <c r="K1353" s="8" t="s">
        <v>657</v>
      </c>
      <c r="L1353" s="7">
        <v>8091</v>
      </c>
      <c r="M1353" s="10" t="str">
        <f t="shared" si="126"/>
        <v>CMI02170300</v>
      </c>
      <c r="N1353" s="10" t="str">
        <f t="shared" si="127"/>
        <v>SUM231200</v>
      </c>
      <c r="O1353" s="10" t="str">
        <f t="shared" si="128"/>
        <v>E</v>
      </c>
      <c r="P1353" s="10" t="str">
        <f t="shared" si="129"/>
        <v>50</v>
      </c>
      <c r="Q1353" s="10" t="str">
        <f t="shared" si="130"/>
        <v>ZSUM</v>
      </c>
      <c r="R1353" s="10" t="str">
        <f t="shared" si="131"/>
        <v>21111501</v>
      </c>
    </row>
    <row r="1354" spans="1:18" ht="25.5" hidden="1" x14ac:dyDescent="0.2">
      <c r="A1354" s="21" t="s">
        <v>656</v>
      </c>
      <c r="B1354" s="8" t="s">
        <v>655</v>
      </c>
      <c r="C1354" s="8" t="s">
        <v>40</v>
      </c>
      <c r="D1354" s="8" t="s">
        <v>141</v>
      </c>
      <c r="E1354" s="8" t="s">
        <v>40</v>
      </c>
      <c r="F1354" s="8" t="s">
        <v>39</v>
      </c>
      <c r="G1354" s="8" t="s">
        <v>60</v>
      </c>
      <c r="H1354" s="8" t="s">
        <v>37</v>
      </c>
      <c r="I1354" s="8" t="s">
        <v>53</v>
      </c>
      <c r="J1354" s="8" t="s">
        <v>59</v>
      </c>
      <c r="K1354" s="8" t="s">
        <v>654</v>
      </c>
      <c r="L1354" s="7">
        <v>8092</v>
      </c>
      <c r="M1354" s="10" t="str">
        <f t="shared" si="126"/>
        <v>CMI02150200</v>
      </c>
      <c r="N1354" s="10" t="str">
        <f t="shared" si="127"/>
        <v>SUM231200</v>
      </c>
      <c r="O1354" s="10" t="str">
        <f t="shared" si="128"/>
        <v>E</v>
      </c>
      <c r="P1354" s="10" t="str">
        <f t="shared" si="129"/>
        <v>50</v>
      </c>
      <c r="Q1354" s="10" t="str">
        <f t="shared" si="130"/>
        <v>ZSUM</v>
      </c>
      <c r="R1354" s="10" t="str">
        <f t="shared" si="131"/>
        <v>42311506</v>
      </c>
    </row>
    <row r="1355" spans="1:18" ht="38.25" hidden="1" x14ac:dyDescent="0.2">
      <c r="A1355" s="21" t="s">
        <v>653</v>
      </c>
      <c r="B1355" s="8" t="s">
        <v>652</v>
      </c>
      <c r="C1355" s="8" t="s">
        <v>40</v>
      </c>
      <c r="D1355" s="8" t="s">
        <v>141</v>
      </c>
      <c r="E1355" s="8" t="s">
        <v>40</v>
      </c>
      <c r="F1355" s="8" t="s">
        <v>39</v>
      </c>
      <c r="G1355" s="8" t="s">
        <v>60</v>
      </c>
      <c r="H1355" s="8" t="s">
        <v>37</v>
      </c>
      <c r="I1355" s="8" t="s">
        <v>53</v>
      </c>
      <c r="J1355" s="8" t="s">
        <v>59</v>
      </c>
      <c r="K1355" s="8" t="s">
        <v>651</v>
      </c>
      <c r="L1355" s="7">
        <v>8093</v>
      </c>
      <c r="M1355" s="10" t="str">
        <f t="shared" si="126"/>
        <v>CMI02150200</v>
      </c>
      <c r="N1355" s="10" t="str">
        <f t="shared" si="127"/>
        <v>SUM231200</v>
      </c>
      <c r="O1355" s="10" t="str">
        <f t="shared" si="128"/>
        <v>E</v>
      </c>
      <c r="P1355" s="10" t="str">
        <f t="shared" si="129"/>
        <v>50</v>
      </c>
      <c r="Q1355" s="10" t="str">
        <f t="shared" si="130"/>
        <v>ZSUM</v>
      </c>
      <c r="R1355" s="10" t="str">
        <f t="shared" si="131"/>
        <v>42311518</v>
      </c>
    </row>
    <row r="1356" spans="1:18" ht="38.25" hidden="1" x14ac:dyDescent="0.2">
      <c r="A1356" s="21" t="s">
        <v>650</v>
      </c>
      <c r="B1356" s="8" t="s">
        <v>649</v>
      </c>
      <c r="C1356" s="8" t="s">
        <v>40</v>
      </c>
      <c r="D1356" s="8" t="s">
        <v>216</v>
      </c>
      <c r="E1356" s="8" t="s">
        <v>40</v>
      </c>
      <c r="F1356" s="8" t="s">
        <v>39</v>
      </c>
      <c r="G1356" s="8" t="s">
        <v>631</v>
      </c>
      <c r="H1356" s="8" t="s">
        <v>37</v>
      </c>
      <c r="I1356" s="8" t="s">
        <v>53</v>
      </c>
      <c r="J1356" s="8" t="s">
        <v>59</v>
      </c>
      <c r="K1356" s="8" t="s">
        <v>648</v>
      </c>
      <c r="L1356" s="7">
        <v>8094</v>
      </c>
      <c r="M1356" s="10" t="str">
        <f t="shared" si="126"/>
        <v>CMI02140500</v>
      </c>
      <c r="N1356" s="10" t="str">
        <f t="shared" si="127"/>
        <v>SUM231300</v>
      </c>
      <c r="O1356" s="10" t="str">
        <f t="shared" si="128"/>
        <v>E</v>
      </c>
      <c r="P1356" s="10" t="str">
        <f t="shared" si="129"/>
        <v>50</v>
      </c>
      <c r="Q1356" s="10" t="str">
        <f t="shared" si="130"/>
        <v>ZSUM</v>
      </c>
      <c r="R1356" s="10" t="str">
        <f t="shared" si="131"/>
        <v>41111505</v>
      </c>
    </row>
    <row r="1357" spans="1:18" ht="25.5" hidden="1" x14ac:dyDescent="0.2">
      <c r="A1357" s="21" t="s">
        <v>647</v>
      </c>
      <c r="B1357" s="8" t="s">
        <v>646</v>
      </c>
      <c r="C1357" s="8" t="s">
        <v>40</v>
      </c>
      <c r="D1357" s="8" t="s">
        <v>645</v>
      </c>
      <c r="E1357" s="8" t="s">
        <v>40</v>
      </c>
      <c r="F1357" s="8" t="s">
        <v>39</v>
      </c>
      <c r="G1357" s="8" t="s">
        <v>60</v>
      </c>
      <c r="H1357" s="8" t="s">
        <v>37</v>
      </c>
      <c r="I1357" s="8" t="s">
        <v>53</v>
      </c>
      <c r="J1357" s="8" t="s">
        <v>59</v>
      </c>
      <c r="K1357" s="8" t="s">
        <v>644</v>
      </c>
      <c r="L1357" s="7">
        <v>8095</v>
      </c>
      <c r="M1357" s="10" t="str">
        <f t="shared" si="126"/>
        <v>CMI02140400</v>
      </c>
      <c r="N1357" s="10" t="str">
        <f t="shared" si="127"/>
        <v>SUM231200</v>
      </c>
      <c r="O1357" s="10" t="str">
        <f t="shared" si="128"/>
        <v>E</v>
      </c>
      <c r="P1357" s="10" t="str">
        <f t="shared" si="129"/>
        <v>50</v>
      </c>
      <c r="Q1357" s="10" t="str">
        <f t="shared" si="130"/>
        <v>ZSUM</v>
      </c>
      <c r="R1357" s="10" t="str">
        <f t="shared" si="131"/>
        <v>39121006</v>
      </c>
    </row>
    <row r="1358" spans="1:18" ht="25.5" hidden="1" x14ac:dyDescent="0.2">
      <c r="A1358" s="21" t="s">
        <v>643</v>
      </c>
      <c r="B1358" s="8" t="s">
        <v>642</v>
      </c>
      <c r="C1358" s="8" t="s">
        <v>40</v>
      </c>
      <c r="D1358" s="8" t="s">
        <v>78</v>
      </c>
      <c r="E1358" s="8" t="s">
        <v>40</v>
      </c>
      <c r="F1358" s="8" t="s">
        <v>39</v>
      </c>
      <c r="G1358" s="8" t="s">
        <v>60</v>
      </c>
      <c r="H1358" s="8" t="s">
        <v>37</v>
      </c>
      <c r="I1358" s="8" t="s">
        <v>53</v>
      </c>
      <c r="J1358" s="8" t="s">
        <v>59</v>
      </c>
      <c r="K1358" s="8" t="s">
        <v>641</v>
      </c>
      <c r="L1358" s="7">
        <v>8096</v>
      </c>
      <c r="M1358" s="10" t="str">
        <f t="shared" si="126"/>
        <v>CMI02090400</v>
      </c>
      <c r="N1358" s="10" t="str">
        <f t="shared" si="127"/>
        <v>SUM231200</v>
      </c>
      <c r="O1358" s="10" t="str">
        <f t="shared" si="128"/>
        <v>E</v>
      </c>
      <c r="P1358" s="10" t="str">
        <f t="shared" si="129"/>
        <v>50</v>
      </c>
      <c r="Q1358" s="10" t="str">
        <f t="shared" si="130"/>
        <v>ZSUM</v>
      </c>
      <c r="R1358" s="10" t="str">
        <f t="shared" si="131"/>
        <v>45120000</v>
      </c>
    </row>
    <row r="1359" spans="1:18" ht="38.25" hidden="1" x14ac:dyDescent="0.2">
      <c r="A1359" s="21" t="s">
        <v>640</v>
      </c>
      <c r="B1359" s="8" t="s">
        <v>639</v>
      </c>
      <c r="C1359" s="8" t="s">
        <v>40</v>
      </c>
      <c r="D1359" s="8" t="s">
        <v>166</v>
      </c>
      <c r="E1359" s="8" t="s">
        <v>40</v>
      </c>
      <c r="F1359" s="8" t="s">
        <v>39</v>
      </c>
      <c r="G1359" s="8" t="s">
        <v>60</v>
      </c>
      <c r="H1359" s="8" t="s">
        <v>37</v>
      </c>
      <c r="I1359" s="8" t="s">
        <v>53</v>
      </c>
      <c r="J1359" s="8" t="s">
        <v>59</v>
      </c>
      <c r="K1359" s="8" t="s">
        <v>638</v>
      </c>
      <c r="L1359" s="7">
        <v>8097</v>
      </c>
      <c r="M1359" s="10" t="str">
        <f t="shared" si="126"/>
        <v>CMI02170200</v>
      </c>
      <c r="N1359" s="10" t="str">
        <f t="shared" si="127"/>
        <v>SUM231200</v>
      </c>
      <c r="O1359" s="10" t="str">
        <f t="shared" si="128"/>
        <v>E</v>
      </c>
      <c r="P1359" s="10" t="str">
        <f t="shared" si="129"/>
        <v>50</v>
      </c>
      <c r="Q1359" s="10" t="str">
        <f t="shared" si="130"/>
        <v>ZSUM</v>
      </c>
      <c r="R1359" s="10" t="str">
        <f t="shared" si="131"/>
        <v>50181909</v>
      </c>
    </row>
    <row r="1360" spans="1:18" ht="25.5" hidden="1" x14ac:dyDescent="0.2">
      <c r="A1360" s="21" t="s">
        <v>637</v>
      </c>
      <c r="B1360" s="8" t="s">
        <v>636</v>
      </c>
      <c r="C1360" s="8" t="s">
        <v>40</v>
      </c>
      <c r="D1360" s="8" t="s">
        <v>635</v>
      </c>
      <c r="E1360" s="7">
        <v>6</v>
      </c>
      <c r="F1360" s="8" t="s">
        <v>39</v>
      </c>
      <c r="G1360" s="8" t="s">
        <v>60</v>
      </c>
      <c r="H1360" s="8" t="s">
        <v>37</v>
      </c>
      <c r="I1360" s="8" t="s">
        <v>36</v>
      </c>
      <c r="J1360" s="8" t="s">
        <v>59</v>
      </c>
      <c r="K1360" s="8" t="s">
        <v>634</v>
      </c>
      <c r="L1360" s="7">
        <v>8098</v>
      </c>
      <c r="M1360" s="10" t="str">
        <f t="shared" si="126"/>
        <v>CMI04020100</v>
      </c>
      <c r="N1360" s="10" t="str">
        <f t="shared" si="127"/>
        <v>SUM231200</v>
      </c>
      <c r="O1360" s="10" t="str">
        <f t="shared" si="128"/>
        <v>E</v>
      </c>
      <c r="P1360" s="10" t="str">
        <f t="shared" si="129"/>
        <v>10</v>
      </c>
      <c r="Q1360" s="10" t="str">
        <f t="shared" si="130"/>
        <v>ZSUM</v>
      </c>
      <c r="R1360" s="10" t="str">
        <f t="shared" si="131"/>
        <v>50221100</v>
      </c>
    </row>
    <row r="1361" spans="1:18" ht="51" hidden="1" x14ac:dyDescent="0.2">
      <c r="A1361" s="21" t="s">
        <v>633</v>
      </c>
      <c r="B1361" s="8" t="s">
        <v>632</v>
      </c>
      <c r="C1361" s="8" t="s">
        <v>40</v>
      </c>
      <c r="D1361" s="8" t="s">
        <v>141</v>
      </c>
      <c r="E1361" s="8" t="s">
        <v>40</v>
      </c>
      <c r="F1361" s="8" t="s">
        <v>39</v>
      </c>
      <c r="G1361" s="8" t="s">
        <v>631</v>
      </c>
      <c r="H1361" s="8" t="s">
        <v>37</v>
      </c>
      <c r="I1361" s="8" t="s">
        <v>53</v>
      </c>
      <c r="J1361" s="8" t="s">
        <v>59</v>
      </c>
      <c r="K1361" s="8" t="s">
        <v>630</v>
      </c>
      <c r="L1361" s="7">
        <v>8099</v>
      </c>
      <c r="M1361" s="10" t="str">
        <f t="shared" si="126"/>
        <v>CMI02150200</v>
      </c>
      <c r="N1361" s="10" t="str">
        <f t="shared" si="127"/>
        <v>SUM231300</v>
      </c>
      <c r="O1361" s="10" t="str">
        <f t="shared" si="128"/>
        <v>E</v>
      </c>
      <c r="P1361" s="10" t="str">
        <f t="shared" si="129"/>
        <v>50</v>
      </c>
      <c r="Q1361" s="10" t="str">
        <f t="shared" si="130"/>
        <v>ZSUM</v>
      </c>
      <c r="R1361" s="10" t="str">
        <f t="shared" si="131"/>
        <v>42181608</v>
      </c>
    </row>
    <row r="1362" spans="1:18" ht="25.5" hidden="1" x14ac:dyDescent="0.2">
      <c r="A1362" s="21" t="s">
        <v>629</v>
      </c>
      <c r="B1362" s="8" t="s">
        <v>628</v>
      </c>
      <c r="C1362" s="8" t="s">
        <v>40</v>
      </c>
      <c r="D1362" s="8" t="s">
        <v>141</v>
      </c>
      <c r="E1362" s="8" t="s">
        <v>40</v>
      </c>
      <c r="F1362" s="8" t="s">
        <v>39</v>
      </c>
      <c r="G1362" s="8" t="s">
        <v>60</v>
      </c>
      <c r="H1362" s="8" t="s">
        <v>37</v>
      </c>
      <c r="I1362" s="8" t="s">
        <v>53</v>
      </c>
      <c r="J1362" s="8" t="s">
        <v>59</v>
      </c>
      <c r="K1362" s="8" t="s">
        <v>627</v>
      </c>
      <c r="L1362" s="7">
        <v>8100</v>
      </c>
      <c r="M1362" s="10" t="str">
        <f t="shared" si="126"/>
        <v>CMI02150200</v>
      </c>
      <c r="N1362" s="10" t="str">
        <f t="shared" si="127"/>
        <v>SUM231200</v>
      </c>
      <c r="O1362" s="10" t="str">
        <f t="shared" si="128"/>
        <v>E</v>
      </c>
      <c r="P1362" s="10" t="str">
        <f t="shared" si="129"/>
        <v>50</v>
      </c>
      <c r="Q1362" s="10" t="str">
        <f t="shared" si="130"/>
        <v>ZSUM</v>
      </c>
      <c r="R1362" s="10" t="str">
        <f t="shared" si="131"/>
        <v>42291613</v>
      </c>
    </row>
    <row r="1363" spans="1:18" ht="38.25" hidden="1" x14ac:dyDescent="0.2">
      <c r="A1363" s="21" t="s">
        <v>626</v>
      </c>
      <c r="B1363" s="8" t="s">
        <v>625</v>
      </c>
      <c r="C1363" s="8" t="s">
        <v>40</v>
      </c>
      <c r="D1363" s="8" t="s">
        <v>74</v>
      </c>
      <c r="E1363" s="8" t="s">
        <v>40</v>
      </c>
      <c r="F1363" s="8" t="s">
        <v>39</v>
      </c>
      <c r="G1363" s="8" t="s">
        <v>624</v>
      </c>
      <c r="H1363" s="8" t="s">
        <v>37</v>
      </c>
      <c r="I1363" s="8" t="s">
        <v>53</v>
      </c>
      <c r="J1363" s="8" t="s">
        <v>59</v>
      </c>
      <c r="K1363" s="8" t="s">
        <v>623</v>
      </c>
      <c r="L1363" s="7">
        <v>8101</v>
      </c>
      <c r="M1363" s="10" t="str">
        <f t="shared" si="126"/>
        <v>CMI02170300</v>
      </c>
      <c r="N1363" s="10" t="str">
        <f t="shared" si="127"/>
        <v>SUM231400</v>
      </c>
      <c r="O1363" s="10" t="str">
        <f t="shared" si="128"/>
        <v>E</v>
      </c>
      <c r="P1363" s="10" t="str">
        <f t="shared" si="129"/>
        <v>50</v>
      </c>
      <c r="Q1363" s="10" t="str">
        <f t="shared" si="130"/>
        <v>ZSUM</v>
      </c>
      <c r="R1363" s="10" t="str">
        <f t="shared" si="131"/>
        <v>52141704</v>
      </c>
    </row>
    <row r="1364" spans="1:18" ht="38.25" hidden="1" x14ac:dyDescent="0.2">
      <c r="A1364" s="21" t="s">
        <v>622</v>
      </c>
      <c r="B1364" s="8" t="s">
        <v>621</v>
      </c>
      <c r="C1364" s="8" t="s">
        <v>40</v>
      </c>
      <c r="D1364" s="8" t="s">
        <v>86</v>
      </c>
      <c r="E1364" s="8" t="s">
        <v>40</v>
      </c>
      <c r="F1364" s="8" t="s">
        <v>39</v>
      </c>
      <c r="G1364" s="8" t="s">
        <v>140</v>
      </c>
      <c r="H1364" s="8" t="s">
        <v>37</v>
      </c>
      <c r="I1364" s="8" t="s">
        <v>53</v>
      </c>
      <c r="J1364" s="8" t="s">
        <v>59</v>
      </c>
      <c r="K1364" s="8" t="s">
        <v>620</v>
      </c>
      <c r="L1364" s="7">
        <v>8102</v>
      </c>
      <c r="M1364" s="10" t="str">
        <f t="shared" si="126"/>
        <v>CMI02160300</v>
      </c>
      <c r="N1364" s="10" t="str">
        <f t="shared" si="127"/>
        <v>SUM301100</v>
      </c>
      <c r="O1364" s="10" t="str">
        <f t="shared" si="128"/>
        <v>E</v>
      </c>
      <c r="P1364" s="10" t="str">
        <f t="shared" si="129"/>
        <v>50</v>
      </c>
      <c r="Q1364" s="10" t="str">
        <f t="shared" si="130"/>
        <v>ZSUM</v>
      </c>
      <c r="R1364" s="10" t="str">
        <f t="shared" si="131"/>
        <v>60121535</v>
      </c>
    </row>
    <row r="1365" spans="1:18" ht="38.25" hidden="1" x14ac:dyDescent="0.2">
      <c r="A1365" s="21" t="s">
        <v>619</v>
      </c>
      <c r="B1365" s="8" t="s">
        <v>618</v>
      </c>
      <c r="C1365" s="8" t="s">
        <v>40</v>
      </c>
      <c r="D1365" s="8" t="s">
        <v>86</v>
      </c>
      <c r="E1365" s="8" t="s">
        <v>40</v>
      </c>
      <c r="F1365" s="8" t="s">
        <v>39</v>
      </c>
      <c r="G1365" s="8" t="s">
        <v>140</v>
      </c>
      <c r="H1365" s="8" t="s">
        <v>37</v>
      </c>
      <c r="I1365" s="8" t="s">
        <v>53</v>
      </c>
      <c r="J1365" s="8" t="s">
        <v>59</v>
      </c>
      <c r="K1365" s="8" t="s">
        <v>617</v>
      </c>
      <c r="L1365" s="7">
        <v>8103</v>
      </c>
      <c r="M1365" s="10" t="str">
        <f t="shared" si="126"/>
        <v>CMI02160300</v>
      </c>
      <c r="N1365" s="10" t="str">
        <f t="shared" si="127"/>
        <v>SUM301100</v>
      </c>
      <c r="O1365" s="10" t="str">
        <f t="shared" si="128"/>
        <v>E</v>
      </c>
      <c r="P1365" s="10" t="str">
        <f t="shared" si="129"/>
        <v>50</v>
      </c>
      <c r="Q1365" s="10" t="str">
        <f t="shared" si="130"/>
        <v>ZSUM</v>
      </c>
      <c r="R1365" s="10" t="str">
        <f t="shared" si="131"/>
        <v>44121615</v>
      </c>
    </row>
    <row r="1366" spans="1:18" ht="38.25" hidden="1" x14ac:dyDescent="0.2">
      <c r="A1366" s="21" t="s">
        <v>616</v>
      </c>
      <c r="B1366" s="8" t="s">
        <v>615</v>
      </c>
      <c r="C1366" s="8" t="s">
        <v>40</v>
      </c>
      <c r="D1366" s="8" t="s">
        <v>86</v>
      </c>
      <c r="E1366" s="8" t="s">
        <v>40</v>
      </c>
      <c r="F1366" s="8" t="s">
        <v>39</v>
      </c>
      <c r="G1366" s="8" t="s">
        <v>140</v>
      </c>
      <c r="H1366" s="8" t="s">
        <v>37</v>
      </c>
      <c r="I1366" s="8" t="s">
        <v>53</v>
      </c>
      <c r="J1366" s="8" t="s">
        <v>59</v>
      </c>
      <c r="K1366" s="8" t="s">
        <v>614</v>
      </c>
      <c r="L1366" s="7">
        <v>8104</v>
      </c>
      <c r="M1366" s="10" t="str">
        <f t="shared" si="126"/>
        <v>CMI02160300</v>
      </c>
      <c r="N1366" s="10" t="str">
        <f t="shared" si="127"/>
        <v>SUM301100</v>
      </c>
      <c r="O1366" s="10" t="str">
        <f t="shared" si="128"/>
        <v>E</v>
      </c>
      <c r="P1366" s="10" t="str">
        <f t="shared" si="129"/>
        <v>50</v>
      </c>
      <c r="Q1366" s="10" t="str">
        <f t="shared" si="130"/>
        <v>ZSUM</v>
      </c>
      <c r="R1366" s="10" t="str">
        <f t="shared" si="131"/>
        <v>44103103</v>
      </c>
    </row>
    <row r="1367" spans="1:18" ht="25.5" hidden="1" x14ac:dyDescent="0.2">
      <c r="A1367" s="21" t="s">
        <v>613</v>
      </c>
      <c r="B1367" s="8" t="s">
        <v>612</v>
      </c>
      <c r="C1367" s="8" t="s">
        <v>40</v>
      </c>
      <c r="D1367" s="8" t="s">
        <v>95</v>
      </c>
      <c r="E1367" s="8" t="s">
        <v>40</v>
      </c>
      <c r="F1367" s="8" t="s">
        <v>39</v>
      </c>
      <c r="G1367" s="8" t="s">
        <v>140</v>
      </c>
      <c r="H1367" s="8" t="s">
        <v>37</v>
      </c>
      <c r="I1367" s="8" t="s">
        <v>53</v>
      </c>
      <c r="J1367" s="8" t="s">
        <v>59</v>
      </c>
      <c r="K1367" s="8" t="s">
        <v>611</v>
      </c>
      <c r="L1367" s="7">
        <v>8105</v>
      </c>
      <c r="M1367" s="10" t="str">
        <f t="shared" si="126"/>
        <v>CMI02160100</v>
      </c>
      <c r="N1367" s="10" t="str">
        <f t="shared" si="127"/>
        <v>SUM301100</v>
      </c>
      <c r="O1367" s="10" t="str">
        <f t="shared" si="128"/>
        <v>E</v>
      </c>
      <c r="P1367" s="10" t="str">
        <f t="shared" si="129"/>
        <v>50</v>
      </c>
      <c r="Q1367" s="10" t="str">
        <f t="shared" si="130"/>
        <v>ZSUM</v>
      </c>
      <c r="R1367" s="10" t="str">
        <f t="shared" si="131"/>
        <v>44121708</v>
      </c>
    </row>
    <row r="1368" spans="1:18" ht="38.25" hidden="1" x14ac:dyDescent="0.2">
      <c r="A1368" s="21" t="s">
        <v>610</v>
      </c>
      <c r="B1368" s="8" t="s">
        <v>609</v>
      </c>
      <c r="C1368" s="8" t="s">
        <v>40</v>
      </c>
      <c r="D1368" s="8" t="s">
        <v>95</v>
      </c>
      <c r="E1368" s="8" t="s">
        <v>40</v>
      </c>
      <c r="F1368" s="8" t="s">
        <v>39</v>
      </c>
      <c r="G1368" s="8" t="s">
        <v>140</v>
      </c>
      <c r="H1368" s="8" t="s">
        <v>37</v>
      </c>
      <c r="I1368" s="8" t="s">
        <v>53</v>
      </c>
      <c r="J1368" s="8" t="s">
        <v>59</v>
      </c>
      <c r="K1368" s="8" t="s">
        <v>608</v>
      </c>
      <c r="L1368" s="7">
        <v>8106</v>
      </c>
      <c r="M1368" s="10" t="str">
        <f t="shared" si="126"/>
        <v>CMI02160100</v>
      </c>
      <c r="N1368" s="10" t="str">
        <f t="shared" si="127"/>
        <v>SUM301100</v>
      </c>
      <c r="O1368" s="10" t="str">
        <f t="shared" si="128"/>
        <v>E</v>
      </c>
      <c r="P1368" s="10" t="str">
        <f t="shared" si="129"/>
        <v>50</v>
      </c>
      <c r="Q1368" s="10" t="str">
        <f t="shared" si="130"/>
        <v>ZSUM</v>
      </c>
      <c r="R1368" s="10" t="str">
        <f t="shared" si="131"/>
        <v>14111530</v>
      </c>
    </row>
    <row r="1369" spans="1:18" ht="38.25" hidden="1" x14ac:dyDescent="0.2">
      <c r="A1369" s="21" t="s">
        <v>607</v>
      </c>
      <c r="B1369" s="8" t="s">
        <v>606</v>
      </c>
      <c r="C1369" s="8" t="s">
        <v>40</v>
      </c>
      <c r="D1369" s="8" t="s">
        <v>95</v>
      </c>
      <c r="E1369" s="8" t="s">
        <v>40</v>
      </c>
      <c r="F1369" s="8" t="s">
        <v>39</v>
      </c>
      <c r="G1369" s="8" t="s">
        <v>140</v>
      </c>
      <c r="H1369" s="8" t="s">
        <v>37</v>
      </c>
      <c r="I1369" s="8" t="s">
        <v>53</v>
      </c>
      <c r="J1369" s="8" t="s">
        <v>59</v>
      </c>
      <c r="K1369" s="8" t="s">
        <v>605</v>
      </c>
      <c r="L1369" s="7">
        <v>8107</v>
      </c>
      <c r="M1369" s="10" t="str">
        <f t="shared" si="126"/>
        <v>CMI02160100</v>
      </c>
      <c r="N1369" s="10" t="str">
        <f t="shared" si="127"/>
        <v>SUM301100</v>
      </c>
      <c r="O1369" s="10" t="str">
        <f t="shared" si="128"/>
        <v>E</v>
      </c>
      <c r="P1369" s="10" t="str">
        <f t="shared" si="129"/>
        <v>50</v>
      </c>
      <c r="Q1369" s="10" t="str">
        <f t="shared" si="130"/>
        <v>ZSUM</v>
      </c>
      <c r="R1369" s="10" t="str">
        <f t="shared" si="131"/>
        <v>14111531</v>
      </c>
    </row>
    <row r="1370" spans="1:18" ht="25.5" hidden="1" x14ac:dyDescent="0.2">
      <c r="A1370" s="21" t="s">
        <v>604</v>
      </c>
      <c r="B1370" s="8" t="s">
        <v>603</v>
      </c>
      <c r="C1370" s="8" t="s">
        <v>40</v>
      </c>
      <c r="D1370" s="8" t="s">
        <v>95</v>
      </c>
      <c r="E1370" s="8" t="s">
        <v>40</v>
      </c>
      <c r="F1370" s="8" t="s">
        <v>39</v>
      </c>
      <c r="G1370" s="8" t="s">
        <v>140</v>
      </c>
      <c r="H1370" s="8" t="s">
        <v>37</v>
      </c>
      <c r="I1370" s="8" t="s">
        <v>53</v>
      </c>
      <c r="J1370" s="8" t="s">
        <v>59</v>
      </c>
      <c r="K1370" s="8" t="s">
        <v>602</v>
      </c>
      <c r="L1370" s="7">
        <v>8108</v>
      </c>
      <c r="M1370" s="10" t="str">
        <f t="shared" si="126"/>
        <v>CMI02160100</v>
      </c>
      <c r="N1370" s="10" t="str">
        <f t="shared" si="127"/>
        <v>SUM301100</v>
      </c>
      <c r="O1370" s="10" t="str">
        <f t="shared" si="128"/>
        <v>E</v>
      </c>
      <c r="P1370" s="10" t="str">
        <f t="shared" si="129"/>
        <v>50</v>
      </c>
      <c r="Q1370" s="10" t="str">
        <f t="shared" si="130"/>
        <v>ZSUM</v>
      </c>
      <c r="R1370" s="10" t="str">
        <f t="shared" si="131"/>
        <v>44121505</v>
      </c>
    </row>
    <row r="1371" spans="1:18" ht="25.5" hidden="1" x14ac:dyDescent="0.2">
      <c r="A1371" s="21" t="s">
        <v>601</v>
      </c>
      <c r="B1371" s="8" t="s">
        <v>600</v>
      </c>
      <c r="C1371" s="8" t="s">
        <v>40</v>
      </c>
      <c r="D1371" s="8" t="s">
        <v>141</v>
      </c>
      <c r="E1371" s="8" t="s">
        <v>40</v>
      </c>
      <c r="F1371" s="8" t="s">
        <v>39</v>
      </c>
      <c r="G1371" s="8" t="s">
        <v>140</v>
      </c>
      <c r="H1371" s="8" t="s">
        <v>37</v>
      </c>
      <c r="I1371" s="8" t="s">
        <v>53</v>
      </c>
      <c r="J1371" s="8" t="s">
        <v>59</v>
      </c>
      <c r="K1371" s="8" t="s">
        <v>599</v>
      </c>
      <c r="L1371" s="7">
        <v>8109</v>
      </c>
      <c r="M1371" s="10" t="str">
        <f t="shared" si="126"/>
        <v>CMI02150200</v>
      </c>
      <c r="N1371" s="10" t="str">
        <f t="shared" si="127"/>
        <v>SUM301100</v>
      </c>
      <c r="O1371" s="10" t="str">
        <f t="shared" si="128"/>
        <v>E</v>
      </c>
      <c r="P1371" s="10" t="str">
        <f t="shared" si="129"/>
        <v>50</v>
      </c>
      <c r="Q1371" s="10" t="str">
        <f t="shared" si="130"/>
        <v>ZSUM</v>
      </c>
      <c r="R1371" s="10" t="str">
        <f t="shared" si="131"/>
        <v>42141501</v>
      </c>
    </row>
    <row r="1372" spans="1:18" ht="25.5" hidden="1" x14ac:dyDescent="0.2">
      <c r="A1372" s="21" t="s">
        <v>598</v>
      </c>
      <c r="B1372" s="8" t="s">
        <v>597</v>
      </c>
      <c r="C1372" s="8" t="s">
        <v>40</v>
      </c>
      <c r="D1372" s="8" t="s">
        <v>434</v>
      </c>
      <c r="E1372" s="8" t="s">
        <v>40</v>
      </c>
      <c r="F1372" s="8" t="s">
        <v>39</v>
      </c>
      <c r="G1372" s="8" t="s">
        <v>140</v>
      </c>
      <c r="H1372" s="8" t="s">
        <v>37</v>
      </c>
      <c r="I1372" s="8" t="s">
        <v>53</v>
      </c>
      <c r="J1372" s="8" t="s">
        <v>59</v>
      </c>
      <c r="K1372" s="8" t="s">
        <v>596</v>
      </c>
      <c r="L1372" s="7">
        <v>8110</v>
      </c>
      <c r="M1372" s="10" t="str">
        <f t="shared" si="126"/>
        <v>CMI02130300</v>
      </c>
      <c r="N1372" s="10" t="str">
        <f t="shared" si="127"/>
        <v>SUM301100</v>
      </c>
      <c r="O1372" s="10" t="str">
        <f t="shared" si="128"/>
        <v>E</v>
      </c>
      <c r="P1372" s="10" t="str">
        <f t="shared" si="129"/>
        <v>50</v>
      </c>
      <c r="Q1372" s="10" t="str">
        <f t="shared" si="130"/>
        <v>ZSUM</v>
      </c>
      <c r="R1372" s="10" t="str">
        <f t="shared" si="131"/>
        <v>47131816</v>
      </c>
    </row>
    <row r="1373" spans="1:18" ht="25.5" hidden="1" x14ac:dyDescent="0.2">
      <c r="A1373" s="21" t="s">
        <v>595</v>
      </c>
      <c r="B1373" s="8" t="s">
        <v>594</v>
      </c>
      <c r="C1373" s="8" t="s">
        <v>40</v>
      </c>
      <c r="D1373" s="8" t="s">
        <v>434</v>
      </c>
      <c r="E1373" s="8" t="s">
        <v>40</v>
      </c>
      <c r="F1373" s="8" t="s">
        <v>39</v>
      </c>
      <c r="G1373" s="8" t="s">
        <v>140</v>
      </c>
      <c r="H1373" s="8" t="s">
        <v>37</v>
      </c>
      <c r="I1373" s="8" t="s">
        <v>53</v>
      </c>
      <c r="J1373" s="8" t="s">
        <v>59</v>
      </c>
      <c r="K1373" s="8" t="s">
        <v>593</v>
      </c>
      <c r="L1373" s="7">
        <v>8111</v>
      </c>
      <c r="M1373" s="10" t="str">
        <f t="shared" si="126"/>
        <v>CMI02130300</v>
      </c>
      <c r="N1373" s="10" t="str">
        <f t="shared" si="127"/>
        <v>SUM301100</v>
      </c>
      <c r="O1373" s="10" t="str">
        <f t="shared" si="128"/>
        <v>E</v>
      </c>
      <c r="P1373" s="10" t="str">
        <f t="shared" si="129"/>
        <v>50</v>
      </c>
      <c r="Q1373" s="10" t="str">
        <f t="shared" si="130"/>
        <v>ZSUM</v>
      </c>
      <c r="R1373" s="10" t="str">
        <f t="shared" si="131"/>
        <v>47131807</v>
      </c>
    </row>
    <row r="1374" spans="1:18" ht="38.25" hidden="1" x14ac:dyDescent="0.2">
      <c r="A1374" s="21" t="s">
        <v>592</v>
      </c>
      <c r="B1374" s="8" t="s">
        <v>591</v>
      </c>
      <c r="C1374" s="8" t="s">
        <v>40</v>
      </c>
      <c r="D1374" s="8" t="s">
        <v>434</v>
      </c>
      <c r="E1374" s="8" t="s">
        <v>40</v>
      </c>
      <c r="F1374" s="8" t="s">
        <v>39</v>
      </c>
      <c r="G1374" s="8" t="s">
        <v>60</v>
      </c>
      <c r="H1374" s="8" t="s">
        <v>37</v>
      </c>
      <c r="I1374" s="8" t="s">
        <v>53</v>
      </c>
      <c r="J1374" s="8" t="s">
        <v>59</v>
      </c>
      <c r="K1374" s="8" t="s">
        <v>590</v>
      </c>
      <c r="L1374" s="7">
        <v>8112</v>
      </c>
      <c r="M1374" s="10" t="str">
        <f t="shared" si="126"/>
        <v>CMI02130300</v>
      </c>
      <c r="N1374" s="10" t="str">
        <f t="shared" si="127"/>
        <v>SUM231200</v>
      </c>
      <c r="O1374" s="10" t="str">
        <f t="shared" si="128"/>
        <v>E</v>
      </c>
      <c r="P1374" s="10" t="str">
        <f t="shared" si="129"/>
        <v>50</v>
      </c>
      <c r="Q1374" s="10" t="str">
        <f t="shared" si="130"/>
        <v>ZSUM</v>
      </c>
      <c r="R1374" s="10" t="str">
        <f t="shared" si="131"/>
        <v>47131602</v>
      </c>
    </row>
    <row r="1375" spans="1:18" ht="38.25" hidden="1" x14ac:dyDescent="0.2">
      <c r="A1375" s="21" t="s">
        <v>589</v>
      </c>
      <c r="B1375" s="8" t="s">
        <v>588</v>
      </c>
      <c r="C1375" s="8" t="s">
        <v>40</v>
      </c>
      <c r="D1375" s="8" t="s">
        <v>434</v>
      </c>
      <c r="E1375" s="8" t="s">
        <v>40</v>
      </c>
      <c r="F1375" s="8" t="s">
        <v>39</v>
      </c>
      <c r="G1375" s="8" t="s">
        <v>60</v>
      </c>
      <c r="H1375" s="8" t="s">
        <v>37</v>
      </c>
      <c r="I1375" s="8" t="s">
        <v>53</v>
      </c>
      <c r="J1375" s="8" t="s">
        <v>59</v>
      </c>
      <c r="K1375" s="8" t="s">
        <v>587</v>
      </c>
      <c r="L1375" s="7">
        <v>8113</v>
      </c>
      <c r="M1375" s="10" t="str">
        <f t="shared" si="126"/>
        <v>CMI02130300</v>
      </c>
      <c r="N1375" s="10" t="str">
        <f t="shared" si="127"/>
        <v>SUM231200</v>
      </c>
      <c r="O1375" s="10" t="str">
        <f t="shared" si="128"/>
        <v>E</v>
      </c>
      <c r="P1375" s="10" t="str">
        <f t="shared" si="129"/>
        <v>50</v>
      </c>
      <c r="Q1375" s="10" t="str">
        <f t="shared" si="130"/>
        <v>ZSUM</v>
      </c>
      <c r="R1375" s="10" t="str">
        <f t="shared" si="131"/>
        <v>47131824</v>
      </c>
    </row>
    <row r="1376" spans="1:18" ht="38.25" hidden="1" x14ac:dyDescent="0.2">
      <c r="A1376" s="21" t="s">
        <v>586</v>
      </c>
      <c r="B1376" s="8" t="s">
        <v>585</v>
      </c>
      <c r="C1376" s="8" t="s">
        <v>40</v>
      </c>
      <c r="D1376" s="8" t="s">
        <v>86</v>
      </c>
      <c r="E1376" s="8" t="s">
        <v>40</v>
      </c>
      <c r="F1376" s="8" t="s">
        <v>39</v>
      </c>
      <c r="G1376" s="8" t="s">
        <v>60</v>
      </c>
      <c r="H1376" s="8" t="s">
        <v>37</v>
      </c>
      <c r="I1376" s="8" t="s">
        <v>53</v>
      </c>
      <c r="J1376" s="8" t="s">
        <v>59</v>
      </c>
      <c r="K1376" s="8" t="s">
        <v>584</v>
      </c>
      <c r="L1376" s="7">
        <v>8114</v>
      </c>
      <c r="M1376" s="10" t="str">
        <f t="shared" si="126"/>
        <v>CMI02160300</v>
      </c>
      <c r="N1376" s="10" t="str">
        <f t="shared" si="127"/>
        <v>SUM231200</v>
      </c>
      <c r="O1376" s="10" t="str">
        <f t="shared" si="128"/>
        <v>E</v>
      </c>
      <c r="P1376" s="10" t="str">
        <f t="shared" si="129"/>
        <v>50</v>
      </c>
      <c r="Q1376" s="10" t="str">
        <f t="shared" si="130"/>
        <v>ZSUM</v>
      </c>
      <c r="R1376" s="10" t="str">
        <f t="shared" si="131"/>
        <v>60141001</v>
      </c>
    </row>
    <row r="1377" spans="1:18" ht="38.25" hidden="1" x14ac:dyDescent="0.2">
      <c r="A1377" s="21" t="s">
        <v>583</v>
      </c>
      <c r="B1377" s="8" t="s">
        <v>582</v>
      </c>
      <c r="C1377" s="8" t="s">
        <v>40</v>
      </c>
      <c r="D1377" s="8" t="s">
        <v>166</v>
      </c>
      <c r="E1377" s="8" t="s">
        <v>40</v>
      </c>
      <c r="F1377" s="8" t="s">
        <v>39</v>
      </c>
      <c r="G1377" s="8" t="s">
        <v>60</v>
      </c>
      <c r="H1377" s="8" t="s">
        <v>37</v>
      </c>
      <c r="I1377" s="8" t="s">
        <v>53</v>
      </c>
      <c r="J1377" s="8" t="s">
        <v>59</v>
      </c>
      <c r="K1377" s="8" t="s">
        <v>581</v>
      </c>
      <c r="L1377" s="7">
        <v>8115</v>
      </c>
      <c r="M1377" s="10" t="str">
        <f t="shared" si="126"/>
        <v>CMI02170200</v>
      </c>
      <c r="N1377" s="10" t="str">
        <f t="shared" si="127"/>
        <v>SUM231200</v>
      </c>
      <c r="O1377" s="10" t="str">
        <f t="shared" si="128"/>
        <v>E</v>
      </c>
      <c r="P1377" s="10" t="str">
        <f t="shared" si="129"/>
        <v>50</v>
      </c>
      <c r="Q1377" s="10" t="str">
        <f t="shared" si="130"/>
        <v>ZSUM</v>
      </c>
      <c r="R1377" s="10" t="str">
        <f t="shared" si="131"/>
        <v>50202300</v>
      </c>
    </row>
    <row r="1378" spans="1:18" ht="38.25" hidden="1" x14ac:dyDescent="0.2">
      <c r="A1378" s="21" t="s">
        <v>580</v>
      </c>
      <c r="B1378" s="8" t="s">
        <v>579</v>
      </c>
      <c r="C1378" s="8" t="s">
        <v>40</v>
      </c>
      <c r="D1378" s="8" t="s">
        <v>166</v>
      </c>
      <c r="E1378" s="8" t="s">
        <v>40</v>
      </c>
      <c r="F1378" s="8" t="s">
        <v>39</v>
      </c>
      <c r="G1378" s="8" t="s">
        <v>60</v>
      </c>
      <c r="H1378" s="8" t="s">
        <v>37</v>
      </c>
      <c r="I1378" s="8" t="s">
        <v>53</v>
      </c>
      <c r="J1378" s="8" t="s">
        <v>59</v>
      </c>
      <c r="K1378" s="8" t="s">
        <v>578</v>
      </c>
      <c r="L1378" s="7">
        <v>8116</v>
      </c>
      <c r="M1378" s="10" t="str">
        <f t="shared" si="126"/>
        <v>CMI02170200</v>
      </c>
      <c r="N1378" s="10" t="str">
        <f t="shared" si="127"/>
        <v>SUM231200</v>
      </c>
      <c r="O1378" s="10" t="str">
        <f t="shared" si="128"/>
        <v>E</v>
      </c>
      <c r="P1378" s="10" t="str">
        <f t="shared" si="129"/>
        <v>50</v>
      </c>
      <c r="Q1378" s="10" t="str">
        <f t="shared" si="130"/>
        <v>ZSUM</v>
      </c>
      <c r="R1378" s="10" t="str">
        <f t="shared" si="131"/>
        <v>50191507</v>
      </c>
    </row>
    <row r="1379" spans="1:18" ht="38.25" hidden="1" x14ac:dyDescent="0.2">
      <c r="A1379" s="21" t="s">
        <v>577</v>
      </c>
      <c r="B1379" s="8" t="s">
        <v>576</v>
      </c>
      <c r="C1379" s="8" t="s">
        <v>40</v>
      </c>
      <c r="D1379" s="8" t="s">
        <v>166</v>
      </c>
      <c r="E1379" s="8" t="s">
        <v>40</v>
      </c>
      <c r="F1379" s="8" t="s">
        <v>39</v>
      </c>
      <c r="G1379" s="8" t="s">
        <v>60</v>
      </c>
      <c r="H1379" s="8" t="s">
        <v>37</v>
      </c>
      <c r="I1379" s="8" t="s">
        <v>53</v>
      </c>
      <c r="J1379" s="8" t="s">
        <v>59</v>
      </c>
      <c r="K1379" s="8" t="s">
        <v>575</v>
      </c>
      <c r="L1379" s="7">
        <v>8117</v>
      </c>
      <c r="M1379" s="10" t="str">
        <f t="shared" si="126"/>
        <v>CMI02170200</v>
      </c>
      <c r="N1379" s="10" t="str">
        <f t="shared" si="127"/>
        <v>SUM231200</v>
      </c>
      <c r="O1379" s="10" t="str">
        <f t="shared" si="128"/>
        <v>E</v>
      </c>
      <c r="P1379" s="10" t="str">
        <f t="shared" si="129"/>
        <v>50</v>
      </c>
      <c r="Q1379" s="10" t="str">
        <f t="shared" si="130"/>
        <v>ZSUM</v>
      </c>
      <c r="R1379" s="10" t="str">
        <f t="shared" si="131"/>
        <v>50192109</v>
      </c>
    </row>
    <row r="1380" spans="1:18" ht="38.25" hidden="1" x14ac:dyDescent="0.2">
      <c r="A1380" s="21" t="s">
        <v>574</v>
      </c>
      <c r="B1380" s="8" t="s">
        <v>573</v>
      </c>
      <c r="C1380" s="8" t="s">
        <v>40</v>
      </c>
      <c r="D1380" s="8" t="s">
        <v>166</v>
      </c>
      <c r="E1380" s="8" t="s">
        <v>40</v>
      </c>
      <c r="F1380" s="8" t="s">
        <v>39</v>
      </c>
      <c r="G1380" s="8" t="s">
        <v>60</v>
      </c>
      <c r="H1380" s="8" t="s">
        <v>37</v>
      </c>
      <c r="I1380" s="8" t="s">
        <v>53</v>
      </c>
      <c r="J1380" s="8" t="s">
        <v>59</v>
      </c>
      <c r="K1380" s="8" t="s">
        <v>572</v>
      </c>
      <c r="L1380" s="7">
        <v>8118</v>
      </c>
      <c r="M1380" s="10" t="str">
        <f t="shared" si="126"/>
        <v>CMI02170200</v>
      </c>
      <c r="N1380" s="10" t="str">
        <f t="shared" si="127"/>
        <v>SUM231200</v>
      </c>
      <c r="O1380" s="10" t="str">
        <f t="shared" si="128"/>
        <v>E</v>
      </c>
      <c r="P1380" s="10" t="str">
        <f t="shared" si="129"/>
        <v>50</v>
      </c>
      <c r="Q1380" s="10" t="str">
        <f t="shared" si="130"/>
        <v>ZSUM</v>
      </c>
      <c r="R1380" s="10" t="str">
        <f t="shared" si="131"/>
        <v>50201711</v>
      </c>
    </row>
    <row r="1381" spans="1:18" ht="38.25" hidden="1" x14ac:dyDescent="0.2">
      <c r="A1381" s="21" t="s">
        <v>571</v>
      </c>
      <c r="B1381" s="8" t="s">
        <v>570</v>
      </c>
      <c r="C1381" s="8" t="s">
        <v>40</v>
      </c>
      <c r="D1381" s="8" t="s">
        <v>166</v>
      </c>
      <c r="E1381" s="8" t="s">
        <v>40</v>
      </c>
      <c r="F1381" s="8" t="s">
        <v>39</v>
      </c>
      <c r="G1381" s="8" t="s">
        <v>60</v>
      </c>
      <c r="H1381" s="8" t="s">
        <v>37</v>
      </c>
      <c r="I1381" s="8" t="s">
        <v>53</v>
      </c>
      <c r="J1381" s="8" t="s">
        <v>59</v>
      </c>
      <c r="K1381" s="8" t="s">
        <v>569</v>
      </c>
      <c r="L1381" s="7">
        <v>8119</v>
      </c>
      <c r="M1381" s="10" t="str">
        <f t="shared" si="126"/>
        <v>CMI02170200</v>
      </c>
      <c r="N1381" s="10" t="str">
        <f t="shared" si="127"/>
        <v>SUM231200</v>
      </c>
      <c r="O1381" s="10" t="str">
        <f t="shared" si="128"/>
        <v>E</v>
      </c>
      <c r="P1381" s="10" t="str">
        <f t="shared" si="129"/>
        <v>50</v>
      </c>
      <c r="Q1381" s="10" t="str">
        <f t="shared" si="130"/>
        <v>ZSUM</v>
      </c>
      <c r="R1381" s="10" t="str">
        <f t="shared" si="131"/>
        <v>50200000</v>
      </c>
    </row>
    <row r="1382" spans="1:18" ht="38.25" hidden="1" x14ac:dyDescent="0.2">
      <c r="A1382" s="21" t="s">
        <v>568</v>
      </c>
      <c r="B1382" s="8" t="s">
        <v>567</v>
      </c>
      <c r="C1382" s="8" t="s">
        <v>40</v>
      </c>
      <c r="D1382" s="8" t="s">
        <v>127</v>
      </c>
      <c r="E1382" s="8" t="s">
        <v>40</v>
      </c>
      <c r="F1382" s="8" t="s">
        <v>39</v>
      </c>
      <c r="G1382" s="8" t="s">
        <v>140</v>
      </c>
      <c r="H1382" s="8" t="s">
        <v>37</v>
      </c>
      <c r="I1382" s="8" t="s">
        <v>53</v>
      </c>
      <c r="J1382" s="8" t="s">
        <v>59</v>
      </c>
      <c r="K1382" s="8" t="s">
        <v>566</v>
      </c>
      <c r="L1382" s="7">
        <v>8120</v>
      </c>
      <c r="M1382" s="10" t="str">
        <f t="shared" si="126"/>
        <v>CMI02150100</v>
      </c>
      <c r="N1382" s="10" t="str">
        <f t="shared" si="127"/>
        <v>SUM301100</v>
      </c>
      <c r="O1382" s="10" t="str">
        <f t="shared" si="128"/>
        <v>E</v>
      </c>
      <c r="P1382" s="10" t="str">
        <f t="shared" si="129"/>
        <v>50</v>
      </c>
      <c r="Q1382" s="10" t="str">
        <f t="shared" si="130"/>
        <v>ZSUM</v>
      </c>
      <c r="R1382" s="10" t="str">
        <f t="shared" si="131"/>
        <v>51171707</v>
      </c>
    </row>
    <row r="1383" spans="1:18" ht="38.25" hidden="1" x14ac:dyDescent="0.2">
      <c r="A1383" s="21" t="s">
        <v>565</v>
      </c>
      <c r="B1383" s="8" t="s">
        <v>564</v>
      </c>
      <c r="C1383" s="8" t="s">
        <v>40</v>
      </c>
      <c r="D1383" s="8" t="s">
        <v>127</v>
      </c>
      <c r="E1383" s="8" t="s">
        <v>40</v>
      </c>
      <c r="F1383" s="8" t="s">
        <v>39</v>
      </c>
      <c r="G1383" s="8" t="s">
        <v>140</v>
      </c>
      <c r="H1383" s="8" t="s">
        <v>37</v>
      </c>
      <c r="I1383" s="8" t="s">
        <v>53</v>
      </c>
      <c r="J1383" s="8" t="s">
        <v>59</v>
      </c>
      <c r="K1383" s="8" t="s">
        <v>563</v>
      </c>
      <c r="L1383" s="7">
        <v>8121</v>
      </c>
      <c r="M1383" s="10" t="str">
        <f t="shared" si="126"/>
        <v>CMI02150100</v>
      </c>
      <c r="N1383" s="10" t="str">
        <f t="shared" si="127"/>
        <v>SUM301100</v>
      </c>
      <c r="O1383" s="10" t="str">
        <f t="shared" si="128"/>
        <v>E</v>
      </c>
      <c r="P1383" s="10" t="str">
        <f t="shared" si="129"/>
        <v>50</v>
      </c>
      <c r="Q1383" s="10" t="str">
        <f t="shared" si="130"/>
        <v>ZSUM</v>
      </c>
      <c r="R1383" s="10" t="str">
        <f t="shared" si="131"/>
        <v>51171504</v>
      </c>
    </row>
    <row r="1384" spans="1:18" ht="25.5" hidden="1" x14ac:dyDescent="0.2">
      <c r="A1384" s="21" t="s">
        <v>562</v>
      </c>
      <c r="B1384" s="8" t="s">
        <v>561</v>
      </c>
      <c r="C1384" s="8" t="s">
        <v>40</v>
      </c>
      <c r="D1384" s="8" t="s">
        <v>127</v>
      </c>
      <c r="E1384" s="8" t="s">
        <v>40</v>
      </c>
      <c r="F1384" s="8" t="s">
        <v>39</v>
      </c>
      <c r="G1384" s="8" t="s">
        <v>140</v>
      </c>
      <c r="H1384" s="8" t="s">
        <v>37</v>
      </c>
      <c r="I1384" s="8" t="s">
        <v>53</v>
      </c>
      <c r="J1384" s="8" t="s">
        <v>59</v>
      </c>
      <c r="K1384" s="8" t="s">
        <v>126</v>
      </c>
      <c r="L1384" s="7">
        <v>8122</v>
      </c>
      <c r="M1384" s="10" t="str">
        <f t="shared" si="126"/>
        <v>CMI02150100</v>
      </c>
      <c r="N1384" s="10" t="str">
        <f t="shared" si="127"/>
        <v>SUM301100</v>
      </c>
      <c r="O1384" s="10" t="str">
        <f t="shared" si="128"/>
        <v>E</v>
      </c>
      <c r="P1384" s="10" t="str">
        <f t="shared" si="129"/>
        <v>50</v>
      </c>
      <c r="Q1384" s="10" t="str">
        <f t="shared" si="130"/>
        <v>ZSUM</v>
      </c>
      <c r="R1384" s="10" t="str">
        <f t="shared" si="131"/>
        <v>51142001</v>
      </c>
    </row>
    <row r="1385" spans="1:18" ht="25.5" hidden="1" x14ac:dyDescent="0.2">
      <c r="A1385" s="21" t="s">
        <v>560</v>
      </c>
      <c r="B1385" s="8" t="s">
        <v>559</v>
      </c>
      <c r="C1385" s="8" t="s">
        <v>40</v>
      </c>
      <c r="D1385" s="8" t="s">
        <v>127</v>
      </c>
      <c r="E1385" s="8" t="s">
        <v>40</v>
      </c>
      <c r="F1385" s="8" t="s">
        <v>39</v>
      </c>
      <c r="G1385" s="8" t="s">
        <v>85</v>
      </c>
      <c r="H1385" s="8" t="s">
        <v>37</v>
      </c>
      <c r="I1385" s="8" t="s">
        <v>53</v>
      </c>
      <c r="J1385" s="8" t="s">
        <v>59</v>
      </c>
      <c r="K1385" s="8" t="s">
        <v>558</v>
      </c>
      <c r="L1385" s="7">
        <v>8123</v>
      </c>
      <c r="M1385" s="10" t="str">
        <f t="shared" si="126"/>
        <v>CMI02150100</v>
      </c>
      <c r="N1385" s="10" t="str">
        <f t="shared" si="127"/>
        <v>SUM231500</v>
      </c>
      <c r="O1385" s="10" t="str">
        <f t="shared" si="128"/>
        <v>E</v>
      </c>
      <c r="P1385" s="10" t="str">
        <f t="shared" si="129"/>
        <v>50</v>
      </c>
      <c r="Q1385" s="10" t="str">
        <f t="shared" si="130"/>
        <v>ZSUM</v>
      </c>
      <c r="R1385" s="10" t="str">
        <f t="shared" si="131"/>
        <v>51142106</v>
      </c>
    </row>
    <row r="1386" spans="1:18" ht="25.5" hidden="1" x14ac:dyDescent="0.2">
      <c r="A1386" s="21" t="s">
        <v>557</v>
      </c>
      <c r="B1386" s="8" t="s">
        <v>556</v>
      </c>
      <c r="C1386" s="8" t="s">
        <v>40</v>
      </c>
      <c r="D1386" s="8" t="s">
        <v>434</v>
      </c>
      <c r="E1386" s="8" t="s">
        <v>40</v>
      </c>
      <c r="F1386" s="8" t="s">
        <v>39</v>
      </c>
      <c r="G1386" s="8" t="s">
        <v>140</v>
      </c>
      <c r="H1386" s="8" t="s">
        <v>37</v>
      </c>
      <c r="I1386" s="8" t="s">
        <v>53</v>
      </c>
      <c r="J1386" s="8" t="s">
        <v>59</v>
      </c>
      <c r="K1386" s="8" t="s">
        <v>555</v>
      </c>
      <c r="L1386" s="7">
        <v>8124</v>
      </c>
      <c r="M1386" s="10" t="str">
        <f t="shared" si="126"/>
        <v>CMI02130300</v>
      </c>
      <c r="N1386" s="10" t="str">
        <f t="shared" si="127"/>
        <v>SUM301100</v>
      </c>
      <c r="O1386" s="10" t="str">
        <f t="shared" si="128"/>
        <v>E</v>
      </c>
      <c r="P1386" s="10" t="str">
        <f t="shared" si="129"/>
        <v>50</v>
      </c>
      <c r="Q1386" s="10" t="str">
        <f t="shared" si="130"/>
        <v>ZSUM</v>
      </c>
      <c r="R1386" s="10" t="str">
        <f t="shared" si="131"/>
        <v>47131802</v>
      </c>
    </row>
    <row r="1387" spans="1:18" ht="38.25" hidden="1" x14ac:dyDescent="0.2">
      <c r="A1387" s="21" t="s">
        <v>554</v>
      </c>
      <c r="B1387" s="8" t="s">
        <v>553</v>
      </c>
      <c r="C1387" s="8" t="s">
        <v>40</v>
      </c>
      <c r="D1387" s="8" t="s">
        <v>86</v>
      </c>
      <c r="E1387" s="8" t="s">
        <v>40</v>
      </c>
      <c r="F1387" s="8" t="s">
        <v>39</v>
      </c>
      <c r="G1387" s="8" t="s">
        <v>140</v>
      </c>
      <c r="H1387" s="8" t="s">
        <v>37</v>
      </c>
      <c r="I1387" s="8" t="s">
        <v>53</v>
      </c>
      <c r="J1387" s="8" t="s">
        <v>59</v>
      </c>
      <c r="K1387" s="8" t="s">
        <v>552</v>
      </c>
      <c r="L1387" s="7">
        <v>8125</v>
      </c>
      <c r="M1387" s="10" t="str">
        <f t="shared" si="126"/>
        <v>CMI02160300</v>
      </c>
      <c r="N1387" s="10" t="str">
        <f t="shared" si="127"/>
        <v>SUM301100</v>
      </c>
      <c r="O1387" s="10" t="str">
        <f t="shared" si="128"/>
        <v>E</v>
      </c>
      <c r="P1387" s="10" t="str">
        <f t="shared" si="129"/>
        <v>50</v>
      </c>
      <c r="Q1387" s="10" t="str">
        <f t="shared" si="130"/>
        <v>ZSUM</v>
      </c>
      <c r="R1387" s="10" t="str">
        <f t="shared" si="131"/>
        <v>44121905</v>
      </c>
    </row>
    <row r="1388" spans="1:18" ht="25.5" hidden="1" x14ac:dyDescent="0.2">
      <c r="A1388" s="21" t="s">
        <v>551</v>
      </c>
      <c r="B1388" s="8" t="s">
        <v>550</v>
      </c>
      <c r="C1388" s="8" t="s">
        <v>40</v>
      </c>
      <c r="D1388" s="8" t="s">
        <v>95</v>
      </c>
      <c r="E1388" s="8" t="s">
        <v>40</v>
      </c>
      <c r="F1388" s="8" t="s">
        <v>39</v>
      </c>
      <c r="G1388" s="8" t="s">
        <v>85</v>
      </c>
      <c r="H1388" s="8" t="s">
        <v>37</v>
      </c>
      <c r="I1388" s="8" t="s">
        <v>53</v>
      </c>
      <c r="J1388" s="8" t="s">
        <v>59</v>
      </c>
      <c r="K1388" s="8" t="s">
        <v>549</v>
      </c>
      <c r="L1388" s="7">
        <v>8126</v>
      </c>
      <c r="M1388" s="10" t="str">
        <f t="shared" si="126"/>
        <v>CMI02160100</v>
      </c>
      <c r="N1388" s="10" t="str">
        <f t="shared" si="127"/>
        <v>SUM231500</v>
      </c>
      <c r="O1388" s="10" t="str">
        <f t="shared" si="128"/>
        <v>E</v>
      </c>
      <c r="P1388" s="10" t="str">
        <f t="shared" si="129"/>
        <v>50</v>
      </c>
      <c r="Q1388" s="10" t="str">
        <f t="shared" si="130"/>
        <v>ZSUM</v>
      </c>
      <c r="R1388" s="10" t="str">
        <f t="shared" si="131"/>
        <v>14111514</v>
      </c>
    </row>
    <row r="1389" spans="1:18" ht="25.5" hidden="1" x14ac:dyDescent="0.2">
      <c r="A1389" s="21" t="s">
        <v>548</v>
      </c>
      <c r="B1389" s="8" t="s">
        <v>547</v>
      </c>
      <c r="C1389" s="8" t="s">
        <v>40</v>
      </c>
      <c r="D1389" s="8" t="s">
        <v>127</v>
      </c>
      <c r="E1389" s="8" t="s">
        <v>40</v>
      </c>
      <c r="F1389" s="8" t="s">
        <v>39</v>
      </c>
      <c r="G1389" s="8" t="s">
        <v>140</v>
      </c>
      <c r="H1389" s="8" t="s">
        <v>37</v>
      </c>
      <c r="I1389" s="8" t="s">
        <v>53</v>
      </c>
      <c r="J1389" s="8" t="s">
        <v>59</v>
      </c>
      <c r="K1389" s="8" t="s">
        <v>546</v>
      </c>
      <c r="L1389" s="7">
        <v>8127</v>
      </c>
      <c r="M1389" s="10" t="str">
        <f t="shared" si="126"/>
        <v>CMI02150100</v>
      </c>
      <c r="N1389" s="10" t="str">
        <f t="shared" si="127"/>
        <v>SUM301100</v>
      </c>
      <c r="O1389" s="10" t="str">
        <f t="shared" si="128"/>
        <v>E</v>
      </c>
      <c r="P1389" s="10" t="str">
        <f t="shared" si="129"/>
        <v>50</v>
      </c>
      <c r="Q1389" s="10" t="str">
        <f t="shared" si="130"/>
        <v>ZSUM</v>
      </c>
      <c r="R1389" s="10" t="str">
        <f t="shared" si="131"/>
        <v>50201714</v>
      </c>
    </row>
    <row r="1390" spans="1:18" ht="25.5" hidden="1" x14ac:dyDescent="0.2">
      <c r="A1390" s="21" t="s">
        <v>545</v>
      </c>
      <c r="B1390" s="8" t="s">
        <v>544</v>
      </c>
      <c r="C1390" s="8" t="s">
        <v>40</v>
      </c>
      <c r="D1390" s="8" t="s">
        <v>74</v>
      </c>
      <c r="E1390" s="8" t="s">
        <v>40</v>
      </c>
      <c r="F1390" s="8" t="s">
        <v>39</v>
      </c>
      <c r="G1390" s="8" t="s">
        <v>140</v>
      </c>
      <c r="H1390" s="8" t="s">
        <v>37</v>
      </c>
      <c r="I1390" s="8" t="s">
        <v>53</v>
      </c>
      <c r="J1390" s="8" t="s">
        <v>59</v>
      </c>
      <c r="K1390" s="8" t="s">
        <v>175</v>
      </c>
      <c r="L1390" s="7">
        <v>8128</v>
      </c>
      <c r="M1390" s="10" t="str">
        <f t="shared" si="126"/>
        <v>CMI02170300</v>
      </c>
      <c r="N1390" s="10" t="str">
        <f t="shared" si="127"/>
        <v>SUM301100</v>
      </c>
      <c r="O1390" s="10" t="str">
        <f t="shared" si="128"/>
        <v>E</v>
      </c>
      <c r="P1390" s="10" t="str">
        <f t="shared" si="129"/>
        <v>50</v>
      </c>
      <c r="Q1390" s="10" t="str">
        <f t="shared" si="130"/>
        <v>ZSUM</v>
      </c>
      <c r="R1390" s="10" t="str">
        <f t="shared" si="131"/>
        <v>50101717</v>
      </c>
    </row>
    <row r="1391" spans="1:18" ht="38.25" hidden="1" x14ac:dyDescent="0.2">
      <c r="A1391" s="21" t="s">
        <v>543</v>
      </c>
      <c r="B1391" s="8" t="s">
        <v>542</v>
      </c>
      <c r="C1391" s="8" t="s">
        <v>40</v>
      </c>
      <c r="D1391" s="8" t="s">
        <v>74</v>
      </c>
      <c r="E1391" s="8" t="s">
        <v>40</v>
      </c>
      <c r="F1391" s="8" t="s">
        <v>39</v>
      </c>
      <c r="G1391" s="8" t="s">
        <v>140</v>
      </c>
      <c r="H1391" s="8" t="s">
        <v>37</v>
      </c>
      <c r="I1391" s="8" t="s">
        <v>53</v>
      </c>
      <c r="J1391" s="8" t="s">
        <v>59</v>
      </c>
      <c r="K1391" s="8" t="s">
        <v>541</v>
      </c>
      <c r="L1391" s="7">
        <v>8129</v>
      </c>
      <c r="M1391" s="10" t="str">
        <f t="shared" si="126"/>
        <v>CMI02170300</v>
      </c>
      <c r="N1391" s="10" t="str">
        <f t="shared" si="127"/>
        <v>SUM301100</v>
      </c>
      <c r="O1391" s="10" t="str">
        <f t="shared" si="128"/>
        <v>E</v>
      </c>
      <c r="P1391" s="10" t="str">
        <f t="shared" si="129"/>
        <v>50</v>
      </c>
      <c r="Q1391" s="10" t="str">
        <f t="shared" si="130"/>
        <v>ZSUM</v>
      </c>
      <c r="R1391" s="10" t="str">
        <f t="shared" si="131"/>
        <v>50161511</v>
      </c>
    </row>
    <row r="1392" spans="1:18" ht="25.5" hidden="1" x14ac:dyDescent="0.2">
      <c r="A1392" s="21" t="s">
        <v>540</v>
      </c>
      <c r="B1392" s="8" t="s">
        <v>539</v>
      </c>
      <c r="C1392" s="8" t="s">
        <v>40</v>
      </c>
      <c r="D1392" s="8" t="s">
        <v>74</v>
      </c>
      <c r="E1392" s="8" t="s">
        <v>40</v>
      </c>
      <c r="F1392" s="8" t="s">
        <v>39</v>
      </c>
      <c r="G1392" s="8" t="s">
        <v>85</v>
      </c>
      <c r="H1392" s="8" t="s">
        <v>37</v>
      </c>
      <c r="I1392" s="8" t="s">
        <v>53</v>
      </c>
      <c r="J1392" s="8" t="s">
        <v>59</v>
      </c>
      <c r="K1392" s="8" t="s">
        <v>538</v>
      </c>
      <c r="L1392" s="7">
        <v>8130</v>
      </c>
      <c r="M1392" s="10" t="str">
        <f t="shared" si="126"/>
        <v>CMI02170300</v>
      </c>
      <c r="N1392" s="10" t="str">
        <f t="shared" si="127"/>
        <v>SUM231500</v>
      </c>
      <c r="O1392" s="10" t="str">
        <f t="shared" si="128"/>
        <v>E</v>
      </c>
      <c r="P1392" s="10" t="str">
        <f t="shared" si="129"/>
        <v>50</v>
      </c>
      <c r="Q1392" s="10" t="str">
        <f t="shared" si="130"/>
        <v>ZSUM</v>
      </c>
      <c r="R1392" s="10" t="str">
        <f t="shared" si="131"/>
        <v>50161510</v>
      </c>
    </row>
    <row r="1393" spans="1:18" ht="38.25" hidden="1" x14ac:dyDescent="0.2">
      <c r="A1393" s="21" t="s">
        <v>537</v>
      </c>
      <c r="B1393" s="8" t="s">
        <v>536</v>
      </c>
      <c r="C1393" s="8" t="s">
        <v>40</v>
      </c>
      <c r="D1393" s="8" t="s">
        <v>127</v>
      </c>
      <c r="E1393" s="8" t="s">
        <v>40</v>
      </c>
      <c r="F1393" s="8" t="s">
        <v>39</v>
      </c>
      <c r="G1393" s="8" t="s">
        <v>140</v>
      </c>
      <c r="H1393" s="8" t="s">
        <v>37</v>
      </c>
      <c r="I1393" s="8" t="s">
        <v>53</v>
      </c>
      <c r="J1393" s="8" t="s">
        <v>59</v>
      </c>
      <c r="K1393" s="8" t="s">
        <v>535</v>
      </c>
      <c r="L1393" s="7">
        <v>8131</v>
      </c>
      <c r="M1393" s="10" t="str">
        <f t="shared" si="126"/>
        <v>CMI02150100</v>
      </c>
      <c r="N1393" s="10" t="str">
        <f t="shared" si="127"/>
        <v>SUM301100</v>
      </c>
      <c r="O1393" s="10" t="str">
        <f t="shared" si="128"/>
        <v>E</v>
      </c>
      <c r="P1393" s="10" t="str">
        <f t="shared" si="129"/>
        <v>50</v>
      </c>
      <c r="Q1393" s="10" t="str">
        <f t="shared" si="130"/>
        <v>ZSUM</v>
      </c>
      <c r="R1393" s="10" t="str">
        <f t="shared" si="131"/>
        <v>51102709</v>
      </c>
    </row>
    <row r="1394" spans="1:18" ht="25.5" hidden="1" x14ac:dyDescent="0.2">
      <c r="A1394" s="21" t="s">
        <v>534</v>
      </c>
      <c r="B1394" s="8" t="s">
        <v>533</v>
      </c>
      <c r="C1394" s="8" t="s">
        <v>40</v>
      </c>
      <c r="D1394" s="8" t="s">
        <v>434</v>
      </c>
      <c r="E1394" s="8" t="s">
        <v>40</v>
      </c>
      <c r="F1394" s="8" t="s">
        <v>39</v>
      </c>
      <c r="G1394" s="8" t="s">
        <v>140</v>
      </c>
      <c r="H1394" s="8" t="s">
        <v>37</v>
      </c>
      <c r="I1394" s="8" t="s">
        <v>53</v>
      </c>
      <c r="J1394" s="8" t="s">
        <v>59</v>
      </c>
      <c r="K1394" s="8" t="s">
        <v>532</v>
      </c>
      <c r="L1394" s="7">
        <v>8132</v>
      </c>
      <c r="M1394" s="10" t="str">
        <f t="shared" si="126"/>
        <v>CMI02130300</v>
      </c>
      <c r="N1394" s="10" t="str">
        <f t="shared" si="127"/>
        <v>SUM301100</v>
      </c>
      <c r="O1394" s="10" t="str">
        <f t="shared" si="128"/>
        <v>E</v>
      </c>
      <c r="P1394" s="10" t="str">
        <f t="shared" si="129"/>
        <v>50</v>
      </c>
      <c r="Q1394" s="10" t="str">
        <f t="shared" si="130"/>
        <v>ZSUM</v>
      </c>
      <c r="R1394" s="10" t="str">
        <f t="shared" si="131"/>
        <v>47131609</v>
      </c>
    </row>
    <row r="1395" spans="1:18" ht="25.5" hidden="1" x14ac:dyDescent="0.2">
      <c r="A1395" s="21" t="s">
        <v>531</v>
      </c>
      <c r="B1395" s="8" t="s">
        <v>530</v>
      </c>
      <c r="C1395" s="8" t="s">
        <v>40</v>
      </c>
      <c r="D1395" s="8" t="s">
        <v>74</v>
      </c>
      <c r="E1395" s="8" t="s">
        <v>40</v>
      </c>
      <c r="F1395" s="8" t="s">
        <v>39</v>
      </c>
      <c r="G1395" s="8" t="s">
        <v>140</v>
      </c>
      <c r="H1395" s="8" t="s">
        <v>37</v>
      </c>
      <c r="I1395" s="8" t="s">
        <v>53</v>
      </c>
      <c r="J1395" s="8" t="s">
        <v>59</v>
      </c>
      <c r="K1395" s="8" t="s">
        <v>529</v>
      </c>
      <c r="L1395" s="7">
        <v>8133</v>
      </c>
      <c r="M1395" s="10" t="str">
        <f t="shared" si="126"/>
        <v>CMI02170300</v>
      </c>
      <c r="N1395" s="10" t="str">
        <f t="shared" si="127"/>
        <v>SUM301100</v>
      </c>
      <c r="O1395" s="10" t="str">
        <f t="shared" si="128"/>
        <v>E</v>
      </c>
      <c r="P1395" s="10" t="str">
        <f t="shared" si="129"/>
        <v>50</v>
      </c>
      <c r="Q1395" s="10" t="str">
        <f t="shared" si="130"/>
        <v>ZSUM</v>
      </c>
      <c r="R1395" s="10" t="str">
        <f t="shared" si="131"/>
        <v>52131501</v>
      </c>
    </row>
    <row r="1396" spans="1:18" ht="25.5" hidden="1" x14ac:dyDescent="0.2">
      <c r="A1396" s="21" t="s">
        <v>528</v>
      </c>
      <c r="B1396" s="8" t="s">
        <v>527</v>
      </c>
      <c r="C1396" s="8" t="s">
        <v>40</v>
      </c>
      <c r="D1396" s="8" t="s">
        <v>95</v>
      </c>
      <c r="E1396" s="8" t="s">
        <v>40</v>
      </c>
      <c r="F1396" s="8" t="s">
        <v>39</v>
      </c>
      <c r="G1396" s="8" t="s">
        <v>85</v>
      </c>
      <c r="H1396" s="8" t="s">
        <v>37</v>
      </c>
      <c r="I1396" s="8" t="s">
        <v>53</v>
      </c>
      <c r="J1396" s="8" t="s">
        <v>59</v>
      </c>
      <c r="K1396" s="8" t="s">
        <v>526</v>
      </c>
      <c r="L1396" s="7">
        <v>8134</v>
      </c>
      <c r="M1396" s="10" t="str">
        <f t="shared" si="126"/>
        <v>CMI02160100</v>
      </c>
      <c r="N1396" s="10" t="str">
        <f t="shared" si="127"/>
        <v>SUM231500</v>
      </c>
      <c r="O1396" s="10" t="str">
        <f t="shared" si="128"/>
        <v>E</v>
      </c>
      <c r="P1396" s="10" t="str">
        <f t="shared" si="129"/>
        <v>50</v>
      </c>
      <c r="Q1396" s="10" t="str">
        <f t="shared" si="130"/>
        <v>ZSUM</v>
      </c>
      <c r="R1396" s="10" t="str">
        <f t="shared" si="131"/>
        <v>44111907</v>
      </c>
    </row>
    <row r="1397" spans="1:18" ht="38.25" hidden="1" x14ac:dyDescent="0.2">
      <c r="A1397" s="21" t="s">
        <v>525</v>
      </c>
      <c r="B1397" s="8" t="s">
        <v>524</v>
      </c>
      <c r="C1397" s="8" t="s">
        <v>40</v>
      </c>
      <c r="D1397" s="8" t="s">
        <v>95</v>
      </c>
      <c r="E1397" s="8" t="s">
        <v>40</v>
      </c>
      <c r="F1397" s="8" t="s">
        <v>39</v>
      </c>
      <c r="G1397" s="8" t="s">
        <v>140</v>
      </c>
      <c r="H1397" s="8" t="s">
        <v>37</v>
      </c>
      <c r="I1397" s="8" t="s">
        <v>53</v>
      </c>
      <c r="J1397" s="8" t="s">
        <v>59</v>
      </c>
      <c r="K1397" s="8" t="s">
        <v>523</v>
      </c>
      <c r="L1397" s="7">
        <v>8135</v>
      </c>
      <c r="M1397" s="10" t="str">
        <f t="shared" si="126"/>
        <v>CMI02160100</v>
      </c>
      <c r="N1397" s="10" t="str">
        <f t="shared" si="127"/>
        <v>SUM301100</v>
      </c>
      <c r="O1397" s="10" t="str">
        <f t="shared" si="128"/>
        <v>E</v>
      </c>
      <c r="P1397" s="10" t="str">
        <f t="shared" si="129"/>
        <v>50</v>
      </c>
      <c r="Q1397" s="10" t="str">
        <f t="shared" si="130"/>
        <v>ZSUM</v>
      </c>
      <c r="R1397" s="10" t="str">
        <f t="shared" si="131"/>
        <v>44121613</v>
      </c>
    </row>
    <row r="1398" spans="1:18" ht="25.5" hidden="1" x14ac:dyDescent="0.2">
      <c r="A1398" s="21" t="s">
        <v>522</v>
      </c>
      <c r="B1398" s="8" t="s">
        <v>521</v>
      </c>
      <c r="C1398" s="8" t="s">
        <v>40</v>
      </c>
      <c r="D1398" s="8" t="s">
        <v>520</v>
      </c>
      <c r="E1398" s="8" t="s">
        <v>40</v>
      </c>
      <c r="F1398" s="8" t="s">
        <v>39</v>
      </c>
      <c r="G1398" s="8" t="s">
        <v>60</v>
      </c>
      <c r="H1398" s="8" t="s">
        <v>37</v>
      </c>
      <c r="I1398" s="8" t="s">
        <v>53</v>
      </c>
      <c r="J1398" s="8" t="s">
        <v>59</v>
      </c>
      <c r="K1398" s="8" t="s">
        <v>519</v>
      </c>
      <c r="L1398" s="7">
        <v>8136</v>
      </c>
      <c r="M1398" s="10" t="str">
        <f t="shared" si="126"/>
        <v>CMI02180300</v>
      </c>
      <c r="N1398" s="10" t="str">
        <f t="shared" si="127"/>
        <v>SUM231200</v>
      </c>
      <c r="O1398" s="10" t="str">
        <f t="shared" si="128"/>
        <v>E</v>
      </c>
      <c r="P1398" s="10" t="str">
        <f t="shared" si="129"/>
        <v>50</v>
      </c>
      <c r="Q1398" s="10" t="str">
        <f t="shared" si="130"/>
        <v>ZSUM</v>
      </c>
      <c r="R1398" s="10" t="str">
        <f t="shared" si="131"/>
        <v>47101608</v>
      </c>
    </row>
    <row r="1399" spans="1:18" ht="38.25" hidden="1" x14ac:dyDescent="0.2">
      <c r="A1399" s="21" t="s">
        <v>518</v>
      </c>
      <c r="B1399" s="8" t="s">
        <v>517</v>
      </c>
      <c r="C1399" s="8" t="s">
        <v>40</v>
      </c>
      <c r="D1399" s="8" t="s">
        <v>86</v>
      </c>
      <c r="E1399" s="8" t="s">
        <v>40</v>
      </c>
      <c r="F1399" s="8" t="s">
        <v>39</v>
      </c>
      <c r="G1399" s="8" t="s">
        <v>60</v>
      </c>
      <c r="H1399" s="8" t="s">
        <v>37</v>
      </c>
      <c r="I1399" s="8" t="s">
        <v>53</v>
      </c>
      <c r="J1399" s="8" t="s">
        <v>59</v>
      </c>
      <c r="K1399" s="8" t="s">
        <v>516</v>
      </c>
      <c r="L1399" s="7">
        <v>8137</v>
      </c>
      <c r="M1399" s="10" t="str">
        <f t="shared" si="126"/>
        <v>CMI02160300</v>
      </c>
      <c r="N1399" s="10" t="str">
        <f t="shared" si="127"/>
        <v>SUM231200</v>
      </c>
      <c r="O1399" s="10" t="str">
        <f t="shared" si="128"/>
        <v>E</v>
      </c>
      <c r="P1399" s="10" t="str">
        <f t="shared" si="129"/>
        <v>50</v>
      </c>
      <c r="Q1399" s="10" t="str">
        <f t="shared" si="130"/>
        <v>ZSUM</v>
      </c>
      <c r="R1399" s="10" t="str">
        <f t="shared" si="131"/>
        <v>42141502</v>
      </c>
    </row>
    <row r="1400" spans="1:18" ht="25.5" hidden="1" x14ac:dyDescent="0.2">
      <c r="A1400" s="21" t="s">
        <v>515</v>
      </c>
      <c r="B1400" s="8" t="s">
        <v>514</v>
      </c>
      <c r="C1400" s="8" t="s">
        <v>40</v>
      </c>
      <c r="D1400" s="8" t="s">
        <v>127</v>
      </c>
      <c r="E1400" s="8" t="s">
        <v>40</v>
      </c>
      <c r="F1400" s="8" t="s">
        <v>39</v>
      </c>
      <c r="G1400" s="8" t="s">
        <v>140</v>
      </c>
      <c r="H1400" s="8" t="s">
        <v>37</v>
      </c>
      <c r="I1400" s="8" t="s">
        <v>53</v>
      </c>
      <c r="J1400" s="8" t="s">
        <v>59</v>
      </c>
      <c r="K1400" s="8" t="s">
        <v>513</v>
      </c>
      <c r="L1400" s="7">
        <v>8138</v>
      </c>
      <c r="M1400" s="10" t="str">
        <f t="shared" si="126"/>
        <v>CMI02150100</v>
      </c>
      <c r="N1400" s="10" t="str">
        <f t="shared" si="127"/>
        <v>SUM301100</v>
      </c>
      <c r="O1400" s="10" t="str">
        <f t="shared" si="128"/>
        <v>E</v>
      </c>
      <c r="P1400" s="10" t="str">
        <f t="shared" si="129"/>
        <v>50</v>
      </c>
      <c r="Q1400" s="10" t="str">
        <f t="shared" si="130"/>
        <v>ZSUM</v>
      </c>
      <c r="R1400" s="10" t="str">
        <f t="shared" si="131"/>
        <v>51142002</v>
      </c>
    </row>
    <row r="1401" spans="1:18" ht="38.25" hidden="1" x14ac:dyDescent="0.2">
      <c r="A1401" s="21" t="s">
        <v>512</v>
      </c>
      <c r="B1401" s="8" t="s">
        <v>511</v>
      </c>
      <c r="C1401" s="8" t="s">
        <v>40</v>
      </c>
      <c r="D1401" s="8" t="s">
        <v>434</v>
      </c>
      <c r="E1401" s="8" t="s">
        <v>40</v>
      </c>
      <c r="F1401" s="8" t="s">
        <v>39</v>
      </c>
      <c r="G1401" s="8" t="s">
        <v>60</v>
      </c>
      <c r="H1401" s="8" t="s">
        <v>37</v>
      </c>
      <c r="I1401" s="8" t="s">
        <v>53</v>
      </c>
      <c r="J1401" s="8" t="s">
        <v>59</v>
      </c>
      <c r="K1401" s="8" t="s">
        <v>510</v>
      </c>
      <c r="L1401" s="7">
        <v>8139</v>
      </c>
      <c r="M1401" s="10" t="str">
        <f t="shared" si="126"/>
        <v>CMI02130300</v>
      </c>
      <c r="N1401" s="10" t="str">
        <f t="shared" si="127"/>
        <v>SUM231200</v>
      </c>
      <c r="O1401" s="10" t="str">
        <f t="shared" si="128"/>
        <v>E</v>
      </c>
      <c r="P1401" s="10" t="str">
        <f t="shared" si="129"/>
        <v>50</v>
      </c>
      <c r="Q1401" s="10" t="str">
        <f t="shared" si="130"/>
        <v>ZSUM</v>
      </c>
      <c r="R1401" s="10" t="str">
        <f t="shared" si="131"/>
        <v>47131600</v>
      </c>
    </row>
    <row r="1402" spans="1:18" ht="38.25" hidden="1" x14ac:dyDescent="0.2">
      <c r="A1402" s="21" t="s">
        <v>509</v>
      </c>
      <c r="B1402" s="8" t="s">
        <v>508</v>
      </c>
      <c r="C1402" s="8" t="s">
        <v>40</v>
      </c>
      <c r="D1402" s="8" t="s">
        <v>74</v>
      </c>
      <c r="E1402" s="8" t="s">
        <v>40</v>
      </c>
      <c r="F1402" s="8" t="s">
        <v>39</v>
      </c>
      <c r="G1402" s="8" t="s">
        <v>60</v>
      </c>
      <c r="H1402" s="8" t="s">
        <v>37</v>
      </c>
      <c r="I1402" s="8" t="s">
        <v>53</v>
      </c>
      <c r="J1402" s="8" t="s">
        <v>59</v>
      </c>
      <c r="K1402" s="8" t="s">
        <v>507</v>
      </c>
      <c r="L1402" s="7">
        <v>8140</v>
      </c>
      <c r="M1402" s="10" t="str">
        <f t="shared" si="126"/>
        <v>CMI02170300</v>
      </c>
      <c r="N1402" s="10" t="str">
        <f t="shared" si="127"/>
        <v>SUM231200</v>
      </c>
      <c r="O1402" s="10" t="str">
        <f t="shared" si="128"/>
        <v>E</v>
      </c>
      <c r="P1402" s="10" t="str">
        <f t="shared" si="129"/>
        <v>50</v>
      </c>
      <c r="Q1402" s="10" t="str">
        <f t="shared" si="130"/>
        <v>ZSUM</v>
      </c>
      <c r="R1402" s="10" t="str">
        <f t="shared" si="131"/>
        <v>53131615</v>
      </c>
    </row>
    <row r="1403" spans="1:18" ht="38.25" hidden="1" x14ac:dyDescent="0.2">
      <c r="A1403" s="21" t="s">
        <v>506</v>
      </c>
      <c r="B1403" s="8" t="s">
        <v>505</v>
      </c>
      <c r="C1403" s="8" t="s">
        <v>40</v>
      </c>
      <c r="D1403" s="8" t="s">
        <v>95</v>
      </c>
      <c r="E1403" s="8" t="s">
        <v>40</v>
      </c>
      <c r="F1403" s="8" t="s">
        <v>39</v>
      </c>
      <c r="G1403" s="8" t="s">
        <v>140</v>
      </c>
      <c r="H1403" s="8" t="s">
        <v>37</v>
      </c>
      <c r="I1403" s="8" t="s">
        <v>53</v>
      </c>
      <c r="J1403" s="8" t="s">
        <v>59</v>
      </c>
      <c r="K1403" s="8" t="s">
        <v>504</v>
      </c>
      <c r="L1403" s="7">
        <v>8141</v>
      </c>
      <c r="M1403" s="10" t="str">
        <f t="shared" si="126"/>
        <v>CMI02160100</v>
      </c>
      <c r="N1403" s="10" t="str">
        <f t="shared" si="127"/>
        <v>SUM301100</v>
      </c>
      <c r="O1403" s="10" t="str">
        <f t="shared" si="128"/>
        <v>E</v>
      </c>
      <c r="P1403" s="10" t="str">
        <f t="shared" si="129"/>
        <v>50</v>
      </c>
      <c r="Q1403" s="10" t="str">
        <f t="shared" si="130"/>
        <v>ZSUM</v>
      </c>
      <c r="R1403" s="10" t="str">
        <f t="shared" si="131"/>
        <v>44122100</v>
      </c>
    </row>
    <row r="1404" spans="1:18" ht="38.25" hidden="1" x14ac:dyDescent="0.2">
      <c r="A1404" s="21" t="s">
        <v>503</v>
      </c>
      <c r="B1404" s="8" t="s">
        <v>502</v>
      </c>
      <c r="C1404" s="8" t="s">
        <v>40</v>
      </c>
      <c r="D1404" s="8" t="s">
        <v>86</v>
      </c>
      <c r="E1404" s="8" t="s">
        <v>40</v>
      </c>
      <c r="F1404" s="8" t="s">
        <v>39</v>
      </c>
      <c r="G1404" s="8" t="s">
        <v>60</v>
      </c>
      <c r="H1404" s="8" t="s">
        <v>37</v>
      </c>
      <c r="I1404" s="8" t="s">
        <v>53</v>
      </c>
      <c r="J1404" s="8" t="s">
        <v>59</v>
      </c>
      <c r="K1404" s="8" t="s">
        <v>501</v>
      </c>
      <c r="L1404" s="7">
        <v>8142</v>
      </c>
      <c r="M1404" s="10" t="str">
        <f t="shared" si="126"/>
        <v>CMI02160300</v>
      </c>
      <c r="N1404" s="10" t="str">
        <f t="shared" si="127"/>
        <v>SUM231200</v>
      </c>
      <c r="O1404" s="10" t="str">
        <f t="shared" si="128"/>
        <v>E</v>
      </c>
      <c r="P1404" s="10" t="str">
        <f t="shared" si="129"/>
        <v>50</v>
      </c>
      <c r="Q1404" s="10" t="str">
        <f t="shared" si="130"/>
        <v>ZSUM</v>
      </c>
      <c r="R1404" s="10" t="str">
        <f t="shared" si="131"/>
        <v>24141514</v>
      </c>
    </row>
    <row r="1405" spans="1:18" ht="25.5" hidden="1" x14ac:dyDescent="0.2">
      <c r="A1405" s="21" t="s">
        <v>500</v>
      </c>
      <c r="B1405" s="8" t="s">
        <v>499</v>
      </c>
      <c r="C1405" s="8" t="s">
        <v>40</v>
      </c>
      <c r="D1405" s="8" t="s">
        <v>434</v>
      </c>
      <c r="E1405" s="8" t="s">
        <v>40</v>
      </c>
      <c r="F1405" s="8" t="s">
        <v>39</v>
      </c>
      <c r="G1405" s="8" t="s">
        <v>140</v>
      </c>
      <c r="H1405" s="8" t="s">
        <v>37</v>
      </c>
      <c r="I1405" s="8" t="s">
        <v>53</v>
      </c>
      <c r="J1405" s="8" t="s">
        <v>59</v>
      </c>
      <c r="K1405" s="8" t="s">
        <v>498</v>
      </c>
      <c r="L1405" s="7">
        <v>8143</v>
      </c>
      <c r="M1405" s="10" t="str">
        <f t="shared" si="126"/>
        <v>CMI02130300</v>
      </c>
      <c r="N1405" s="10" t="str">
        <f t="shared" si="127"/>
        <v>SUM301100</v>
      </c>
      <c r="O1405" s="10" t="str">
        <f t="shared" si="128"/>
        <v>E</v>
      </c>
      <c r="P1405" s="10" t="str">
        <f t="shared" si="129"/>
        <v>50</v>
      </c>
      <c r="Q1405" s="10" t="str">
        <f t="shared" si="130"/>
        <v>ZSUM</v>
      </c>
      <c r="R1405" s="10" t="str">
        <f t="shared" si="131"/>
        <v>40141742</v>
      </c>
    </row>
    <row r="1406" spans="1:18" ht="25.5" hidden="1" x14ac:dyDescent="0.2">
      <c r="A1406" s="21" t="s">
        <v>497</v>
      </c>
      <c r="B1406" s="8" t="s">
        <v>496</v>
      </c>
      <c r="C1406" s="8" t="s">
        <v>40</v>
      </c>
      <c r="D1406" s="8" t="s">
        <v>434</v>
      </c>
      <c r="E1406" s="8" t="s">
        <v>40</v>
      </c>
      <c r="F1406" s="8" t="s">
        <v>39</v>
      </c>
      <c r="G1406" s="8" t="s">
        <v>140</v>
      </c>
      <c r="H1406" s="8" t="s">
        <v>37</v>
      </c>
      <c r="I1406" s="8" t="s">
        <v>53</v>
      </c>
      <c r="J1406" s="8" t="s">
        <v>59</v>
      </c>
      <c r="K1406" s="8" t="s">
        <v>495</v>
      </c>
      <c r="L1406" s="7">
        <v>8144</v>
      </c>
      <c r="M1406" s="10" t="str">
        <f t="shared" si="126"/>
        <v>CMI02130300</v>
      </c>
      <c r="N1406" s="10" t="str">
        <f t="shared" si="127"/>
        <v>SUM301100</v>
      </c>
      <c r="O1406" s="10" t="str">
        <f t="shared" si="128"/>
        <v>E</v>
      </c>
      <c r="P1406" s="10" t="str">
        <f t="shared" si="129"/>
        <v>50</v>
      </c>
      <c r="Q1406" s="10" t="str">
        <f t="shared" si="130"/>
        <v>ZSUM</v>
      </c>
      <c r="R1406" s="10" t="str">
        <f t="shared" si="131"/>
        <v>47121807</v>
      </c>
    </row>
    <row r="1407" spans="1:18" ht="51" hidden="1" x14ac:dyDescent="0.2">
      <c r="A1407" s="21" t="s">
        <v>494</v>
      </c>
      <c r="B1407" s="8" t="s">
        <v>493</v>
      </c>
      <c r="C1407" s="8" t="s">
        <v>40</v>
      </c>
      <c r="D1407" s="8" t="s">
        <v>86</v>
      </c>
      <c r="E1407" s="8" t="s">
        <v>40</v>
      </c>
      <c r="F1407" s="8" t="s">
        <v>39</v>
      </c>
      <c r="G1407" s="8" t="s">
        <v>140</v>
      </c>
      <c r="H1407" s="8" t="s">
        <v>37</v>
      </c>
      <c r="I1407" s="8" t="s">
        <v>53</v>
      </c>
      <c r="J1407" s="8" t="s">
        <v>59</v>
      </c>
      <c r="K1407" s="8" t="s">
        <v>492</v>
      </c>
      <c r="L1407" s="7">
        <v>8145</v>
      </c>
      <c r="M1407" s="10" t="str">
        <f t="shared" si="126"/>
        <v>CMI02160300</v>
      </c>
      <c r="N1407" s="10" t="str">
        <f t="shared" si="127"/>
        <v>SUM301100</v>
      </c>
      <c r="O1407" s="10" t="str">
        <f t="shared" si="128"/>
        <v>E</v>
      </c>
      <c r="P1407" s="10" t="str">
        <f t="shared" si="129"/>
        <v>50</v>
      </c>
      <c r="Q1407" s="10" t="str">
        <f t="shared" si="130"/>
        <v>ZSUM</v>
      </c>
      <c r="R1407" s="10" t="str">
        <f t="shared" si="131"/>
        <v>60120000</v>
      </c>
    </row>
    <row r="1408" spans="1:18" ht="38.25" hidden="1" x14ac:dyDescent="0.2">
      <c r="A1408" s="21" t="s">
        <v>491</v>
      </c>
      <c r="B1408" s="8" t="s">
        <v>490</v>
      </c>
      <c r="C1408" s="8" t="s">
        <v>40</v>
      </c>
      <c r="D1408" s="8" t="s">
        <v>95</v>
      </c>
      <c r="E1408" s="8" t="s">
        <v>40</v>
      </c>
      <c r="F1408" s="8" t="s">
        <v>39</v>
      </c>
      <c r="G1408" s="8" t="s">
        <v>140</v>
      </c>
      <c r="H1408" s="8" t="s">
        <v>37</v>
      </c>
      <c r="I1408" s="8" t="s">
        <v>53</v>
      </c>
      <c r="J1408" s="8" t="s">
        <v>59</v>
      </c>
      <c r="K1408" s="8" t="s">
        <v>489</v>
      </c>
      <c r="L1408" s="7">
        <v>8146</v>
      </c>
      <c r="M1408" s="10" t="str">
        <f t="shared" si="126"/>
        <v>CMI02160100</v>
      </c>
      <c r="N1408" s="10" t="str">
        <f t="shared" si="127"/>
        <v>SUM301100</v>
      </c>
      <c r="O1408" s="10" t="str">
        <f t="shared" si="128"/>
        <v>E</v>
      </c>
      <c r="P1408" s="10" t="str">
        <f t="shared" si="129"/>
        <v>50</v>
      </c>
      <c r="Q1408" s="10" t="str">
        <f t="shared" si="130"/>
        <v>ZSUM</v>
      </c>
      <c r="R1408" s="10" t="str">
        <f t="shared" si="131"/>
        <v>44101716</v>
      </c>
    </row>
    <row r="1409" spans="1:18" ht="25.5" hidden="1" x14ac:dyDescent="0.2">
      <c r="A1409" s="21" t="s">
        <v>488</v>
      </c>
      <c r="B1409" s="8" t="s">
        <v>487</v>
      </c>
      <c r="C1409" s="8" t="s">
        <v>40</v>
      </c>
      <c r="D1409" s="8" t="s">
        <v>95</v>
      </c>
      <c r="E1409" s="8" t="s">
        <v>40</v>
      </c>
      <c r="F1409" s="8" t="s">
        <v>39</v>
      </c>
      <c r="G1409" s="8" t="s">
        <v>140</v>
      </c>
      <c r="H1409" s="8" t="s">
        <v>37</v>
      </c>
      <c r="I1409" s="8" t="s">
        <v>53</v>
      </c>
      <c r="J1409" s="8" t="s">
        <v>59</v>
      </c>
      <c r="K1409" s="8" t="s">
        <v>486</v>
      </c>
      <c r="L1409" s="7">
        <v>8147</v>
      </c>
      <c r="M1409" s="10" t="str">
        <f t="shared" si="126"/>
        <v>CMI02160100</v>
      </c>
      <c r="N1409" s="10" t="str">
        <f t="shared" si="127"/>
        <v>SUM301100</v>
      </c>
      <c r="O1409" s="10" t="str">
        <f t="shared" si="128"/>
        <v>E</v>
      </c>
      <c r="P1409" s="10" t="str">
        <f t="shared" si="129"/>
        <v>50</v>
      </c>
      <c r="Q1409" s="10" t="str">
        <f t="shared" si="130"/>
        <v>ZSUM</v>
      </c>
      <c r="R1409" s="10" t="str">
        <f t="shared" si="131"/>
        <v>44121902</v>
      </c>
    </row>
    <row r="1410" spans="1:18" ht="25.5" hidden="1" x14ac:dyDescent="0.2">
      <c r="A1410" s="21" t="s">
        <v>485</v>
      </c>
      <c r="B1410" s="8" t="s">
        <v>484</v>
      </c>
      <c r="C1410" s="8" t="s">
        <v>40</v>
      </c>
      <c r="D1410" s="8" t="s">
        <v>95</v>
      </c>
      <c r="E1410" s="8" t="s">
        <v>40</v>
      </c>
      <c r="F1410" s="8" t="s">
        <v>39</v>
      </c>
      <c r="G1410" s="8" t="s">
        <v>140</v>
      </c>
      <c r="H1410" s="8" t="s">
        <v>37</v>
      </c>
      <c r="I1410" s="8" t="s">
        <v>53</v>
      </c>
      <c r="J1410" s="8" t="s">
        <v>59</v>
      </c>
      <c r="K1410" s="8" t="s">
        <v>483</v>
      </c>
      <c r="L1410" s="7">
        <v>8148</v>
      </c>
      <c r="M1410" s="10" t="str">
        <f t="shared" si="126"/>
        <v>CMI02160100</v>
      </c>
      <c r="N1410" s="10" t="str">
        <f t="shared" si="127"/>
        <v>SUM301100</v>
      </c>
      <c r="O1410" s="10" t="str">
        <f t="shared" si="128"/>
        <v>E</v>
      </c>
      <c r="P1410" s="10" t="str">
        <f t="shared" si="129"/>
        <v>50</v>
      </c>
      <c r="Q1410" s="10" t="str">
        <f t="shared" si="130"/>
        <v>ZSUM</v>
      </c>
      <c r="R1410" s="10" t="str">
        <f t="shared" si="131"/>
        <v>14111800</v>
      </c>
    </row>
    <row r="1411" spans="1:18" ht="25.5" hidden="1" x14ac:dyDescent="0.2">
      <c r="A1411" s="21" t="s">
        <v>482</v>
      </c>
      <c r="B1411" s="8" t="s">
        <v>481</v>
      </c>
      <c r="C1411" s="8" t="s">
        <v>40</v>
      </c>
      <c r="D1411" s="8" t="s">
        <v>95</v>
      </c>
      <c r="E1411" s="8" t="s">
        <v>40</v>
      </c>
      <c r="F1411" s="8" t="s">
        <v>39</v>
      </c>
      <c r="G1411" s="8" t="s">
        <v>140</v>
      </c>
      <c r="H1411" s="8" t="s">
        <v>37</v>
      </c>
      <c r="I1411" s="8" t="s">
        <v>53</v>
      </c>
      <c r="J1411" s="8" t="s">
        <v>59</v>
      </c>
      <c r="K1411" s="8" t="s">
        <v>480</v>
      </c>
      <c r="L1411" s="7">
        <v>8149</v>
      </c>
      <c r="M1411" s="10" t="str">
        <f t="shared" ref="M1411:M1474" si="132">+LEFT(D1411,11)</f>
        <v>CMI02160100</v>
      </c>
      <c r="N1411" s="10" t="str">
        <f t="shared" ref="N1411:N1474" si="133">+LEFT(G1411,9)</f>
        <v>SUM301100</v>
      </c>
      <c r="O1411" s="10" t="str">
        <f t="shared" ref="O1411:O1474" si="134">+LEFT(H1411,1)</f>
        <v>E</v>
      </c>
      <c r="P1411" s="10" t="str">
        <f t="shared" ref="P1411:P1474" si="135">+LEFT(I1411,2)</f>
        <v>50</v>
      </c>
      <c r="Q1411" s="10" t="str">
        <f t="shared" ref="Q1411:Q1474" si="136">+LEFT(J1411,4)</f>
        <v>ZSUM</v>
      </c>
      <c r="R1411" s="10" t="str">
        <f t="shared" ref="R1411:R1474" si="137">+LEFT(K1411,8)</f>
        <v>44122010</v>
      </c>
    </row>
    <row r="1412" spans="1:18" ht="25.5" hidden="1" x14ac:dyDescent="0.2">
      <c r="A1412" s="21" t="s">
        <v>479</v>
      </c>
      <c r="B1412" s="8" t="s">
        <v>478</v>
      </c>
      <c r="C1412" s="8" t="s">
        <v>40</v>
      </c>
      <c r="D1412" s="8" t="s">
        <v>141</v>
      </c>
      <c r="E1412" s="8" t="s">
        <v>40</v>
      </c>
      <c r="F1412" s="8" t="s">
        <v>39</v>
      </c>
      <c r="G1412" s="8" t="s">
        <v>140</v>
      </c>
      <c r="H1412" s="8" t="s">
        <v>37</v>
      </c>
      <c r="I1412" s="8" t="s">
        <v>53</v>
      </c>
      <c r="J1412" s="8" t="s">
        <v>59</v>
      </c>
      <c r="K1412" s="8" t="s">
        <v>477</v>
      </c>
      <c r="L1412" s="7">
        <v>8150</v>
      </c>
      <c r="M1412" s="10" t="str">
        <f t="shared" si="132"/>
        <v>CMI02150200</v>
      </c>
      <c r="N1412" s="10" t="str">
        <f t="shared" si="133"/>
        <v>SUM301100</v>
      </c>
      <c r="O1412" s="10" t="str">
        <f t="shared" si="134"/>
        <v>E</v>
      </c>
      <c r="P1412" s="10" t="str">
        <f t="shared" si="135"/>
        <v>50</v>
      </c>
      <c r="Q1412" s="10" t="str">
        <f t="shared" si="136"/>
        <v>ZSUM</v>
      </c>
      <c r="R1412" s="10" t="str">
        <f t="shared" si="137"/>
        <v>51102723</v>
      </c>
    </row>
    <row r="1413" spans="1:18" ht="25.5" hidden="1" x14ac:dyDescent="0.2">
      <c r="A1413" s="21" t="s">
        <v>476</v>
      </c>
      <c r="B1413" s="8" t="s">
        <v>475</v>
      </c>
      <c r="C1413" s="8" t="s">
        <v>40</v>
      </c>
      <c r="D1413" s="8" t="s">
        <v>95</v>
      </c>
      <c r="E1413" s="8" t="s">
        <v>40</v>
      </c>
      <c r="F1413" s="8" t="s">
        <v>39</v>
      </c>
      <c r="G1413" s="8" t="s">
        <v>140</v>
      </c>
      <c r="H1413" s="8" t="s">
        <v>37</v>
      </c>
      <c r="I1413" s="8" t="s">
        <v>53</v>
      </c>
      <c r="J1413" s="8" t="s">
        <v>59</v>
      </c>
      <c r="K1413" s="8" t="s">
        <v>474</v>
      </c>
      <c r="L1413" s="7">
        <v>8151</v>
      </c>
      <c r="M1413" s="10" t="str">
        <f t="shared" si="132"/>
        <v>CMI02160100</v>
      </c>
      <c r="N1413" s="10" t="str">
        <f t="shared" si="133"/>
        <v>SUM301100</v>
      </c>
      <c r="O1413" s="10" t="str">
        <f t="shared" si="134"/>
        <v>E</v>
      </c>
      <c r="P1413" s="10" t="str">
        <f t="shared" si="135"/>
        <v>50</v>
      </c>
      <c r="Q1413" s="10" t="str">
        <f t="shared" si="136"/>
        <v>ZSUM</v>
      </c>
      <c r="R1413" s="10" t="str">
        <f t="shared" si="137"/>
        <v>44122106</v>
      </c>
    </row>
    <row r="1414" spans="1:18" ht="25.5" hidden="1" x14ac:dyDescent="0.2">
      <c r="A1414" s="21" t="s">
        <v>473</v>
      </c>
      <c r="B1414" s="8" t="s">
        <v>472</v>
      </c>
      <c r="C1414" s="8" t="s">
        <v>40</v>
      </c>
      <c r="D1414" s="8" t="s">
        <v>95</v>
      </c>
      <c r="E1414" s="8" t="s">
        <v>40</v>
      </c>
      <c r="F1414" s="8" t="s">
        <v>39</v>
      </c>
      <c r="G1414" s="8" t="s">
        <v>140</v>
      </c>
      <c r="H1414" s="8" t="s">
        <v>37</v>
      </c>
      <c r="I1414" s="8" t="s">
        <v>53</v>
      </c>
      <c r="J1414" s="8" t="s">
        <v>59</v>
      </c>
      <c r="K1414" s="8" t="s">
        <v>471</v>
      </c>
      <c r="L1414" s="7">
        <v>8152</v>
      </c>
      <c r="M1414" s="10" t="str">
        <f t="shared" si="132"/>
        <v>CMI02160100</v>
      </c>
      <c r="N1414" s="10" t="str">
        <f t="shared" si="133"/>
        <v>SUM301100</v>
      </c>
      <c r="O1414" s="10" t="str">
        <f t="shared" si="134"/>
        <v>E</v>
      </c>
      <c r="P1414" s="10" t="str">
        <f t="shared" si="135"/>
        <v>50</v>
      </c>
      <c r="Q1414" s="10" t="str">
        <f t="shared" si="136"/>
        <v>ZSUM</v>
      </c>
      <c r="R1414" s="10" t="str">
        <f t="shared" si="137"/>
        <v>44121619</v>
      </c>
    </row>
    <row r="1415" spans="1:18" ht="25.5" hidden="1" x14ac:dyDescent="0.2">
      <c r="A1415" s="21" t="s">
        <v>470</v>
      </c>
      <c r="B1415" s="8" t="s">
        <v>469</v>
      </c>
      <c r="C1415" s="8" t="s">
        <v>40</v>
      </c>
      <c r="D1415" s="8" t="s">
        <v>95</v>
      </c>
      <c r="E1415" s="8" t="s">
        <v>40</v>
      </c>
      <c r="F1415" s="8" t="s">
        <v>39</v>
      </c>
      <c r="G1415" s="8" t="s">
        <v>140</v>
      </c>
      <c r="H1415" s="8" t="s">
        <v>37</v>
      </c>
      <c r="I1415" s="8" t="s">
        <v>53</v>
      </c>
      <c r="J1415" s="8" t="s">
        <v>59</v>
      </c>
      <c r="K1415" s="8" t="s">
        <v>468</v>
      </c>
      <c r="L1415" s="7">
        <v>8153</v>
      </c>
      <c r="M1415" s="10" t="str">
        <f t="shared" si="132"/>
        <v>CMI02160100</v>
      </c>
      <c r="N1415" s="10" t="str">
        <f t="shared" si="133"/>
        <v>SUM301100</v>
      </c>
      <c r="O1415" s="10" t="str">
        <f t="shared" si="134"/>
        <v>E</v>
      </c>
      <c r="P1415" s="10" t="str">
        <f t="shared" si="135"/>
        <v>50</v>
      </c>
      <c r="Q1415" s="10" t="str">
        <f t="shared" si="136"/>
        <v>ZSUM</v>
      </c>
      <c r="R1415" s="10" t="str">
        <f t="shared" si="137"/>
        <v>44121705</v>
      </c>
    </row>
    <row r="1416" spans="1:18" ht="25.5" hidden="1" x14ac:dyDescent="0.2">
      <c r="A1416" s="21" t="s">
        <v>467</v>
      </c>
      <c r="B1416" s="8" t="s">
        <v>466</v>
      </c>
      <c r="C1416" s="8" t="s">
        <v>40</v>
      </c>
      <c r="D1416" s="8" t="s">
        <v>127</v>
      </c>
      <c r="E1416" s="8" t="s">
        <v>40</v>
      </c>
      <c r="F1416" s="8" t="s">
        <v>39</v>
      </c>
      <c r="G1416" s="8" t="s">
        <v>140</v>
      </c>
      <c r="H1416" s="8" t="s">
        <v>37</v>
      </c>
      <c r="I1416" s="8" t="s">
        <v>53</v>
      </c>
      <c r="J1416" s="8" t="s">
        <v>59</v>
      </c>
      <c r="K1416" s="8" t="s">
        <v>465</v>
      </c>
      <c r="L1416" s="7">
        <v>8154</v>
      </c>
      <c r="M1416" s="10" t="str">
        <f t="shared" si="132"/>
        <v>CMI02150100</v>
      </c>
      <c r="N1416" s="10" t="str">
        <f t="shared" si="133"/>
        <v>SUM301100</v>
      </c>
      <c r="O1416" s="10" t="str">
        <f t="shared" si="134"/>
        <v>E</v>
      </c>
      <c r="P1416" s="10" t="str">
        <f t="shared" si="135"/>
        <v>50</v>
      </c>
      <c r="Q1416" s="10" t="str">
        <f t="shared" si="136"/>
        <v>ZSUM</v>
      </c>
      <c r="R1416" s="10" t="str">
        <f t="shared" si="137"/>
        <v>51161800</v>
      </c>
    </row>
    <row r="1417" spans="1:18" ht="25.5" hidden="1" x14ac:dyDescent="0.2">
      <c r="A1417" s="21" t="s">
        <v>464</v>
      </c>
      <c r="B1417" s="8" t="s">
        <v>463</v>
      </c>
      <c r="C1417" s="8" t="s">
        <v>40</v>
      </c>
      <c r="D1417" s="8" t="s">
        <v>74</v>
      </c>
      <c r="E1417" s="8" t="s">
        <v>40</v>
      </c>
      <c r="F1417" s="8" t="s">
        <v>39</v>
      </c>
      <c r="G1417" s="8" t="s">
        <v>60</v>
      </c>
      <c r="H1417" s="8" t="s">
        <v>37</v>
      </c>
      <c r="I1417" s="8" t="s">
        <v>53</v>
      </c>
      <c r="J1417" s="8" t="s">
        <v>59</v>
      </c>
      <c r="K1417" s="8" t="s">
        <v>462</v>
      </c>
      <c r="L1417" s="7">
        <v>8155</v>
      </c>
      <c r="M1417" s="10" t="str">
        <f t="shared" si="132"/>
        <v>CMI02170300</v>
      </c>
      <c r="N1417" s="10" t="str">
        <f t="shared" si="133"/>
        <v>SUM231200</v>
      </c>
      <c r="O1417" s="10" t="str">
        <f t="shared" si="134"/>
        <v>E</v>
      </c>
      <c r="P1417" s="10" t="str">
        <f t="shared" si="135"/>
        <v>50</v>
      </c>
      <c r="Q1417" s="10" t="str">
        <f t="shared" si="136"/>
        <v>ZSUM</v>
      </c>
      <c r="R1417" s="10" t="str">
        <f t="shared" si="137"/>
        <v>50461800</v>
      </c>
    </row>
    <row r="1418" spans="1:18" ht="25.5" hidden="1" x14ac:dyDescent="0.2">
      <c r="A1418" s="21" t="s">
        <v>461</v>
      </c>
      <c r="B1418" s="8" t="s">
        <v>460</v>
      </c>
      <c r="C1418" s="8" t="s">
        <v>40</v>
      </c>
      <c r="D1418" s="8" t="s">
        <v>74</v>
      </c>
      <c r="E1418" s="8" t="s">
        <v>40</v>
      </c>
      <c r="F1418" s="8" t="s">
        <v>39</v>
      </c>
      <c r="G1418" s="8" t="s">
        <v>60</v>
      </c>
      <c r="H1418" s="8" t="s">
        <v>37</v>
      </c>
      <c r="I1418" s="8" t="s">
        <v>53</v>
      </c>
      <c r="J1418" s="8" t="s">
        <v>59</v>
      </c>
      <c r="K1418" s="8" t="s">
        <v>459</v>
      </c>
      <c r="L1418" s="7">
        <v>8156</v>
      </c>
      <c r="M1418" s="10" t="str">
        <f t="shared" si="132"/>
        <v>CMI02170300</v>
      </c>
      <c r="N1418" s="10" t="str">
        <f t="shared" si="133"/>
        <v>SUM231200</v>
      </c>
      <c r="O1418" s="10" t="str">
        <f t="shared" si="134"/>
        <v>E</v>
      </c>
      <c r="P1418" s="10" t="str">
        <f t="shared" si="135"/>
        <v>50</v>
      </c>
      <c r="Q1418" s="10" t="str">
        <f t="shared" si="136"/>
        <v>ZSUM</v>
      </c>
      <c r="R1418" s="10" t="str">
        <f t="shared" si="137"/>
        <v>50121538</v>
      </c>
    </row>
    <row r="1419" spans="1:18" ht="38.25" hidden="1" x14ac:dyDescent="0.2">
      <c r="A1419" s="21" t="s">
        <v>458</v>
      </c>
      <c r="B1419" s="8" t="s">
        <v>457</v>
      </c>
      <c r="C1419" s="8" t="s">
        <v>40</v>
      </c>
      <c r="D1419" s="8" t="s">
        <v>74</v>
      </c>
      <c r="E1419" s="8" t="s">
        <v>40</v>
      </c>
      <c r="F1419" s="8" t="s">
        <v>39</v>
      </c>
      <c r="G1419" s="8" t="s">
        <v>60</v>
      </c>
      <c r="H1419" s="8" t="s">
        <v>37</v>
      </c>
      <c r="I1419" s="8" t="s">
        <v>53</v>
      </c>
      <c r="J1419" s="8" t="s">
        <v>59</v>
      </c>
      <c r="K1419" s="8" t="s">
        <v>456</v>
      </c>
      <c r="L1419" s="7">
        <v>8157</v>
      </c>
      <c r="M1419" s="10" t="str">
        <f t="shared" si="132"/>
        <v>CMI02170300</v>
      </c>
      <c r="N1419" s="10" t="str">
        <f t="shared" si="133"/>
        <v>SUM231200</v>
      </c>
      <c r="O1419" s="10" t="str">
        <f t="shared" si="134"/>
        <v>E</v>
      </c>
      <c r="P1419" s="10" t="str">
        <f t="shared" si="135"/>
        <v>50</v>
      </c>
      <c r="Q1419" s="10" t="str">
        <f t="shared" si="136"/>
        <v>ZSUM</v>
      </c>
      <c r="R1419" s="10" t="str">
        <f t="shared" si="137"/>
        <v>42261802</v>
      </c>
    </row>
    <row r="1420" spans="1:18" ht="25.5" hidden="1" x14ac:dyDescent="0.2">
      <c r="A1420" s="21" t="s">
        <v>455</v>
      </c>
      <c r="B1420" s="8" t="s">
        <v>454</v>
      </c>
      <c r="C1420" s="8" t="s">
        <v>40</v>
      </c>
      <c r="D1420" s="8" t="s">
        <v>74</v>
      </c>
      <c r="E1420" s="8" t="s">
        <v>40</v>
      </c>
      <c r="F1420" s="8" t="s">
        <v>39</v>
      </c>
      <c r="G1420" s="8" t="s">
        <v>60</v>
      </c>
      <c r="H1420" s="8" t="s">
        <v>37</v>
      </c>
      <c r="I1420" s="8" t="s">
        <v>53</v>
      </c>
      <c r="J1420" s="8" t="s">
        <v>59</v>
      </c>
      <c r="K1420" s="8" t="s">
        <v>453</v>
      </c>
      <c r="L1420" s="7">
        <v>8158</v>
      </c>
      <c r="M1420" s="10" t="str">
        <f t="shared" si="132"/>
        <v>CMI02170300</v>
      </c>
      <c r="N1420" s="10" t="str">
        <f t="shared" si="133"/>
        <v>SUM231200</v>
      </c>
      <c r="O1420" s="10" t="str">
        <f t="shared" si="134"/>
        <v>E</v>
      </c>
      <c r="P1420" s="10" t="str">
        <f t="shared" si="135"/>
        <v>50</v>
      </c>
      <c r="Q1420" s="10" t="str">
        <f t="shared" si="136"/>
        <v>ZSUM</v>
      </c>
      <c r="R1420" s="10" t="str">
        <f t="shared" si="137"/>
        <v>49101708</v>
      </c>
    </row>
    <row r="1421" spans="1:18" ht="25.5" hidden="1" x14ac:dyDescent="0.2">
      <c r="A1421" s="21" t="s">
        <v>452</v>
      </c>
      <c r="B1421" s="8" t="s">
        <v>451</v>
      </c>
      <c r="C1421" s="8" t="s">
        <v>40</v>
      </c>
      <c r="D1421" s="8" t="s">
        <v>74</v>
      </c>
      <c r="E1421" s="8" t="s">
        <v>40</v>
      </c>
      <c r="F1421" s="8" t="s">
        <v>39</v>
      </c>
      <c r="G1421" s="8" t="s">
        <v>60</v>
      </c>
      <c r="H1421" s="8" t="s">
        <v>37</v>
      </c>
      <c r="I1421" s="8" t="s">
        <v>53</v>
      </c>
      <c r="J1421" s="8" t="s">
        <v>59</v>
      </c>
      <c r="K1421" s="8" t="s">
        <v>450</v>
      </c>
      <c r="L1421" s="7">
        <v>8159</v>
      </c>
      <c r="M1421" s="10" t="str">
        <f t="shared" si="132"/>
        <v>CMI02170300</v>
      </c>
      <c r="N1421" s="10" t="str">
        <f t="shared" si="133"/>
        <v>SUM231200</v>
      </c>
      <c r="O1421" s="10" t="str">
        <f t="shared" si="134"/>
        <v>E</v>
      </c>
      <c r="P1421" s="10" t="str">
        <f t="shared" si="135"/>
        <v>50</v>
      </c>
      <c r="Q1421" s="10" t="str">
        <f t="shared" si="136"/>
        <v>ZSUM</v>
      </c>
      <c r="R1421" s="10" t="str">
        <f t="shared" si="137"/>
        <v>14111536</v>
      </c>
    </row>
    <row r="1422" spans="1:18" ht="38.25" hidden="1" x14ac:dyDescent="0.2">
      <c r="A1422" s="21" t="s">
        <v>449</v>
      </c>
      <c r="B1422" s="8" t="s">
        <v>448</v>
      </c>
      <c r="C1422" s="8" t="s">
        <v>40</v>
      </c>
      <c r="D1422" s="8" t="s">
        <v>86</v>
      </c>
      <c r="E1422" s="8" t="s">
        <v>40</v>
      </c>
      <c r="F1422" s="8" t="s">
        <v>39</v>
      </c>
      <c r="G1422" s="8" t="s">
        <v>60</v>
      </c>
      <c r="H1422" s="8" t="s">
        <v>37</v>
      </c>
      <c r="I1422" s="8" t="s">
        <v>53</v>
      </c>
      <c r="J1422" s="8" t="s">
        <v>59</v>
      </c>
      <c r="K1422" s="8" t="s">
        <v>447</v>
      </c>
      <c r="L1422" s="7">
        <v>8160</v>
      </c>
      <c r="M1422" s="10" t="str">
        <f t="shared" si="132"/>
        <v>CMI02160300</v>
      </c>
      <c r="N1422" s="10" t="str">
        <f t="shared" si="133"/>
        <v>SUM231200</v>
      </c>
      <c r="O1422" s="10" t="str">
        <f t="shared" si="134"/>
        <v>E</v>
      </c>
      <c r="P1422" s="10" t="str">
        <f t="shared" si="135"/>
        <v>50</v>
      </c>
      <c r="Q1422" s="10" t="str">
        <f t="shared" si="136"/>
        <v>ZSUM</v>
      </c>
      <c r="R1422" s="10" t="str">
        <f t="shared" si="137"/>
        <v>55121715</v>
      </c>
    </row>
    <row r="1423" spans="1:18" ht="38.25" hidden="1" x14ac:dyDescent="0.2">
      <c r="A1423" s="21" t="s">
        <v>446</v>
      </c>
      <c r="B1423" s="8" t="s">
        <v>445</v>
      </c>
      <c r="C1423" s="8" t="s">
        <v>40</v>
      </c>
      <c r="D1423" s="8" t="s">
        <v>86</v>
      </c>
      <c r="E1423" s="8" t="s">
        <v>40</v>
      </c>
      <c r="F1423" s="8" t="s">
        <v>39</v>
      </c>
      <c r="G1423" s="8" t="s">
        <v>60</v>
      </c>
      <c r="H1423" s="8" t="s">
        <v>37</v>
      </c>
      <c r="I1423" s="8" t="s">
        <v>53</v>
      </c>
      <c r="J1423" s="8" t="s">
        <v>59</v>
      </c>
      <c r="K1423" s="8" t="s">
        <v>444</v>
      </c>
      <c r="L1423" s="7">
        <v>8161</v>
      </c>
      <c r="M1423" s="10" t="str">
        <f t="shared" si="132"/>
        <v>CMI02160300</v>
      </c>
      <c r="N1423" s="10" t="str">
        <f t="shared" si="133"/>
        <v>SUM231200</v>
      </c>
      <c r="O1423" s="10" t="str">
        <f t="shared" si="134"/>
        <v>E</v>
      </c>
      <c r="P1423" s="10" t="str">
        <f t="shared" si="135"/>
        <v>50</v>
      </c>
      <c r="Q1423" s="10" t="str">
        <f t="shared" si="136"/>
        <v>ZSUM</v>
      </c>
      <c r="R1423" s="10" t="str">
        <f t="shared" si="137"/>
        <v>45121603</v>
      </c>
    </row>
    <row r="1424" spans="1:18" ht="25.5" hidden="1" x14ac:dyDescent="0.2">
      <c r="A1424" s="21" t="s">
        <v>443</v>
      </c>
      <c r="B1424" s="8" t="s">
        <v>442</v>
      </c>
      <c r="C1424" s="8" t="s">
        <v>40</v>
      </c>
      <c r="D1424" s="8" t="s">
        <v>441</v>
      </c>
      <c r="E1424" s="8" t="s">
        <v>40</v>
      </c>
      <c r="F1424" s="8" t="s">
        <v>39</v>
      </c>
      <c r="G1424" s="8" t="s">
        <v>60</v>
      </c>
      <c r="H1424" s="8" t="s">
        <v>37</v>
      </c>
      <c r="I1424" s="8" t="s">
        <v>53</v>
      </c>
      <c r="J1424" s="8" t="s">
        <v>59</v>
      </c>
      <c r="K1424" s="8" t="s">
        <v>440</v>
      </c>
      <c r="L1424" s="7">
        <v>8162</v>
      </c>
      <c r="M1424" s="10" t="str">
        <f t="shared" si="132"/>
        <v>CMI05020400</v>
      </c>
      <c r="N1424" s="10" t="str">
        <f t="shared" si="133"/>
        <v>SUM231200</v>
      </c>
      <c r="O1424" s="10" t="str">
        <f t="shared" si="134"/>
        <v>E</v>
      </c>
      <c r="P1424" s="10" t="str">
        <f t="shared" si="135"/>
        <v>50</v>
      </c>
      <c r="Q1424" s="10" t="str">
        <f t="shared" si="136"/>
        <v>ZSUM</v>
      </c>
      <c r="R1424" s="10" t="str">
        <f t="shared" si="137"/>
        <v>50111510</v>
      </c>
    </row>
    <row r="1425" spans="1:18" ht="25.5" hidden="1" x14ac:dyDescent="0.2">
      <c r="A1425" s="21" t="s">
        <v>439</v>
      </c>
      <c r="B1425" s="8" t="s">
        <v>438</v>
      </c>
      <c r="C1425" s="8" t="s">
        <v>40</v>
      </c>
      <c r="D1425" s="8" t="s">
        <v>386</v>
      </c>
      <c r="E1425" s="8" t="s">
        <v>40</v>
      </c>
      <c r="F1425" s="8" t="s">
        <v>39</v>
      </c>
      <c r="G1425" s="8" t="s">
        <v>60</v>
      </c>
      <c r="H1425" s="8" t="s">
        <v>37</v>
      </c>
      <c r="I1425" s="8" t="s">
        <v>53</v>
      </c>
      <c r="J1425" s="8" t="s">
        <v>59</v>
      </c>
      <c r="K1425" s="8" t="s">
        <v>437</v>
      </c>
      <c r="L1425" s="7">
        <v>8163</v>
      </c>
      <c r="M1425" s="10" t="str">
        <f t="shared" si="132"/>
        <v>CMI02140100</v>
      </c>
      <c r="N1425" s="10" t="str">
        <f t="shared" si="133"/>
        <v>SUM231200</v>
      </c>
      <c r="O1425" s="10" t="str">
        <f t="shared" si="134"/>
        <v>E</v>
      </c>
      <c r="P1425" s="10" t="str">
        <f t="shared" si="135"/>
        <v>50</v>
      </c>
      <c r="Q1425" s="10" t="str">
        <f t="shared" si="136"/>
        <v>ZSUM</v>
      </c>
      <c r="R1425" s="10" t="str">
        <f t="shared" si="137"/>
        <v>45121600</v>
      </c>
    </row>
    <row r="1426" spans="1:18" ht="25.5" hidden="1" x14ac:dyDescent="0.2">
      <c r="A1426" s="21" t="s">
        <v>436</v>
      </c>
      <c r="B1426" s="8" t="s">
        <v>435</v>
      </c>
      <c r="C1426" s="8" t="s">
        <v>40</v>
      </c>
      <c r="D1426" s="8" t="s">
        <v>434</v>
      </c>
      <c r="E1426" s="8" t="s">
        <v>40</v>
      </c>
      <c r="F1426" s="8" t="s">
        <v>39</v>
      </c>
      <c r="G1426" s="8" t="s">
        <v>60</v>
      </c>
      <c r="H1426" s="8" t="s">
        <v>37</v>
      </c>
      <c r="I1426" s="8" t="s">
        <v>53</v>
      </c>
      <c r="J1426" s="8" t="s">
        <v>59</v>
      </c>
      <c r="K1426" s="8" t="s">
        <v>433</v>
      </c>
      <c r="L1426" s="7">
        <v>8164</v>
      </c>
      <c r="M1426" s="10" t="str">
        <f t="shared" si="132"/>
        <v>CMI02130300</v>
      </c>
      <c r="N1426" s="10" t="str">
        <f t="shared" si="133"/>
        <v>SUM231200</v>
      </c>
      <c r="O1426" s="10" t="str">
        <f t="shared" si="134"/>
        <v>E</v>
      </c>
      <c r="P1426" s="10" t="str">
        <f t="shared" si="135"/>
        <v>50</v>
      </c>
      <c r="Q1426" s="10" t="str">
        <f t="shared" si="136"/>
        <v>ZSUM</v>
      </c>
      <c r="R1426" s="10" t="str">
        <f t="shared" si="137"/>
        <v>47132100</v>
      </c>
    </row>
    <row r="1427" spans="1:18" ht="38.25" hidden="1" x14ac:dyDescent="0.2">
      <c r="A1427" s="21" t="s">
        <v>432</v>
      </c>
      <c r="B1427" s="8" t="s">
        <v>431</v>
      </c>
      <c r="C1427" s="8" t="s">
        <v>40</v>
      </c>
      <c r="D1427" s="8" t="s">
        <v>166</v>
      </c>
      <c r="E1427" s="8" t="s">
        <v>40</v>
      </c>
      <c r="F1427" s="8" t="s">
        <v>39</v>
      </c>
      <c r="G1427" s="8" t="s">
        <v>60</v>
      </c>
      <c r="H1427" s="8" t="s">
        <v>37</v>
      </c>
      <c r="I1427" s="8" t="s">
        <v>53</v>
      </c>
      <c r="J1427" s="8" t="s">
        <v>59</v>
      </c>
      <c r="K1427" s="8" t="s">
        <v>430</v>
      </c>
      <c r="L1427" s="7">
        <v>8165</v>
      </c>
      <c r="M1427" s="10" t="str">
        <f t="shared" si="132"/>
        <v>CMI02170200</v>
      </c>
      <c r="N1427" s="10" t="str">
        <f t="shared" si="133"/>
        <v>SUM231200</v>
      </c>
      <c r="O1427" s="10" t="str">
        <f t="shared" si="134"/>
        <v>E</v>
      </c>
      <c r="P1427" s="10" t="str">
        <f t="shared" si="135"/>
        <v>50</v>
      </c>
      <c r="Q1427" s="10" t="str">
        <f t="shared" si="136"/>
        <v>ZSUM</v>
      </c>
      <c r="R1427" s="10" t="str">
        <f t="shared" si="137"/>
        <v>52151604</v>
      </c>
    </row>
    <row r="1428" spans="1:18" ht="38.25" hidden="1" x14ac:dyDescent="0.2">
      <c r="A1428" s="21" t="s">
        <v>429</v>
      </c>
      <c r="B1428" s="8" t="s">
        <v>428</v>
      </c>
      <c r="C1428" s="8" t="s">
        <v>40</v>
      </c>
      <c r="D1428" s="8" t="s">
        <v>166</v>
      </c>
      <c r="E1428" s="8" t="s">
        <v>40</v>
      </c>
      <c r="F1428" s="8" t="s">
        <v>39</v>
      </c>
      <c r="G1428" s="8" t="s">
        <v>60</v>
      </c>
      <c r="H1428" s="8" t="s">
        <v>37</v>
      </c>
      <c r="I1428" s="8" t="s">
        <v>53</v>
      </c>
      <c r="J1428" s="8" t="s">
        <v>59</v>
      </c>
      <c r="K1428" s="8" t="s">
        <v>427</v>
      </c>
      <c r="L1428" s="7">
        <v>8166</v>
      </c>
      <c r="M1428" s="10" t="str">
        <f t="shared" si="132"/>
        <v>CMI02170200</v>
      </c>
      <c r="N1428" s="10" t="str">
        <f t="shared" si="133"/>
        <v>SUM231200</v>
      </c>
      <c r="O1428" s="10" t="str">
        <f t="shared" si="134"/>
        <v>E</v>
      </c>
      <c r="P1428" s="10" t="str">
        <f t="shared" si="135"/>
        <v>50</v>
      </c>
      <c r="Q1428" s="10" t="str">
        <f t="shared" si="136"/>
        <v>ZSUM</v>
      </c>
      <c r="R1428" s="10" t="str">
        <f t="shared" si="137"/>
        <v>50171551</v>
      </c>
    </row>
    <row r="1429" spans="1:18" ht="38.25" hidden="1" x14ac:dyDescent="0.2">
      <c r="A1429" s="21" t="s">
        <v>426</v>
      </c>
      <c r="B1429" s="8" t="s">
        <v>425</v>
      </c>
      <c r="C1429" s="8" t="s">
        <v>40</v>
      </c>
      <c r="D1429" s="8" t="s">
        <v>166</v>
      </c>
      <c r="E1429" s="8" t="s">
        <v>40</v>
      </c>
      <c r="F1429" s="8" t="s">
        <v>39</v>
      </c>
      <c r="G1429" s="8" t="s">
        <v>60</v>
      </c>
      <c r="H1429" s="8" t="s">
        <v>37</v>
      </c>
      <c r="I1429" s="8" t="s">
        <v>53</v>
      </c>
      <c r="J1429" s="8" t="s">
        <v>59</v>
      </c>
      <c r="K1429" s="8" t="s">
        <v>424</v>
      </c>
      <c r="L1429" s="7">
        <v>8167</v>
      </c>
      <c r="M1429" s="10" t="str">
        <f t="shared" si="132"/>
        <v>CMI02170200</v>
      </c>
      <c r="N1429" s="10" t="str">
        <f t="shared" si="133"/>
        <v>SUM231200</v>
      </c>
      <c r="O1429" s="10" t="str">
        <f t="shared" si="134"/>
        <v>E</v>
      </c>
      <c r="P1429" s="10" t="str">
        <f t="shared" si="135"/>
        <v>50</v>
      </c>
      <c r="Q1429" s="10" t="str">
        <f t="shared" si="136"/>
        <v>ZSUM</v>
      </c>
      <c r="R1429" s="10" t="str">
        <f t="shared" si="137"/>
        <v>42231800</v>
      </c>
    </row>
    <row r="1430" spans="1:18" ht="38.25" hidden="1" x14ac:dyDescent="0.2">
      <c r="A1430" s="21" t="s">
        <v>423</v>
      </c>
      <c r="B1430" s="8" t="s">
        <v>422</v>
      </c>
      <c r="C1430" s="8" t="s">
        <v>40</v>
      </c>
      <c r="D1430" s="8" t="s">
        <v>166</v>
      </c>
      <c r="E1430" s="8" t="s">
        <v>40</v>
      </c>
      <c r="F1430" s="8" t="s">
        <v>39</v>
      </c>
      <c r="G1430" s="8" t="s">
        <v>60</v>
      </c>
      <c r="H1430" s="8" t="s">
        <v>37</v>
      </c>
      <c r="I1430" s="8" t="s">
        <v>53</v>
      </c>
      <c r="J1430" s="8" t="s">
        <v>59</v>
      </c>
      <c r="K1430" s="8" t="s">
        <v>421</v>
      </c>
      <c r="L1430" s="7">
        <v>8168</v>
      </c>
      <c r="M1430" s="10" t="str">
        <f t="shared" si="132"/>
        <v>CMI02170200</v>
      </c>
      <c r="N1430" s="10" t="str">
        <f t="shared" si="133"/>
        <v>SUM231200</v>
      </c>
      <c r="O1430" s="10" t="str">
        <f t="shared" si="134"/>
        <v>E</v>
      </c>
      <c r="P1430" s="10" t="str">
        <f t="shared" si="135"/>
        <v>50</v>
      </c>
      <c r="Q1430" s="10" t="str">
        <f t="shared" si="136"/>
        <v>ZSUM</v>
      </c>
      <c r="R1430" s="10" t="str">
        <f t="shared" si="137"/>
        <v>10151502</v>
      </c>
    </row>
    <row r="1431" spans="1:18" ht="38.25" hidden="1" x14ac:dyDescent="0.2">
      <c r="A1431" s="21" t="s">
        <v>420</v>
      </c>
      <c r="B1431" s="8" t="s">
        <v>419</v>
      </c>
      <c r="C1431" s="8" t="s">
        <v>40</v>
      </c>
      <c r="D1431" s="8" t="s">
        <v>166</v>
      </c>
      <c r="E1431" s="8" t="s">
        <v>40</v>
      </c>
      <c r="F1431" s="8" t="s">
        <v>39</v>
      </c>
      <c r="G1431" s="8" t="s">
        <v>60</v>
      </c>
      <c r="H1431" s="8" t="s">
        <v>37</v>
      </c>
      <c r="I1431" s="8" t="s">
        <v>53</v>
      </c>
      <c r="J1431" s="8" t="s">
        <v>59</v>
      </c>
      <c r="K1431" s="8" t="s">
        <v>418</v>
      </c>
      <c r="L1431" s="7">
        <v>8169</v>
      </c>
      <c r="M1431" s="10" t="str">
        <f t="shared" si="132"/>
        <v>CMI02170200</v>
      </c>
      <c r="N1431" s="10" t="str">
        <f t="shared" si="133"/>
        <v>SUM231200</v>
      </c>
      <c r="O1431" s="10" t="str">
        <f t="shared" si="134"/>
        <v>E</v>
      </c>
      <c r="P1431" s="10" t="str">
        <f t="shared" si="135"/>
        <v>50</v>
      </c>
      <c r="Q1431" s="10" t="str">
        <f t="shared" si="136"/>
        <v>ZSUM</v>
      </c>
      <c r="R1431" s="10" t="str">
        <f t="shared" si="137"/>
        <v>50101543</v>
      </c>
    </row>
    <row r="1432" spans="1:18" ht="38.25" hidden="1" x14ac:dyDescent="0.2">
      <c r="A1432" s="21" t="s">
        <v>417</v>
      </c>
      <c r="B1432" s="8" t="s">
        <v>416</v>
      </c>
      <c r="C1432" s="8" t="s">
        <v>40</v>
      </c>
      <c r="D1432" s="8" t="s">
        <v>166</v>
      </c>
      <c r="E1432" s="8" t="s">
        <v>40</v>
      </c>
      <c r="F1432" s="8" t="s">
        <v>39</v>
      </c>
      <c r="G1432" s="8" t="s">
        <v>60</v>
      </c>
      <c r="H1432" s="8" t="s">
        <v>37</v>
      </c>
      <c r="I1432" s="8" t="s">
        <v>53</v>
      </c>
      <c r="J1432" s="8" t="s">
        <v>59</v>
      </c>
      <c r="K1432" s="8" t="s">
        <v>415</v>
      </c>
      <c r="L1432" s="7">
        <v>8170</v>
      </c>
      <c r="M1432" s="10" t="str">
        <f t="shared" si="132"/>
        <v>CMI02170200</v>
      </c>
      <c r="N1432" s="10" t="str">
        <f t="shared" si="133"/>
        <v>SUM231200</v>
      </c>
      <c r="O1432" s="10" t="str">
        <f t="shared" si="134"/>
        <v>E</v>
      </c>
      <c r="P1432" s="10" t="str">
        <f t="shared" si="135"/>
        <v>50</v>
      </c>
      <c r="Q1432" s="10" t="str">
        <f t="shared" si="136"/>
        <v>ZSUM</v>
      </c>
      <c r="R1432" s="10" t="str">
        <f t="shared" si="137"/>
        <v>10151528</v>
      </c>
    </row>
    <row r="1433" spans="1:18" ht="38.25" hidden="1" x14ac:dyDescent="0.2">
      <c r="A1433" s="21" t="s">
        <v>414</v>
      </c>
      <c r="B1433" s="8" t="s">
        <v>413</v>
      </c>
      <c r="C1433" s="8" t="s">
        <v>40</v>
      </c>
      <c r="D1433" s="8" t="s">
        <v>166</v>
      </c>
      <c r="E1433" s="8" t="s">
        <v>40</v>
      </c>
      <c r="F1433" s="8" t="s">
        <v>39</v>
      </c>
      <c r="G1433" s="8" t="s">
        <v>60</v>
      </c>
      <c r="H1433" s="8" t="s">
        <v>37</v>
      </c>
      <c r="I1433" s="8" t="s">
        <v>53</v>
      </c>
      <c r="J1433" s="8" t="s">
        <v>59</v>
      </c>
      <c r="K1433" s="8" t="s">
        <v>412</v>
      </c>
      <c r="L1433" s="7">
        <v>8171</v>
      </c>
      <c r="M1433" s="10" t="str">
        <f t="shared" si="132"/>
        <v>CMI02170200</v>
      </c>
      <c r="N1433" s="10" t="str">
        <f t="shared" si="133"/>
        <v>SUM231200</v>
      </c>
      <c r="O1433" s="10" t="str">
        <f t="shared" si="134"/>
        <v>E</v>
      </c>
      <c r="P1433" s="10" t="str">
        <f t="shared" si="135"/>
        <v>50</v>
      </c>
      <c r="Q1433" s="10" t="str">
        <f t="shared" si="136"/>
        <v>ZSUM</v>
      </c>
      <c r="R1433" s="10" t="str">
        <f t="shared" si="137"/>
        <v>10151504</v>
      </c>
    </row>
    <row r="1434" spans="1:18" ht="38.25" hidden="1" x14ac:dyDescent="0.2">
      <c r="A1434" s="21" t="s">
        <v>411</v>
      </c>
      <c r="B1434" s="8" t="s">
        <v>410</v>
      </c>
      <c r="C1434" s="8" t="s">
        <v>40</v>
      </c>
      <c r="D1434" s="8" t="s">
        <v>166</v>
      </c>
      <c r="E1434" s="8" t="s">
        <v>40</v>
      </c>
      <c r="F1434" s="8" t="s">
        <v>39</v>
      </c>
      <c r="G1434" s="8" t="s">
        <v>60</v>
      </c>
      <c r="H1434" s="8" t="s">
        <v>37</v>
      </c>
      <c r="I1434" s="8" t="s">
        <v>53</v>
      </c>
      <c r="J1434" s="8" t="s">
        <v>59</v>
      </c>
      <c r="K1434" s="8" t="s">
        <v>200</v>
      </c>
      <c r="L1434" s="7">
        <v>8172</v>
      </c>
      <c r="M1434" s="10" t="str">
        <f t="shared" si="132"/>
        <v>CMI02170200</v>
      </c>
      <c r="N1434" s="10" t="str">
        <f t="shared" si="133"/>
        <v>SUM231200</v>
      </c>
      <c r="O1434" s="10" t="str">
        <f t="shared" si="134"/>
        <v>E</v>
      </c>
      <c r="P1434" s="10" t="str">
        <f t="shared" si="135"/>
        <v>50</v>
      </c>
      <c r="Q1434" s="10" t="str">
        <f t="shared" si="136"/>
        <v>ZSUM</v>
      </c>
      <c r="R1434" s="10" t="str">
        <f t="shared" si="137"/>
        <v>50190000</v>
      </c>
    </row>
    <row r="1435" spans="1:18" ht="38.25" hidden="1" x14ac:dyDescent="0.2">
      <c r="A1435" s="21" t="s">
        <v>409</v>
      </c>
      <c r="B1435" s="8" t="s">
        <v>408</v>
      </c>
      <c r="C1435" s="8" t="s">
        <v>40</v>
      </c>
      <c r="D1435" s="8" t="s">
        <v>166</v>
      </c>
      <c r="E1435" s="8" t="s">
        <v>40</v>
      </c>
      <c r="F1435" s="8" t="s">
        <v>39</v>
      </c>
      <c r="G1435" s="8" t="s">
        <v>60</v>
      </c>
      <c r="H1435" s="8" t="s">
        <v>37</v>
      </c>
      <c r="I1435" s="8" t="s">
        <v>53</v>
      </c>
      <c r="J1435" s="8" t="s">
        <v>59</v>
      </c>
      <c r="K1435" s="8" t="s">
        <v>407</v>
      </c>
      <c r="L1435" s="7">
        <v>8173</v>
      </c>
      <c r="M1435" s="10" t="str">
        <f t="shared" si="132"/>
        <v>CMI02170200</v>
      </c>
      <c r="N1435" s="10" t="str">
        <f t="shared" si="133"/>
        <v>SUM231200</v>
      </c>
      <c r="O1435" s="10" t="str">
        <f t="shared" si="134"/>
        <v>E</v>
      </c>
      <c r="P1435" s="10" t="str">
        <f t="shared" si="135"/>
        <v>50</v>
      </c>
      <c r="Q1435" s="10" t="str">
        <f t="shared" si="136"/>
        <v>ZSUM</v>
      </c>
      <c r="R1435" s="10" t="str">
        <f t="shared" si="137"/>
        <v>10151803</v>
      </c>
    </row>
    <row r="1436" spans="1:18" ht="38.25" hidden="1" x14ac:dyDescent="0.2">
      <c r="A1436" s="21" t="s">
        <v>406</v>
      </c>
      <c r="B1436" s="8" t="s">
        <v>405</v>
      </c>
      <c r="C1436" s="8" t="s">
        <v>40</v>
      </c>
      <c r="D1436" s="8" t="s">
        <v>166</v>
      </c>
      <c r="E1436" s="8" t="s">
        <v>40</v>
      </c>
      <c r="F1436" s="8" t="s">
        <v>39</v>
      </c>
      <c r="G1436" s="8" t="s">
        <v>60</v>
      </c>
      <c r="H1436" s="8" t="s">
        <v>37</v>
      </c>
      <c r="I1436" s="8" t="s">
        <v>53</v>
      </c>
      <c r="J1436" s="8" t="s">
        <v>59</v>
      </c>
      <c r="K1436" s="8" t="s">
        <v>404</v>
      </c>
      <c r="L1436" s="7">
        <v>8174</v>
      </c>
      <c r="M1436" s="10" t="str">
        <f t="shared" si="132"/>
        <v>CMI02170200</v>
      </c>
      <c r="N1436" s="10" t="str">
        <f t="shared" si="133"/>
        <v>SUM231200</v>
      </c>
      <c r="O1436" s="10" t="str">
        <f t="shared" si="134"/>
        <v>E</v>
      </c>
      <c r="P1436" s="10" t="str">
        <f t="shared" si="135"/>
        <v>50</v>
      </c>
      <c r="Q1436" s="10" t="str">
        <f t="shared" si="136"/>
        <v>ZSUM</v>
      </c>
      <c r="R1436" s="10" t="str">
        <f t="shared" si="137"/>
        <v>50171548</v>
      </c>
    </row>
    <row r="1437" spans="1:18" ht="38.25" hidden="1" x14ac:dyDescent="0.2">
      <c r="A1437" s="21" t="s">
        <v>403</v>
      </c>
      <c r="B1437" s="8" t="s">
        <v>402</v>
      </c>
      <c r="C1437" s="8" t="s">
        <v>40</v>
      </c>
      <c r="D1437" s="8" t="s">
        <v>166</v>
      </c>
      <c r="E1437" s="8" t="s">
        <v>40</v>
      </c>
      <c r="F1437" s="8" t="s">
        <v>39</v>
      </c>
      <c r="G1437" s="8" t="s">
        <v>60</v>
      </c>
      <c r="H1437" s="8" t="s">
        <v>37</v>
      </c>
      <c r="I1437" s="8" t="s">
        <v>53</v>
      </c>
      <c r="J1437" s="8" t="s">
        <v>59</v>
      </c>
      <c r="K1437" s="8" t="s">
        <v>396</v>
      </c>
      <c r="L1437" s="7">
        <v>8175</v>
      </c>
      <c r="M1437" s="10" t="str">
        <f t="shared" si="132"/>
        <v>CMI02170200</v>
      </c>
      <c r="N1437" s="10" t="str">
        <f t="shared" si="133"/>
        <v>SUM231200</v>
      </c>
      <c r="O1437" s="10" t="str">
        <f t="shared" si="134"/>
        <v>E</v>
      </c>
      <c r="P1437" s="10" t="str">
        <f t="shared" si="135"/>
        <v>50</v>
      </c>
      <c r="Q1437" s="10" t="str">
        <f t="shared" si="136"/>
        <v>ZSUM</v>
      </c>
      <c r="R1437" s="10" t="str">
        <f t="shared" si="137"/>
        <v>50171550</v>
      </c>
    </row>
    <row r="1438" spans="1:18" ht="38.25" hidden="1" x14ac:dyDescent="0.2">
      <c r="A1438" s="21" t="s">
        <v>401</v>
      </c>
      <c r="B1438" s="8" t="s">
        <v>400</v>
      </c>
      <c r="C1438" s="8" t="s">
        <v>40</v>
      </c>
      <c r="D1438" s="8" t="s">
        <v>166</v>
      </c>
      <c r="E1438" s="8" t="s">
        <v>40</v>
      </c>
      <c r="F1438" s="8" t="s">
        <v>39</v>
      </c>
      <c r="G1438" s="8" t="s">
        <v>60</v>
      </c>
      <c r="H1438" s="8" t="s">
        <v>37</v>
      </c>
      <c r="I1438" s="8" t="s">
        <v>53</v>
      </c>
      <c r="J1438" s="8" t="s">
        <v>59</v>
      </c>
      <c r="K1438" s="8" t="s">
        <v>399</v>
      </c>
      <c r="L1438" s="7">
        <v>8176</v>
      </c>
      <c r="M1438" s="10" t="str">
        <f t="shared" si="132"/>
        <v>CMI02170200</v>
      </c>
      <c r="N1438" s="10" t="str">
        <f t="shared" si="133"/>
        <v>SUM231200</v>
      </c>
      <c r="O1438" s="10" t="str">
        <f t="shared" si="134"/>
        <v>E</v>
      </c>
      <c r="P1438" s="10" t="str">
        <f t="shared" si="135"/>
        <v>50</v>
      </c>
      <c r="Q1438" s="10" t="str">
        <f t="shared" si="136"/>
        <v>ZSUM</v>
      </c>
      <c r="R1438" s="10" t="str">
        <f t="shared" si="137"/>
        <v>50171549</v>
      </c>
    </row>
    <row r="1439" spans="1:18" ht="38.25" hidden="1" x14ac:dyDescent="0.2">
      <c r="A1439" s="21" t="s">
        <v>398</v>
      </c>
      <c r="B1439" s="8" t="s">
        <v>397</v>
      </c>
      <c r="C1439" s="8" t="s">
        <v>40</v>
      </c>
      <c r="D1439" s="8" t="s">
        <v>166</v>
      </c>
      <c r="E1439" s="8" t="s">
        <v>40</v>
      </c>
      <c r="F1439" s="8" t="s">
        <v>39</v>
      </c>
      <c r="G1439" s="8" t="s">
        <v>60</v>
      </c>
      <c r="H1439" s="8" t="s">
        <v>37</v>
      </c>
      <c r="I1439" s="8" t="s">
        <v>53</v>
      </c>
      <c r="J1439" s="8" t="s">
        <v>59</v>
      </c>
      <c r="K1439" s="8" t="s">
        <v>396</v>
      </c>
      <c r="L1439" s="7">
        <v>8177</v>
      </c>
      <c r="M1439" s="10" t="str">
        <f t="shared" si="132"/>
        <v>CMI02170200</v>
      </c>
      <c r="N1439" s="10" t="str">
        <f t="shared" si="133"/>
        <v>SUM231200</v>
      </c>
      <c r="O1439" s="10" t="str">
        <f t="shared" si="134"/>
        <v>E</v>
      </c>
      <c r="P1439" s="10" t="str">
        <f t="shared" si="135"/>
        <v>50</v>
      </c>
      <c r="Q1439" s="10" t="str">
        <f t="shared" si="136"/>
        <v>ZSUM</v>
      </c>
      <c r="R1439" s="10" t="str">
        <f t="shared" si="137"/>
        <v>50171550</v>
      </c>
    </row>
    <row r="1440" spans="1:18" ht="25.5" hidden="1" x14ac:dyDescent="0.2">
      <c r="A1440" s="21" t="s">
        <v>395</v>
      </c>
      <c r="B1440" s="8" t="s">
        <v>394</v>
      </c>
      <c r="C1440" s="8" t="s">
        <v>40</v>
      </c>
      <c r="D1440" s="8" t="s">
        <v>393</v>
      </c>
      <c r="E1440" s="8" t="s">
        <v>40</v>
      </c>
      <c r="F1440" s="8" t="s">
        <v>39</v>
      </c>
      <c r="G1440" s="8" t="s">
        <v>60</v>
      </c>
      <c r="H1440" s="8" t="s">
        <v>37</v>
      </c>
      <c r="I1440" s="8" t="s">
        <v>53</v>
      </c>
      <c r="J1440" s="8" t="s">
        <v>59</v>
      </c>
      <c r="K1440" s="8" t="s">
        <v>392</v>
      </c>
      <c r="L1440" s="7">
        <v>8178</v>
      </c>
      <c r="M1440" s="10" t="str">
        <f t="shared" si="132"/>
        <v>CMI05031300</v>
      </c>
      <c r="N1440" s="10" t="str">
        <f t="shared" si="133"/>
        <v>SUM231200</v>
      </c>
      <c r="O1440" s="10" t="str">
        <f t="shared" si="134"/>
        <v>E</v>
      </c>
      <c r="P1440" s="10" t="str">
        <f t="shared" si="135"/>
        <v>50</v>
      </c>
      <c r="Q1440" s="10" t="str">
        <f t="shared" si="136"/>
        <v>ZSUM</v>
      </c>
      <c r="R1440" s="10" t="str">
        <f t="shared" si="137"/>
        <v>50101634</v>
      </c>
    </row>
    <row r="1441" spans="1:18" ht="25.5" hidden="1" x14ac:dyDescent="0.2">
      <c r="A1441" s="21" t="s">
        <v>391</v>
      </c>
      <c r="B1441" s="8" t="s">
        <v>390</v>
      </c>
      <c r="C1441" s="8" t="s">
        <v>40</v>
      </c>
      <c r="D1441" s="8" t="s">
        <v>389</v>
      </c>
      <c r="E1441" s="8" t="s">
        <v>40</v>
      </c>
      <c r="F1441" s="8" t="s">
        <v>39</v>
      </c>
      <c r="G1441" s="8" t="s">
        <v>60</v>
      </c>
      <c r="H1441" s="8" t="s">
        <v>37</v>
      </c>
      <c r="I1441" s="8" t="s">
        <v>53</v>
      </c>
      <c r="J1441" s="8" t="s">
        <v>59</v>
      </c>
      <c r="K1441" s="8" t="s">
        <v>165</v>
      </c>
      <c r="L1441" s="7">
        <v>8179</v>
      </c>
      <c r="M1441" s="10" t="str">
        <f t="shared" si="132"/>
        <v>CMI05030200</v>
      </c>
      <c r="N1441" s="10" t="str">
        <f t="shared" si="133"/>
        <v>SUM231200</v>
      </c>
      <c r="O1441" s="10" t="str">
        <f t="shared" si="134"/>
        <v>E</v>
      </c>
      <c r="P1441" s="10" t="str">
        <f t="shared" si="135"/>
        <v>50</v>
      </c>
      <c r="Q1441" s="10" t="str">
        <f t="shared" si="136"/>
        <v>ZSUM</v>
      </c>
      <c r="R1441" s="10" t="str">
        <f t="shared" si="137"/>
        <v>50171832</v>
      </c>
    </row>
    <row r="1442" spans="1:18" ht="25.5" hidden="1" x14ac:dyDescent="0.2">
      <c r="A1442" s="21" t="s">
        <v>388</v>
      </c>
      <c r="B1442" s="8" t="s">
        <v>387</v>
      </c>
      <c r="C1442" s="8" t="s">
        <v>40</v>
      </c>
      <c r="D1442" s="8" t="s">
        <v>386</v>
      </c>
      <c r="E1442" s="8" t="s">
        <v>40</v>
      </c>
      <c r="F1442" s="8" t="s">
        <v>39</v>
      </c>
      <c r="G1442" s="8" t="s">
        <v>60</v>
      </c>
      <c r="H1442" s="8" t="s">
        <v>37</v>
      </c>
      <c r="I1442" s="8" t="s">
        <v>53</v>
      </c>
      <c r="J1442" s="8" t="s">
        <v>59</v>
      </c>
      <c r="K1442" s="8" t="s">
        <v>385</v>
      </c>
      <c r="L1442" s="7">
        <v>8180</v>
      </c>
      <c r="M1442" s="10" t="str">
        <f t="shared" si="132"/>
        <v>CMI02140100</v>
      </c>
      <c r="N1442" s="10" t="str">
        <f t="shared" si="133"/>
        <v>SUM231200</v>
      </c>
      <c r="O1442" s="10" t="str">
        <f t="shared" si="134"/>
        <v>E</v>
      </c>
      <c r="P1442" s="10" t="str">
        <f t="shared" si="135"/>
        <v>50</v>
      </c>
      <c r="Q1442" s="10" t="str">
        <f t="shared" si="136"/>
        <v>ZSUM</v>
      </c>
      <c r="R1442" s="10" t="str">
        <f t="shared" si="137"/>
        <v>21101803</v>
      </c>
    </row>
    <row r="1443" spans="1:18" ht="25.5" hidden="1" x14ac:dyDescent="0.2">
      <c r="A1443" s="21" t="s">
        <v>384</v>
      </c>
      <c r="B1443" s="8" t="s">
        <v>383</v>
      </c>
      <c r="C1443" s="8" t="s">
        <v>40</v>
      </c>
      <c r="D1443" s="8" t="s">
        <v>74</v>
      </c>
      <c r="E1443" s="8" t="s">
        <v>40</v>
      </c>
      <c r="F1443" s="8" t="s">
        <v>39</v>
      </c>
      <c r="G1443" s="8" t="s">
        <v>60</v>
      </c>
      <c r="H1443" s="8" t="s">
        <v>37</v>
      </c>
      <c r="I1443" s="8" t="s">
        <v>53</v>
      </c>
      <c r="J1443" s="8" t="s">
        <v>59</v>
      </c>
      <c r="K1443" s="8" t="s">
        <v>382</v>
      </c>
      <c r="L1443" s="7">
        <v>8181</v>
      </c>
      <c r="M1443" s="10" t="str">
        <f t="shared" si="132"/>
        <v>CMI02170300</v>
      </c>
      <c r="N1443" s="10" t="str">
        <f t="shared" si="133"/>
        <v>SUM231200</v>
      </c>
      <c r="O1443" s="10" t="str">
        <f t="shared" si="134"/>
        <v>E</v>
      </c>
      <c r="P1443" s="10" t="str">
        <f t="shared" si="135"/>
        <v>50</v>
      </c>
      <c r="Q1443" s="10" t="str">
        <f t="shared" si="136"/>
        <v>ZSUM</v>
      </c>
      <c r="R1443" s="10" t="str">
        <f t="shared" si="137"/>
        <v>51151723</v>
      </c>
    </row>
    <row r="1444" spans="1:18" ht="25.5" hidden="1" x14ac:dyDescent="0.2">
      <c r="A1444" s="21" t="s">
        <v>381</v>
      </c>
      <c r="B1444" s="8" t="s">
        <v>380</v>
      </c>
      <c r="C1444" s="8" t="s">
        <v>40</v>
      </c>
      <c r="D1444" s="8" t="s">
        <v>300</v>
      </c>
      <c r="E1444" s="8" t="s">
        <v>40</v>
      </c>
      <c r="F1444" s="8" t="s">
        <v>39</v>
      </c>
      <c r="G1444" s="8" t="s">
        <v>351</v>
      </c>
      <c r="H1444" s="8" t="s">
        <v>37</v>
      </c>
      <c r="I1444" s="8" t="s">
        <v>53</v>
      </c>
      <c r="J1444" s="8" t="s">
        <v>134</v>
      </c>
      <c r="K1444" s="8" t="s">
        <v>379</v>
      </c>
      <c r="L1444" s="7">
        <v>8182</v>
      </c>
      <c r="M1444" s="10" t="str">
        <f t="shared" si="132"/>
        <v>CMI02200200</v>
      </c>
      <c r="N1444" s="10" t="str">
        <f t="shared" si="133"/>
        <v>TUB291100</v>
      </c>
      <c r="O1444" s="10" t="str">
        <f t="shared" si="134"/>
        <v>E</v>
      </c>
      <c r="P1444" s="10" t="str">
        <f t="shared" si="135"/>
        <v>50</v>
      </c>
      <c r="Q1444" s="10" t="str">
        <f t="shared" si="136"/>
        <v>ZTUB</v>
      </c>
      <c r="R1444" s="10" t="str">
        <f t="shared" si="137"/>
        <v>40172400</v>
      </c>
    </row>
    <row r="1445" spans="1:18" ht="38.25" hidden="1" x14ac:dyDescent="0.2">
      <c r="A1445" s="21" t="s">
        <v>378</v>
      </c>
      <c r="B1445" s="8" t="s">
        <v>377</v>
      </c>
      <c r="C1445" s="8" t="s">
        <v>40</v>
      </c>
      <c r="D1445" s="8" t="s">
        <v>310</v>
      </c>
      <c r="E1445" s="8" t="s">
        <v>40</v>
      </c>
      <c r="F1445" s="8" t="s">
        <v>39</v>
      </c>
      <c r="G1445" s="8" t="s">
        <v>351</v>
      </c>
      <c r="H1445" s="8" t="s">
        <v>37</v>
      </c>
      <c r="I1445" s="8" t="s">
        <v>53</v>
      </c>
      <c r="J1445" s="8" t="s">
        <v>134</v>
      </c>
      <c r="K1445" s="8" t="s">
        <v>376</v>
      </c>
      <c r="L1445" s="7">
        <v>8183</v>
      </c>
      <c r="M1445" s="10" t="str">
        <f t="shared" si="132"/>
        <v>CMI02200100</v>
      </c>
      <c r="N1445" s="10" t="str">
        <f t="shared" si="133"/>
        <v>TUB291100</v>
      </c>
      <c r="O1445" s="10" t="str">
        <f t="shared" si="134"/>
        <v>E</v>
      </c>
      <c r="P1445" s="10" t="str">
        <f t="shared" si="135"/>
        <v>50</v>
      </c>
      <c r="Q1445" s="10" t="str">
        <f t="shared" si="136"/>
        <v>ZTUB</v>
      </c>
      <c r="R1445" s="10" t="str">
        <f t="shared" si="137"/>
        <v>40172602</v>
      </c>
    </row>
    <row r="1446" spans="1:18" ht="38.25" hidden="1" x14ac:dyDescent="0.2">
      <c r="A1446" s="21" t="s">
        <v>375</v>
      </c>
      <c r="B1446" s="8" t="s">
        <v>347</v>
      </c>
      <c r="C1446" s="8" t="s">
        <v>40</v>
      </c>
      <c r="D1446" s="8" t="s">
        <v>310</v>
      </c>
      <c r="E1446" s="8" t="s">
        <v>40</v>
      </c>
      <c r="F1446" s="8" t="s">
        <v>39</v>
      </c>
      <c r="G1446" s="8" t="s">
        <v>351</v>
      </c>
      <c r="H1446" s="8" t="s">
        <v>37</v>
      </c>
      <c r="I1446" s="8" t="s">
        <v>53</v>
      </c>
      <c r="J1446" s="8" t="s">
        <v>134</v>
      </c>
      <c r="K1446" s="8" t="s">
        <v>346</v>
      </c>
      <c r="L1446" s="7">
        <v>8184</v>
      </c>
      <c r="M1446" s="10" t="str">
        <f t="shared" si="132"/>
        <v>CMI02200100</v>
      </c>
      <c r="N1446" s="10" t="str">
        <f t="shared" si="133"/>
        <v>TUB291100</v>
      </c>
      <c r="O1446" s="10" t="str">
        <f t="shared" si="134"/>
        <v>E</v>
      </c>
      <c r="P1446" s="10" t="str">
        <f t="shared" si="135"/>
        <v>50</v>
      </c>
      <c r="Q1446" s="10" t="str">
        <f t="shared" si="136"/>
        <v>ZTUB</v>
      </c>
      <c r="R1446" s="10" t="str">
        <f t="shared" si="137"/>
        <v>31162906</v>
      </c>
    </row>
    <row r="1447" spans="1:18" ht="25.5" hidden="1" x14ac:dyDescent="0.2">
      <c r="A1447" s="21" t="s">
        <v>374</v>
      </c>
      <c r="B1447" s="8" t="s">
        <v>373</v>
      </c>
      <c r="C1447" s="8" t="s">
        <v>40</v>
      </c>
      <c r="D1447" s="8" t="s">
        <v>300</v>
      </c>
      <c r="E1447" s="8" t="s">
        <v>40</v>
      </c>
      <c r="F1447" s="8" t="s">
        <v>39</v>
      </c>
      <c r="G1447" s="8" t="s">
        <v>351</v>
      </c>
      <c r="H1447" s="8" t="s">
        <v>37</v>
      </c>
      <c r="I1447" s="8" t="s">
        <v>36</v>
      </c>
      <c r="J1447" s="8" t="s">
        <v>134</v>
      </c>
      <c r="K1447" s="8" t="s">
        <v>372</v>
      </c>
      <c r="L1447" s="7">
        <v>8185</v>
      </c>
      <c r="M1447" s="10" t="str">
        <f t="shared" si="132"/>
        <v>CMI02200200</v>
      </c>
      <c r="N1447" s="10" t="str">
        <f t="shared" si="133"/>
        <v>TUB291100</v>
      </c>
      <c r="O1447" s="10" t="str">
        <f t="shared" si="134"/>
        <v>E</v>
      </c>
      <c r="P1447" s="10" t="str">
        <f t="shared" si="135"/>
        <v>10</v>
      </c>
      <c r="Q1447" s="10" t="str">
        <f t="shared" si="136"/>
        <v>ZTUB</v>
      </c>
      <c r="R1447" s="10" t="str">
        <f t="shared" si="137"/>
        <v>40172800</v>
      </c>
    </row>
    <row r="1448" spans="1:18" ht="38.25" hidden="1" x14ac:dyDescent="0.2">
      <c r="A1448" s="21" t="s">
        <v>371</v>
      </c>
      <c r="B1448" s="8" t="s">
        <v>370</v>
      </c>
      <c r="C1448" s="8" t="s">
        <v>40</v>
      </c>
      <c r="D1448" s="8" t="s">
        <v>310</v>
      </c>
      <c r="E1448" s="8" t="s">
        <v>40</v>
      </c>
      <c r="F1448" s="8" t="s">
        <v>39</v>
      </c>
      <c r="G1448" s="8" t="s">
        <v>351</v>
      </c>
      <c r="H1448" s="8" t="s">
        <v>37</v>
      </c>
      <c r="I1448" s="8" t="s">
        <v>53</v>
      </c>
      <c r="J1448" s="8" t="s">
        <v>134</v>
      </c>
      <c r="K1448" s="8" t="s">
        <v>369</v>
      </c>
      <c r="L1448" s="7">
        <v>8186</v>
      </c>
      <c r="M1448" s="10" t="str">
        <f t="shared" si="132"/>
        <v>CMI02200100</v>
      </c>
      <c r="N1448" s="10" t="str">
        <f t="shared" si="133"/>
        <v>TUB291100</v>
      </c>
      <c r="O1448" s="10" t="str">
        <f t="shared" si="134"/>
        <v>E</v>
      </c>
      <c r="P1448" s="10" t="str">
        <f t="shared" si="135"/>
        <v>50</v>
      </c>
      <c r="Q1448" s="10" t="str">
        <f t="shared" si="136"/>
        <v>ZTUB</v>
      </c>
      <c r="R1448" s="10" t="str">
        <f t="shared" si="137"/>
        <v>40173300</v>
      </c>
    </row>
    <row r="1449" spans="1:18" ht="38.25" hidden="1" x14ac:dyDescent="0.2">
      <c r="A1449" s="21" t="s">
        <v>368</v>
      </c>
      <c r="B1449" s="8" t="s">
        <v>367</v>
      </c>
      <c r="C1449" s="8" t="s">
        <v>40</v>
      </c>
      <c r="D1449" s="8" t="s">
        <v>310</v>
      </c>
      <c r="E1449" s="8" t="s">
        <v>40</v>
      </c>
      <c r="F1449" s="8" t="s">
        <v>39</v>
      </c>
      <c r="G1449" s="8" t="s">
        <v>351</v>
      </c>
      <c r="H1449" s="8" t="s">
        <v>37</v>
      </c>
      <c r="I1449" s="8" t="s">
        <v>53</v>
      </c>
      <c r="J1449" s="8" t="s">
        <v>134</v>
      </c>
      <c r="K1449" s="8" t="s">
        <v>366</v>
      </c>
      <c r="L1449" s="7">
        <v>8187</v>
      </c>
      <c r="M1449" s="10" t="str">
        <f t="shared" si="132"/>
        <v>CMI02200100</v>
      </c>
      <c r="N1449" s="10" t="str">
        <f t="shared" si="133"/>
        <v>TUB291100</v>
      </c>
      <c r="O1449" s="10" t="str">
        <f t="shared" si="134"/>
        <v>E</v>
      </c>
      <c r="P1449" s="10" t="str">
        <f t="shared" si="135"/>
        <v>50</v>
      </c>
      <c r="Q1449" s="10" t="str">
        <f t="shared" si="136"/>
        <v>ZTUB</v>
      </c>
      <c r="R1449" s="10" t="str">
        <f t="shared" si="137"/>
        <v>40173500</v>
      </c>
    </row>
    <row r="1450" spans="1:18" ht="25.5" hidden="1" x14ac:dyDescent="0.2">
      <c r="A1450" s="21" t="s">
        <v>365</v>
      </c>
      <c r="B1450" s="8" t="s">
        <v>364</v>
      </c>
      <c r="C1450" s="8" t="s">
        <v>40</v>
      </c>
      <c r="D1450" s="8" t="s">
        <v>363</v>
      </c>
      <c r="E1450" s="8" t="s">
        <v>40</v>
      </c>
      <c r="F1450" s="8" t="s">
        <v>39</v>
      </c>
      <c r="G1450" s="8" t="s">
        <v>351</v>
      </c>
      <c r="H1450" s="8" t="s">
        <v>37</v>
      </c>
      <c r="I1450" s="8" t="s">
        <v>53</v>
      </c>
      <c r="J1450" s="8" t="s">
        <v>134</v>
      </c>
      <c r="K1450" s="8" t="s">
        <v>362</v>
      </c>
      <c r="L1450" s="7">
        <v>8188</v>
      </c>
      <c r="M1450" s="10" t="str">
        <f t="shared" si="132"/>
        <v>CMI02051300</v>
      </c>
      <c r="N1450" s="10" t="str">
        <f t="shared" si="133"/>
        <v>TUB291100</v>
      </c>
      <c r="O1450" s="10" t="str">
        <f t="shared" si="134"/>
        <v>E</v>
      </c>
      <c r="P1450" s="10" t="str">
        <f t="shared" si="135"/>
        <v>50</v>
      </c>
      <c r="Q1450" s="10" t="str">
        <f t="shared" si="136"/>
        <v>ZTUB</v>
      </c>
      <c r="R1450" s="10" t="str">
        <f t="shared" si="137"/>
        <v>40171600</v>
      </c>
    </row>
    <row r="1451" spans="1:18" ht="38.25" hidden="1" x14ac:dyDescent="0.2">
      <c r="A1451" s="21" t="s">
        <v>361</v>
      </c>
      <c r="B1451" s="8" t="s">
        <v>360</v>
      </c>
      <c r="C1451" s="8" t="s">
        <v>40</v>
      </c>
      <c r="D1451" s="8" t="s">
        <v>310</v>
      </c>
      <c r="E1451" s="8" t="s">
        <v>40</v>
      </c>
      <c r="F1451" s="8" t="s">
        <v>39</v>
      </c>
      <c r="G1451" s="8" t="s">
        <v>351</v>
      </c>
      <c r="H1451" s="8" t="s">
        <v>37</v>
      </c>
      <c r="I1451" s="8" t="s">
        <v>53</v>
      </c>
      <c r="J1451" s="8" t="s">
        <v>134</v>
      </c>
      <c r="K1451" s="8" t="s">
        <v>359</v>
      </c>
      <c r="L1451" s="7">
        <v>8189</v>
      </c>
      <c r="M1451" s="10" t="str">
        <f t="shared" si="132"/>
        <v>CMI02200100</v>
      </c>
      <c r="N1451" s="10" t="str">
        <f t="shared" si="133"/>
        <v>TUB291100</v>
      </c>
      <c r="O1451" s="10" t="str">
        <f t="shared" si="134"/>
        <v>E</v>
      </c>
      <c r="P1451" s="10" t="str">
        <f t="shared" si="135"/>
        <v>50</v>
      </c>
      <c r="Q1451" s="10" t="str">
        <f t="shared" si="136"/>
        <v>ZTUB</v>
      </c>
      <c r="R1451" s="10" t="str">
        <f t="shared" si="137"/>
        <v>40174900</v>
      </c>
    </row>
    <row r="1452" spans="1:18" ht="38.25" hidden="1" x14ac:dyDescent="0.2">
      <c r="A1452" s="21" t="s">
        <v>358</v>
      </c>
      <c r="B1452" s="8" t="s">
        <v>357</v>
      </c>
      <c r="C1452" s="8" t="s">
        <v>40</v>
      </c>
      <c r="D1452" s="8" t="s">
        <v>310</v>
      </c>
      <c r="E1452" s="8" t="s">
        <v>40</v>
      </c>
      <c r="F1452" s="8" t="s">
        <v>39</v>
      </c>
      <c r="G1452" s="8" t="s">
        <v>351</v>
      </c>
      <c r="H1452" s="8" t="s">
        <v>37</v>
      </c>
      <c r="I1452" s="8" t="s">
        <v>53</v>
      </c>
      <c r="J1452" s="8" t="s">
        <v>134</v>
      </c>
      <c r="K1452" s="8" t="s">
        <v>356</v>
      </c>
      <c r="L1452" s="7">
        <v>8190</v>
      </c>
      <c r="M1452" s="10" t="str">
        <f t="shared" si="132"/>
        <v>CMI02200100</v>
      </c>
      <c r="N1452" s="10" t="str">
        <f t="shared" si="133"/>
        <v>TUB291100</v>
      </c>
      <c r="O1452" s="10" t="str">
        <f t="shared" si="134"/>
        <v>E</v>
      </c>
      <c r="P1452" s="10" t="str">
        <f t="shared" si="135"/>
        <v>50</v>
      </c>
      <c r="Q1452" s="10" t="str">
        <f t="shared" si="136"/>
        <v>ZTUB</v>
      </c>
      <c r="R1452" s="10" t="str">
        <f t="shared" si="137"/>
        <v>40171700</v>
      </c>
    </row>
    <row r="1453" spans="1:18" ht="38.25" hidden="1" x14ac:dyDescent="0.2">
      <c r="A1453" s="21" t="s">
        <v>355</v>
      </c>
      <c r="B1453" s="8" t="s">
        <v>354</v>
      </c>
      <c r="C1453" s="8" t="s">
        <v>40</v>
      </c>
      <c r="D1453" s="8" t="s">
        <v>310</v>
      </c>
      <c r="E1453" s="8" t="s">
        <v>40</v>
      </c>
      <c r="F1453" s="8" t="s">
        <v>39</v>
      </c>
      <c r="G1453" s="8" t="s">
        <v>351</v>
      </c>
      <c r="H1453" s="8" t="s">
        <v>37</v>
      </c>
      <c r="I1453" s="8" t="s">
        <v>53</v>
      </c>
      <c r="J1453" s="8" t="s">
        <v>134</v>
      </c>
      <c r="K1453" s="8" t="s">
        <v>299</v>
      </c>
      <c r="L1453" s="7">
        <v>8191</v>
      </c>
      <c r="M1453" s="10" t="str">
        <f t="shared" si="132"/>
        <v>CMI02200100</v>
      </c>
      <c r="N1453" s="10" t="str">
        <f t="shared" si="133"/>
        <v>TUB291100</v>
      </c>
      <c r="O1453" s="10" t="str">
        <f t="shared" si="134"/>
        <v>E</v>
      </c>
      <c r="P1453" s="10" t="str">
        <f t="shared" si="135"/>
        <v>50</v>
      </c>
      <c r="Q1453" s="10" t="str">
        <f t="shared" si="136"/>
        <v>ZTUB</v>
      </c>
      <c r="R1453" s="10" t="str">
        <f t="shared" si="137"/>
        <v>40183112</v>
      </c>
    </row>
    <row r="1454" spans="1:18" ht="25.5" hidden="1" x14ac:dyDescent="0.2">
      <c r="A1454" s="22" t="s">
        <v>353</v>
      </c>
      <c r="B1454" s="8" t="s">
        <v>352</v>
      </c>
      <c r="C1454" s="8" t="s">
        <v>40</v>
      </c>
      <c r="D1454" s="8" t="s">
        <v>305</v>
      </c>
      <c r="E1454" s="7">
        <v>6</v>
      </c>
      <c r="F1454" s="8" t="s">
        <v>39</v>
      </c>
      <c r="G1454" s="8" t="s">
        <v>351</v>
      </c>
      <c r="H1454" s="8" t="s">
        <v>37</v>
      </c>
      <c r="I1454" s="8" t="s">
        <v>36</v>
      </c>
      <c r="J1454" s="8" t="s">
        <v>134</v>
      </c>
      <c r="K1454" s="8" t="s">
        <v>350</v>
      </c>
      <c r="L1454" s="7">
        <v>8192</v>
      </c>
      <c r="M1454" s="10" t="str">
        <f t="shared" si="132"/>
        <v>CMI02200300</v>
      </c>
      <c r="N1454" s="10" t="str">
        <f t="shared" si="133"/>
        <v>TUB291100</v>
      </c>
      <c r="O1454" s="10" t="str">
        <f t="shared" si="134"/>
        <v>E</v>
      </c>
      <c r="P1454" s="10" t="str">
        <f t="shared" si="135"/>
        <v>10</v>
      </c>
      <c r="Q1454" s="10" t="str">
        <f t="shared" si="136"/>
        <v>ZTUB</v>
      </c>
      <c r="R1454" s="10" t="str">
        <f t="shared" si="137"/>
        <v>39121434</v>
      </c>
    </row>
    <row r="1455" spans="1:18" ht="25.5" hidden="1" x14ac:dyDescent="0.2">
      <c r="A1455" s="21" t="s">
        <v>349</v>
      </c>
      <c r="B1455" s="8" t="s">
        <v>137</v>
      </c>
      <c r="C1455" s="8" t="s">
        <v>40</v>
      </c>
      <c r="D1455" s="8" t="s">
        <v>136</v>
      </c>
      <c r="E1455" s="8" t="s">
        <v>40</v>
      </c>
      <c r="F1455" s="8" t="s">
        <v>39</v>
      </c>
      <c r="G1455" s="8" t="s">
        <v>135</v>
      </c>
      <c r="H1455" s="8" t="s">
        <v>37</v>
      </c>
      <c r="I1455" s="8" t="s">
        <v>53</v>
      </c>
      <c r="J1455" s="8" t="s">
        <v>134</v>
      </c>
      <c r="K1455" s="8" t="s">
        <v>133</v>
      </c>
      <c r="L1455" s="7">
        <v>8193</v>
      </c>
      <c r="M1455" s="10" t="str">
        <f t="shared" si="132"/>
        <v>CMI02200400</v>
      </c>
      <c r="N1455" s="10" t="str">
        <f t="shared" si="133"/>
        <v>TUB291500</v>
      </c>
      <c r="O1455" s="10" t="str">
        <f t="shared" si="134"/>
        <v>E</v>
      </c>
      <c r="P1455" s="10" t="str">
        <f t="shared" si="135"/>
        <v>50</v>
      </c>
      <c r="Q1455" s="10" t="str">
        <f t="shared" si="136"/>
        <v>ZTUB</v>
      </c>
      <c r="R1455" s="10" t="str">
        <f t="shared" si="137"/>
        <v>40183100</v>
      </c>
    </row>
    <row r="1456" spans="1:18" ht="38.25" hidden="1" x14ac:dyDescent="0.2">
      <c r="A1456" s="21" t="s">
        <v>348</v>
      </c>
      <c r="B1456" s="8" t="s">
        <v>347</v>
      </c>
      <c r="C1456" s="8" t="s">
        <v>40</v>
      </c>
      <c r="D1456" s="8" t="s">
        <v>310</v>
      </c>
      <c r="E1456" s="8" t="s">
        <v>40</v>
      </c>
      <c r="F1456" s="8" t="s">
        <v>39</v>
      </c>
      <c r="G1456" s="8" t="s">
        <v>304</v>
      </c>
      <c r="H1456" s="8" t="s">
        <v>37</v>
      </c>
      <c r="I1456" s="8" t="s">
        <v>53</v>
      </c>
      <c r="J1456" s="8" t="s">
        <v>134</v>
      </c>
      <c r="K1456" s="8" t="s">
        <v>346</v>
      </c>
      <c r="L1456" s="7">
        <v>8194</v>
      </c>
      <c r="M1456" s="10" t="str">
        <f t="shared" si="132"/>
        <v>CMI02200100</v>
      </c>
      <c r="N1456" s="10" t="str">
        <f t="shared" si="133"/>
        <v>TUB291300</v>
      </c>
      <c r="O1456" s="10" t="str">
        <f t="shared" si="134"/>
        <v>E</v>
      </c>
      <c r="P1456" s="10" t="str">
        <f t="shared" si="135"/>
        <v>50</v>
      </c>
      <c r="Q1456" s="10" t="str">
        <f t="shared" si="136"/>
        <v>ZTUB</v>
      </c>
      <c r="R1456" s="10" t="str">
        <f t="shared" si="137"/>
        <v>31162906</v>
      </c>
    </row>
    <row r="1457" spans="1:18" ht="38.25" hidden="1" x14ac:dyDescent="0.2">
      <c r="A1457" s="21" t="s">
        <v>345</v>
      </c>
      <c r="B1457" s="8" t="s">
        <v>344</v>
      </c>
      <c r="C1457" s="8" t="s">
        <v>40</v>
      </c>
      <c r="D1457" s="8" t="s">
        <v>310</v>
      </c>
      <c r="E1457" s="8" t="s">
        <v>40</v>
      </c>
      <c r="F1457" s="8" t="s">
        <v>39</v>
      </c>
      <c r="G1457" s="8" t="s">
        <v>304</v>
      </c>
      <c r="H1457" s="8" t="s">
        <v>37</v>
      </c>
      <c r="I1457" s="8" t="s">
        <v>53</v>
      </c>
      <c r="J1457" s="8" t="s">
        <v>134</v>
      </c>
      <c r="K1457" s="8" t="s">
        <v>343</v>
      </c>
      <c r="L1457" s="7">
        <v>8195</v>
      </c>
      <c r="M1457" s="10" t="str">
        <f t="shared" si="132"/>
        <v>CMI02200100</v>
      </c>
      <c r="N1457" s="10" t="str">
        <f t="shared" si="133"/>
        <v>TUB291300</v>
      </c>
      <c r="O1457" s="10" t="str">
        <f t="shared" si="134"/>
        <v>E</v>
      </c>
      <c r="P1457" s="10" t="str">
        <f t="shared" si="135"/>
        <v>50</v>
      </c>
      <c r="Q1457" s="10" t="str">
        <f t="shared" si="136"/>
        <v>ZTUB</v>
      </c>
      <c r="R1457" s="10" t="str">
        <f t="shared" si="137"/>
        <v>40172700</v>
      </c>
    </row>
    <row r="1458" spans="1:18" ht="25.5" hidden="1" x14ac:dyDescent="0.2">
      <c r="A1458" s="21" t="s">
        <v>342</v>
      </c>
      <c r="B1458" s="8" t="s">
        <v>341</v>
      </c>
      <c r="C1458" s="8" t="s">
        <v>40</v>
      </c>
      <c r="D1458" s="8" t="s">
        <v>300</v>
      </c>
      <c r="E1458" s="8" t="s">
        <v>40</v>
      </c>
      <c r="F1458" s="8" t="s">
        <v>39</v>
      </c>
      <c r="G1458" s="8" t="s">
        <v>135</v>
      </c>
      <c r="H1458" s="8" t="s">
        <v>37</v>
      </c>
      <c r="I1458" s="8" t="s">
        <v>53</v>
      </c>
      <c r="J1458" s="8" t="s">
        <v>134</v>
      </c>
      <c r="K1458" s="8" t="s">
        <v>340</v>
      </c>
      <c r="L1458" s="7">
        <v>8196</v>
      </c>
      <c r="M1458" s="10" t="str">
        <f t="shared" si="132"/>
        <v>CMI02200200</v>
      </c>
      <c r="N1458" s="10" t="str">
        <f t="shared" si="133"/>
        <v>TUB291500</v>
      </c>
      <c r="O1458" s="10" t="str">
        <f t="shared" si="134"/>
        <v>E</v>
      </c>
      <c r="P1458" s="10" t="str">
        <f t="shared" si="135"/>
        <v>50</v>
      </c>
      <c r="Q1458" s="10" t="str">
        <f t="shared" si="136"/>
        <v>ZTUB</v>
      </c>
      <c r="R1458" s="10" t="str">
        <f t="shared" si="137"/>
        <v>40172900</v>
      </c>
    </row>
    <row r="1459" spans="1:18" ht="38.25" hidden="1" x14ac:dyDescent="0.2">
      <c r="A1459" s="21" t="s">
        <v>339</v>
      </c>
      <c r="B1459" s="8" t="s">
        <v>338</v>
      </c>
      <c r="C1459" s="8" t="s">
        <v>40</v>
      </c>
      <c r="D1459" s="8" t="s">
        <v>310</v>
      </c>
      <c r="E1459" s="8" t="s">
        <v>40</v>
      </c>
      <c r="F1459" s="8" t="s">
        <v>39</v>
      </c>
      <c r="G1459" s="8" t="s">
        <v>337</v>
      </c>
      <c r="H1459" s="8" t="s">
        <v>37</v>
      </c>
      <c r="I1459" s="8" t="s">
        <v>53</v>
      </c>
      <c r="J1459" s="8" t="s">
        <v>134</v>
      </c>
      <c r="K1459" s="8" t="s">
        <v>336</v>
      </c>
      <c r="L1459" s="7">
        <v>8197</v>
      </c>
      <c r="M1459" s="10" t="str">
        <f t="shared" si="132"/>
        <v>CMI02200100</v>
      </c>
      <c r="N1459" s="10" t="str">
        <f t="shared" si="133"/>
        <v>TUB291000</v>
      </c>
      <c r="O1459" s="10" t="str">
        <f t="shared" si="134"/>
        <v>E</v>
      </c>
      <c r="P1459" s="10" t="str">
        <f t="shared" si="135"/>
        <v>50</v>
      </c>
      <c r="Q1459" s="10" t="str">
        <f t="shared" si="136"/>
        <v>ZTUB</v>
      </c>
      <c r="R1459" s="10" t="str">
        <f t="shared" si="137"/>
        <v>40174607</v>
      </c>
    </row>
    <row r="1460" spans="1:18" ht="38.25" hidden="1" x14ac:dyDescent="0.2">
      <c r="A1460" s="21" t="s">
        <v>335</v>
      </c>
      <c r="B1460" s="8" t="s">
        <v>334</v>
      </c>
      <c r="C1460" s="8" t="s">
        <v>40</v>
      </c>
      <c r="D1460" s="8" t="s">
        <v>305</v>
      </c>
      <c r="E1460" s="8" t="s">
        <v>40</v>
      </c>
      <c r="F1460" s="8" t="s">
        <v>39</v>
      </c>
      <c r="G1460" s="8" t="s">
        <v>333</v>
      </c>
      <c r="H1460" s="8" t="s">
        <v>37</v>
      </c>
      <c r="I1460" s="8" t="s">
        <v>53</v>
      </c>
      <c r="J1460" s="8" t="s">
        <v>134</v>
      </c>
      <c r="K1460" s="8" t="s">
        <v>332</v>
      </c>
      <c r="L1460" s="7">
        <v>8198</v>
      </c>
      <c r="M1460" s="10" t="str">
        <f t="shared" si="132"/>
        <v>CMI02200300</v>
      </c>
      <c r="N1460" s="10" t="str">
        <f t="shared" si="133"/>
        <v>TUB291600</v>
      </c>
      <c r="O1460" s="10" t="str">
        <f t="shared" si="134"/>
        <v>E</v>
      </c>
      <c r="P1460" s="10" t="str">
        <f t="shared" si="135"/>
        <v>50</v>
      </c>
      <c r="Q1460" s="10" t="str">
        <f t="shared" si="136"/>
        <v>ZTUB</v>
      </c>
      <c r="R1460" s="10" t="str">
        <f t="shared" si="137"/>
        <v>40171602</v>
      </c>
    </row>
    <row r="1461" spans="1:18" ht="25.5" hidden="1" x14ac:dyDescent="0.2">
      <c r="A1461" s="21" t="s">
        <v>331</v>
      </c>
      <c r="B1461" s="8" t="s">
        <v>330</v>
      </c>
      <c r="C1461" s="8" t="s">
        <v>40</v>
      </c>
      <c r="D1461" s="8" t="s">
        <v>300</v>
      </c>
      <c r="E1461" s="8" t="s">
        <v>40</v>
      </c>
      <c r="F1461" s="8" t="s">
        <v>39</v>
      </c>
      <c r="G1461" s="8" t="s">
        <v>135</v>
      </c>
      <c r="H1461" s="8" t="s">
        <v>37</v>
      </c>
      <c r="I1461" s="8" t="s">
        <v>53</v>
      </c>
      <c r="J1461" s="8" t="s">
        <v>134</v>
      </c>
      <c r="K1461" s="8" t="s">
        <v>329</v>
      </c>
      <c r="L1461" s="7">
        <v>8199</v>
      </c>
      <c r="M1461" s="10" t="str">
        <f t="shared" si="132"/>
        <v>CMI02200200</v>
      </c>
      <c r="N1461" s="10" t="str">
        <f t="shared" si="133"/>
        <v>TUB291500</v>
      </c>
      <c r="O1461" s="10" t="str">
        <f t="shared" si="134"/>
        <v>E</v>
      </c>
      <c r="P1461" s="10" t="str">
        <f t="shared" si="135"/>
        <v>50</v>
      </c>
      <c r="Q1461" s="10" t="str">
        <f t="shared" si="136"/>
        <v>ZTUB</v>
      </c>
      <c r="R1461" s="10" t="str">
        <f t="shared" si="137"/>
        <v>40175208</v>
      </c>
    </row>
    <row r="1462" spans="1:18" ht="38.25" hidden="1" x14ac:dyDescent="0.2">
      <c r="A1462" s="21" t="s">
        <v>328</v>
      </c>
      <c r="B1462" s="8" t="s">
        <v>327</v>
      </c>
      <c r="C1462" s="8" t="s">
        <v>40</v>
      </c>
      <c r="D1462" s="8" t="s">
        <v>326</v>
      </c>
      <c r="E1462" s="8" t="s">
        <v>40</v>
      </c>
      <c r="F1462" s="8" t="s">
        <v>39</v>
      </c>
      <c r="G1462" s="8" t="s">
        <v>325</v>
      </c>
      <c r="H1462" s="8" t="s">
        <v>37</v>
      </c>
      <c r="I1462" s="8" t="s">
        <v>53</v>
      </c>
      <c r="J1462" s="8" t="s">
        <v>134</v>
      </c>
      <c r="K1462" s="8" t="s">
        <v>324</v>
      </c>
      <c r="L1462" s="7">
        <v>8200</v>
      </c>
      <c r="M1462" s="10" t="str">
        <f t="shared" si="132"/>
        <v>CMI02050400</v>
      </c>
      <c r="N1462" s="10" t="str">
        <f t="shared" si="133"/>
        <v>TUB291900</v>
      </c>
      <c r="O1462" s="10" t="str">
        <f t="shared" si="134"/>
        <v>E</v>
      </c>
      <c r="P1462" s="10" t="str">
        <f t="shared" si="135"/>
        <v>50</v>
      </c>
      <c r="Q1462" s="10" t="str">
        <f t="shared" si="136"/>
        <v>ZTUB</v>
      </c>
      <c r="R1462" s="10" t="str">
        <f t="shared" si="137"/>
        <v>40171610</v>
      </c>
    </row>
    <row r="1463" spans="1:18" ht="25.5" hidden="1" x14ac:dyDescent="0.2">
      <c r="A1463" s="21" t="s">
        <v>323</v>
      </c>
      <c r="B1463" s="8" t="s">
        <v>322</v>
      </c>
      <c r="C1463" s="8" t="s">
        <v>40</v>
      </c>
      <c r="D1463" s="8" t="s">
        <v>321</v>
      </c>
      <c r="E1463" s="8" t="s">
        <v>40</v>
      </c>
      <c r="F1463" s="8" t="s">
        <v>39</v>
      </c>
      <c r="G1463" s="8" t="s">
        <v>304</v>
      </c>
      <c r="H1463" s="8" t="s">
        <v>37</v>
      </c>
      <c r="I1463" s="8" t="s">
        <v>53</v>
      </c>
      <c r="J1463" s="8" t="s">
        <v>134</v>
      </c>
      <c r="K1463" s="8" t="s">
        <v>320</v>
      </c>
      <c r="L1463" s="7">
        <v>8201</v>
      </c>
      <c r="M1463" s="10" t="str">
        <f t="shared" si="132"/>
        <v>CMI02050100</v>
      </c>
      <c r="N1463" s="10" t="str">
        <f t="shared" si="133"/>
        <v>TUB291300</v>
      </c>
      <c r="O1463" s="10" t="str">
        <f t="shared" si="134"/>
        <v>E</v>
      </c>
      <c r="P1463" s="10" t="str">
        <f t="shared" si="135"/>
        <v>50</v>
      </c>
      <c r="Q1463" s="10" t="str">
        <f t="shared" si="136"/>
        <v>ZTUB</v>
      </c>
      <c r="R1463" s="10" t="str">
        <f t="shared" si="137"/>
        <v>31201521</v>
      </c>
    </row>
    <row r="1464" spans="1:18" ht="25.5" hidden="1" x14ac:dyDescent="0.2">
      <c r="A1464" s="21" t="s">
        <v>319</v>
      </c>
      <c r="B1464" s="8" t="s">
        <v>318</v>
      </c>
      <c r="C1464" s="8" t="s">
        <v>40</v>
      </c>
      <c r="D1464" s="8" t="s">
        <v>305</v>
      </c>
      <c r="E1464" s="7">
        <v>6</v>
      </c>
      <c r="F1464" s="8" t="s">
        <v>39</v>
      </c>
      <c r="G1464" s="8" t="s">
        <v>317</v>
      </c>
      <c r="H1464" s="8" t="s">
        <v>37</v>
      </c>
      <c r="I1464" s="8" t="s">
        <v>36</v>
      </c>
      <c r="J1464" s="8" t="s">
        <v>134</v>
      </c>
      <c r="K1464" s="8" t="s">
        <v>316</v>
      </c>
      <c r="L1464" s="7">
        <v>8202</v>
      </c>
      <c r="M1464" s="10" t="str">
        <f t="shared" si="132"/>
        <v>CMI02200300</v>
      </c>
      <c r="N1464" s="10" t="str">
        <f t="shared" si="133"/>
        <v>TUB291700</v>
      </c>
      <c r="O1464" s="10" t="str">
        <f t="shared" si="134"/>
        <v>E</v>
      </c>
      <c r="P1464" s="10" t="str">
        <f t="shared" si="135"/>
        <v>10</v>
      </c>
      <c r="Q1464" s="10" t="str">
        <f t="shared" si="136"/>
        <v>ZTUB</v>
      </c>
      <c r="R1464" s="10" t="str">
        <f t="shared" si="137"/>
        <v>40182400</v>
      </c>
    </row>
    <row r="1465" spans="1:18" ht="25.5" hidden="1" x14ac:dyDescent="0.2">
      <c r="A1465" s="21" t="s">
        <v>315</v>
      </c>
      <c r="B1465" s="8" t="s">
        <v>314</v>
      </c>
      <c r="C1465" s="8" t="s">
        <v>40</v>
      </c>
      <c r="D1465" s="8" t="s">
        <v>249</v>
      </c>
      <c r="E1465" s="8" t="s">
        <v>40</v>
      </c>
      <c r="F1465" s="8" t="s">
        <v>39</v>
      </c>
      <c r="G1465" s="8" t="s">
        <v>304</v>
      </c>
      <c r="H1465" s="8" t="s">
        <v>37</v>
      </c>
      <c r="I1465" s="8" t="s">
        <v>53</v>
      </c>
      <c r="J1465" s="8" t="s">
        <v>134</v>
      </c>
      <c r="K1465" s="8" t="s">
        <v>313</v>
      </c>
      <c r="L1465" s="7">
        <v>8203</v>
      </c>
      <c r="M1465" s="10" t="str">
        <f t="shared" si="132"/>
        <v>CMI02090700</v>
      </c>
      <c r="N1465" s="10" t="str">
        <f t="shared" si="133"/>
        <v>TUB291300</v>
      </c>
      <c r="O1465" s="10" t="str">
        <f t="shared" si="134"/>
        <v>E</v>
      </c>
      <c r="P1465" s="10" t="str">
        <f t="shared" si="135"/>
        <v>50</v>
      </c>
      <c r="Q1465" s="10" t="str">
        <f t="shared" si="136"/>
        <v>ZTUB</v>
      </c>
      <c r="R1465" s="10" t="str">
        <f t="shared" si="137"/>
        <v>31162412</v>
      </c>
    </row>
    <row r="1466" spans="1:18" ht="38.25" hidden="1" x14ac:dyDescent="0.2">
      <c r="A1466" s="21" t="s">
        <v>312</v>
      </c>
      <c r="B1466" s="8" t="s">
        <v>311</v>
      </c>
      <c r="C1466" s="8" t="s">
        <v>40</v>
      </c>
      <c r="D1466" s="8" t="s">
        <v>310</v>
      </c>
      <c r="E1466" s="8" t="s">
        <v>40</v>
      </c>
      <c r="F1466" s="8" t="s">
        <v>39</v>
      </c>
      <c r="G1466" s="8" t="s">
        <v>309</v>
      </c>
      <c r="H1466" s="8" t="s">
        <v>37</v>
      </c>
      <c r="I1466" s="8" t="s">
        <v>53</v>
      </c>
      <c r="J1466" s="8" t="s">
        <v>134</v>
      </c>
      <c r="K1466" s="8" t="s">
        <v>308</v>
      </c>
      <c r="L1466" s="7">
        <v>8204</v>
      </c>
      <c r="M1466" s="10" t="str">
        <f t="shared" si="132"/>
        <v>CMI02200100</v>
      </c>
      <c r="N1466" s="10" t="str">
        <f t="shared" si="133"/>
        <v>TUB291200</v>
      </c>
      <c r="O1466" s="10" t="str">
        <f t="shared" si="134"/>
        <v>E</v>
      </c>
      <c r="P1466" s="10" t="str">
        <f t="shared" si="135"/>
        <v>50</v>
      </c>
      <c r="Q1466" s="10" t="str">
        <f t="shared" si="136"/>
        <v>ZTUB</v>
      </c>
      <c r="R1466" s="10" t="str">
        <f t="shared" si="137"/>
        <v>40174912</v>
      </c>
    </row>
    <row r="1467" spans="1:18" ht="25.5" hidden="1" x14ac:dyDescent="0.2">
      <c r="A1467" s="22" t="s">
        <v>307</v>
      </c>
      <c r="B1467" s="8" t="s">
        <v>306</v>
      </c>
      <c r="C1467" s="8" t="s">
        <v>40</v>
      </c>
      <c r="D1467" s="8" t="s">
        <v>305</v>
      </c>
      <c r="E1467" s="8" t="s">
        <v>40</v>
      </c>
      <c r="F1467" s="8" t="s">
        <v>39</v>
      </c>
      <c r="G1467" s="8" t="s">
        <v>304</v>
      </c>
      <c r="H1467" s="8" t="s">
        <v>37</v>
      </c>
      <c r="I1467" s="8" t="s">
        <v>53</v>
      </c>
      <c r="J1467" s="8" t="s">
        <v>134</v>
      </c>
      <c r="K1467" s="8" t="s">
        <v>303</v>
      </c>
      <c r="L1467" s="7">
        <v>8205</v>
      </c>
      <c r="M1467" s="10" t="str">
        <f t="shared" si="132"/>
        <v>CMI02200300</v>
      </c>
      <c r="N1467" s="10" t="str">
        <f t="shared" si="133"/>
        <v>TUB291300</v>
      </c>
      <c r="O1467" s="10" t="str">
        <f t="shared" si="134"/>
        <v>E</v>
      </c>
      <c r="P1467" s="10" t="str">
        <f t="shared" si="135"/>
        <v>50</v>
      </c>
      <c r="Q1467" s="10" t="str">
        <f t="shared" si="136"/>
        <v>ZTUB</v>
      </c>
      <c r="R1467" s="10" t="str">
        <f t="shared" si="137"/>
        <v>40172300</v>
      </c>
    </row>
    <row r="1468" spans="1:18" ht="25.5" hidden="1" x14ac:dyDescent="0.2">
      <c r="A1468" s="22" t="s">
        <v>302</v>
      </c>
      <c r="B1468" s="8" t="s">
        <v>301</v>
      </c>
      <c r="C1468" s="8" t="s">
        <v>40</v>
      </c>
      <c r="D1468" s="8" t="s">
        <v>300</v>
      </c>
      <c r="E1468" s="8" t="s">
        <v>40</v>
      </c>
      <c r="F1468" s="8" t="s">
        <v>39</v>
      </c>
      <c r="G1468" s="8" t="s">
        <v>135</v>
      </c>
      <c r="H1468" s="8" t="s">
        <v>37</v>
      </c>
      <c r="I1468" s="8" t="s">
        <v>53</v>
      </c>
      <c r="J1468" s="8" t="s">
        <v>134</v>
      </c>
      <c r="K1468" s="8" t="s">
        <v>299</v>
      </c>
      <c r="L1468" s="7">
        <v>8206</v>
      </c>
      <c r="M1468" s="10" t="str">
        <f t="shared" si="132"/>
        <v>CMI02200200</v>
      </c>
      <c r="N1468" s="10" t="str">
        <f t="shared" si="133"/>
        <v>TUB291500</v>
      </c>
      <c r="O1468" s="10" t="str">
        <f t="shared" si="134"/>
        <v>E</v>
      </c>
      <c r="P1468" s="10" t="str">
        <f t="shared" si="135"/>
        <v>50</v>
      </c>
      <c r="Q1468" s="10" t="str">
        <f t="shared" si="136"/>
        <v>ZTUB</v>
      </c>
      <c r="R1468" s="10" t="str">
        <f t="shared" si="137"/>
        <v>40183112</v>
      </c>
    </row>
    <row r="1469" spans="1:18" ht="25.5" hidden="1" x14ac:dyDescent="0.2">
      <c r="A1469" s="21" t="s">
        <v>298</v>
      </c>
      <c r="B1469" s="8" t="s">
        <v>297</v>
      </c>
      <c r="C1469" s="8" t="s">
        <v>40</v>
      </c>
      <c r="D1469" s="8" t="s">
        <v>296</v>
      </c>
      <c r="E1469" s="8" t="s">
        <v>40</v>
      </c>
      <c r="F1469" s="8" t="s">
        <v>39</v>
      </c>
      <c r="G1469" s="8" t="s">
        <v>295</v>
      </c>
      <c r="H1469" s="8" t="s">
        <v>37</v>
      </c>
      <c r="I1469" s="8" t="s">
        <v>53</v>
      </c>
      <c r="J1469" s="8" t="s">
        <v>284</v>
      </c>
      <c r="K1469" s="8" t="s">
        <v>294</v>
      </c>
      <c r="L1469" s="7">
        <v>8207</v>
      </c>
      <c r="M1469" s="10" t="str">
        <f t="shared" si="132"/>
        <v>CMI01060700</v>
      </c>
      <c r="N1469" s="10" t="str">
        <f t="shared" si="133"/>
        <v>VEH381000</v>
      </c>
      <c r="O1469" s="10" t="str">
        <f t="shared" si="134"/>
        <v>E</v>
      </c>
      <c r="P1469" s="10" t="str">
        <f t="shared" si="135"/>
        <v>50</v>
      </c>
      <c r="Q1469" s="10" t="str">
        <f t="shared" si="136"/>
        <v>ZVEH</v>
      </c>
      <c r="R1469" s="10" t="str">
        <f t="shared" si="137"/>
        <v>25101801</v>
      </c>
    </row>
    <row r="1470" spans="1:18" ht="25.5" hidden="1" x14ac:dyDescent="0.2">
      <c r="A1470" s="21" t="s">
        <v>293</v>
      </c>
      <c r="B1470" s="8" t="s">
        <v>292</v>
      </c>
      <c r="C1470" s="8" t="s">
        <v>40</v>
      </c>
      <c r="D1470" s="8" t="s">
        <v>291</v>
      </c>
      <c r="E1470" s="8" t="s">
        <v>40</v>
      </c>
      <c r="F1470" s="8" t="s">
        <v>39</v>
      </c>
      <c r="G1470" s="8" t="s">
        <v>290</v>
      </c>
      <c r="H1470" s="8" t="s">
        <v>37</v>
      </c>
      <c r="I1470" s="8" t="s">
        <v>53</v>
      </c>
      <c r="J1470" s="8" t="s">
        <v>284</v>
      </c>
      <c r="K1470" s="8" t="s">
        <v>289</v>
      </c>
      <c r="L1470" s="7">
        <v>8208</v>
      </c>
      <c r="M1470" s="10" t="str">
        <f t="shared" si="132"/>
        <v>CMI01060200</v>
      </c>
      <c r="N1470" s="10" t="str">
        <f t="shared" si="133"/>
        <v>VEH381500</v>
      </c>
      <c r="O1470" s="10" t="str">
        <f t="shared" si="134"/>
        <v>E</v>
      </c>
      <c r="P1470" s="10" t="str">
        <f t="shared" si="135"/>
        <v>50</v>
      </c>
      <c r="Q1470" s="10" t="str">
        <f t="shared" si="136"/>
        <v>ZVEH</v>
      </c>
      <c r="R1470" s="10" t="str">
        <f t="shared" si="137"/>
        <v>25101611</v>
      </c>
    </row>
    <row r="1471" spans="1:18" ht="25.5" hidden="1" x14ac:dyDescent="0.2">
      <c r="A1471" s="21" t="s">
        <v>288</v>
      </c>
      <c r="B1471" s="8" t="s">
        <v>287</v>
      </c>
      <c r="C1471" s="8" t="s">
        <v>40</v>
      </c>
      <c r="D1471" s="8" t="s">
        <v>286</v>
      </c>
      <c r="E1471" s="8" t="s">
        <v>40</v>
      </c>
      <c r="F1471" s="8" t="s">
        <v>39</v>
      </c>
      <c r="G1471" s="8" t="s">
        <v>285</v>
      </c>
      <c r="H1471" s="8" t="s">
        <v>37</v>
      </c>
      <c r="I1471" s="8" t="s">
        <v>53</v>
      </c>
      <c r="J1471" s="8" t="s">
        <v>284</v>
      </c>
      <c r="K1471" s="8" t="s">
        <v>283</v>
      </c>
      <c r="L1471" s="7">
        <v>8209</v>
      </c>
      <c r="M1471" s="10" t="str">
        <f t="shared" si="132"/>
        <v>CMI01061000</v>
      </c>
      <c r="N1471" s="10" t="str">
        <f t="shared" si="133"/>
        <v>VEH381100</v>
      </c>
      <c r="O1471" s="10" t="str">
        <f t="shared" si="134"/>
        <v>E</v>
      </c>
      <c r="P1471" s="10" t="str">
        <f t="shared" si="135"/>
        <v>50</v>
      </c>
      <c r="Q1471" s="10" t="str">
        <f t="shared" si="136"/>
        <v>ZVEH</v>
      </c>
      <c r="R1471" s="10" t="str">
        <f t="shared" si="137"/>
        <v>25101507</v>
      </c>
    </row>
    <row r="1472" spans="1:18" ht="63.75" hidden="1" x14ac:dyDescent="0.2">
      <c r="A1472" s="21" t="s">
        <v>282</v>
      </c>
      <c r="B1472" s="8" t="s">
        <v>281</v>
      </c>
      <c r="C1472" s="8" t="s">
        <v>40</v>
      </c>
      <c r="D1472" s="8" t="s">
        <v>141</v>
      </c>
      <c r="E1472" s="8" t="s">
        <v>40</v>
      </c>
      <c r="F1472" s="8" t="s">
        <v>39</v>
      </c>
      <c r="G1472" s="8" t="s">
        <v>280</v>
      </c>
      <c r="H1472" s="8" t="s">
        <v>37</v>
      </c>
      <c r="I1472" s="8" t="s">
        <v>53</v>
      </c>
      <c r="J1472" s="8" t="s">
        <v>279</v>
      </c>
      <c r="K1472" s="8" t="s">
        <v>278</v>
      </c>
      <c r="L1472" s="7">
        <v>8210</v>
      </c>
      <c r="M1472" s="10" t="str">
        <f t="shared" si="132"/>
        <v>CMI02150200</v>
      </c>
      <c r="N1472" s="10" t="str">
        <f t="shared" si="133"/>
        <v>MER391200</v>
      </c>
      <c r="O1472" s="10" t="str">
        <f t="shared" si="134"/>
        <v>E</v>
      </c>
      <c r="P1472" s="10" t="str">
        <f t="shared" si="135"/>
        <v>50</v>
      </c>
      <c r="Q1472" s="10" t="str">
        <f t="shared" si="136"/>
        <v>ZMER</v>
      </c>
      <c r="R1472" s="10" t="str">
        <f t="shared" si="137"/>
        <v>42222102</v>
      </c>
    </row>
    <row r="1473" spans="1:18" ht="38.25" hidden="1" x14ac:dyDescent="0.2">
      <c r="A1473" s="21" t="s">
        <v>277</v>
      </c>
      <c r="B1473" s="8" t="s">
        <v>276</v>
      </c>
      <c r="C1473" s="8" t="s">
        <v>40</v>
      </c>
      <c r="D1473" s="8" t="s">
        <v>275</v>
      </c>
      <c r="E1473" s="8" t="s">
        <v>40</v>
      </c>
      <c r="F1473" s="8" t="s">
        <v>39</v>
      </c>
      <c r="G1473" s="8" t="s">
        <v>69</v>
      </c>
      <c r="H1473" s="8" t="s">
        <v>37</v>
      </c>
      <c r="I1473" s="8" t="s">
        <v>53</v>
      </c>
      <c r="J1473" s="8" t="s">
        <v>68</v>
      </c>
      <c r="K1473" s="8" t="s">
        <v>274</v>
      </c>
      <c r="L1473" s="7">
        <v>8211</v>
      </c>
      <c r="M1473" s="10" t="str">
        <f t="shared" si="132"/>
        <v>CMI01030300</v>
      </c>
      <c r="N1473" s="10" t="str">
        <f t="shared" si="133"/>
        <v>MOB361000</v>
      </c>
      <c r="O1473" s="10" t="str">
        <f t="shared" si="134"/>
        <v>E</v>
      </c>
      <c r="P1473" s="10" t="str">
        <f t="shared" si="135"/>
        <v>50</v>
      </c>
      <c r="Q1473" s="10" t="str">
        <f t="shared" si="136"/>
        <v>ZMOB</v>
      </c>
      <c r="R1473" s="10" t="str">
        <f t="shared" si="137"/>
        <v>48101521</v>
      </c>
    </row>
    <row r="1474" spans="1:18" ht="25.5" hidden="1" x14ac:dyDescent="0.2">
      <c r="A1474" s="21" t="s">
        <v>273</v>
      </c>
      <c r="B1474" s="8" t="s">
        <v>272</v>
      </c>
      <c r="C1474" s="8" t="s">
        <v>40</v>
      </c>
      <c r="D1474" s="8" t="s">
        <v>245</v>
      </c>
      <c r="E1474" s="8" t="s">
        <v>40</v>
      </c>
      <c r="F1474" s="8" t="s">
        <v>39</v>
      </c>
      <c r="G1474" s="8" t="s">
        <v>240</v>
      </c>
      <c r="H1474" s="8" t="s">
        <v>37</v>
      </c>
      <c r="I1474" s="8" t="s">
        <v>53</v>
      </c>
      <c r="J1474" s="8" t="s">
        <v>46</v>
      </c>
      <c r="K1474" s="8" t="s">
        <v>271</v>
      </c>
      <c r="L1474" s="7">
        <v>8212</v>
      </c>
      <c r="M1474" s="10" t="str">
        <f t="shared" si="132"/>
        <v>CMI01020300</v>
      </c>
      <c r="N1474" s="10" t="str">
        <f t="shared" si="133"/>
        <v>REP201000</v>
      </c>
      <c r="O1474" s="10" t="str">
        <f t="shared" si="134"/>
        <v>E</v>
      </c>
      <c r="P1474" s="10" t="str">
        <f t="shared" si="135"/>
        <v>50</v>
      </c>
      <c r="Q1474" s="10" t="str">
        <f t="shared" si="136"/>
        <v>ZRPI</v>
      </c>
      <c r="R1474" s="10" t="str">
        <f t="shared" si="137"/>
        <v>40101700</v>
      </c>
    </row>
    <row r="1475" spans="1:18" ht="25.5" hidden="1" x14ac:dyDescent="0.2">
      <c r="A1475" s="21" t="s">
        <v>270</v>
      </c>
      <c r="B1475" s="8" t="s">
        <v>269</v>
      </c>
      <c r="C1475" s="8" t="s">
        <v>40</v>
      </c>
      <c r="D1475" s="8" t="s">
        <v>249</v>
      </c>
      <c r="E1475" s="8" t="s">
        <v>40</v>
      </c>
      <c r="F1475" s="8" t="s">
        <v>39</v>
      </c>
      <c r="G1475" s="8" t="s">
        <v>54</v>
      </c>
      <c r="H1475" s="8" t="s">
        <v>37</v>
      </c>
      <c r="I1475" s="8" t="s">
        <v>53</v>
      </c>
      <c r="J1475" s="8" t="s">
        <v>46</v>
      </c>
      <c r="K1475" s="8" t="s">
        <v>268</v>
      </c>
      <c r="L1475" s="7">
        <v>8213</v>
      </c>
      <c r="M1475" s="10" t="str">
        <f t="shared" ref="M1475:M1537" si="138">+LEFT(D1475,11)</f>
        <v>CMI02090700</v>
      </c>
      <c r="N1475" s="10" t="str">
        <f t="shared" ref="N1475:N1537" si="139">+LEFT(G1475,9)</f>
        <v>REP201100</v>
      </c>
      <c r="O1475" s="10" t="str">
        <f t="shared" ref="O1475:O1537" si="140">+LEFT(H1475,1)</f>
        <v>E</v>
      </c>
      <c r="P1475" s="10" t="str">
        <f t="shared" ref="P1475:P1537" si="141">+LEFT(I1475,2)</f>
        <v>50</v>
      </c>
      <c r="Q1475" s="10" t="str">
        <f t="shared" ref="Q1475:Q1537" si="142">+LEFT(J1475,4)</f>
        <v>ZRPI</v>
      </c>
      <c r="R1475" s="10" t="str">
        <f t="shared" ref="R1475:R1537" si="143">+LEFT(K1475,8)</f>
        <v>23153135</v>
      </c>
    </row>
    <row r="1476" spans="1:18" ht="25.5" hidden="1" x14ac:dyDescent="0.2">
      <c r="A1476" s="21" t="s">
        <v>267</v>
      </c>
      <c r="B1476" s="8" t="s">
        <v>266</v>
      </c>
      <c r="C1476" s="8" t="s">
        <v>40</v>
      </c>
      <c r="D1476" s="8" t="s">
        <v>241</v>
      </c>
      <c r="E1476" s="8" t="s">
        <v>40</v>
      </c>
      <c r="F1476" s="8" t="s">
        <v>39</v>
      </c>
      <c r="G1476" s="8" t="s">
        <v>54</v>
      </c>
      <c r="H1476" s="8" t="s">
        <v>37</v>
      </c>
      <c r="I1476" s="8" t="s">
        <v>53</v>
      </c>
      <c r="J1476" s="8" t="s">
        <v>46</v>
      </c>
      <c r="K1476" s="8" t="s">
        <v>265</v>
      </c>
      <c r="L1476" s="7">
        <v>8214</v>
      </c>
      <c r="M1476" s="10" t="str">
        <f t="shared" si="138"/>
        <v>CMI02090300</v>
      </c>
      <c r="N1476" s="10" t="str">
        <f t="shared" si="139"/>
        <v>REP201100</v>
      </c>
      <c r="O1476" s="10" t="str">
        <f t="shared" si="140"/>
        <v>E</v>
      </c>
      <c r="P1476" s="10" t="str">
        <f t="shared" si="141"/>
        <v>50</v>
      </c>
      <c r="Q1476" s="10" t="str">
        <f t="shared" si="142"/>
        <v>ZRPI</v>
      </c>
      <c r="R1476" s="10" t="str">
        <f t="shared" si="143"/>
        <v>39121600</v>
      </c>
    </row>
    <row r="1477" spans="1:18" ht="38.25" hidden="1" x14ac:dyDescent="0.2">
      <c r="A1477" s="21" t="s">
        <v>264</v>
      </c>
      <c r="B1477" s="8" t="s">
        <v>263</v>
      </c>
      <c r="C1477" s="8" t="s">
        <v>40</v>
      </c>
      <c r="D1477" s="8" t="s">
        <v>55</v>
      </c>
      <c r="E1477" s="8" t="s">
        <v>40</v>
      </c>
      <c r="F1477" s="8" t="s">
        <v>39</v>
      </c>
      <c r="G1477" s="8" t="s">
        <v>54</v>
      </c>
      <c r="H1477" s="8" t="s">
        <v>37</v>
      </c>
      <c r="I1477" s="8" t="s">
        <v>53</v>
      </c>
      <c r="J1477" s="8" t="s">
        <v>46</v>
      </c>
      <c r="K1477" s="8" t="s">
        <v>262</v>
      </c>
      <c r="L1477" s="7">
        <v>8215</v>
      </c>
      <c r="M1477" s="10" t="str">
        <f t="shared" si="138"/>
        <v>CMI02140300</v>
      </c>
      <c r="N1477" s="10" t="str">
        <f t="shared" si="139"/>
        <v>REP201100</v>
      </c>
      <c r="O1477" s="10" t="str">
        <f t="shared" si="140"/>
        <v>E</v>
      </c>
      <c r="P1477" s="10" t="str">
        <f t="shared" si="141"/>
        <v>50</v>
      </c>
      <c r="Q1477" s="10" t="str">
        <f t="shared" si="142"/>
        <v>ZRPI</v>
      </c>
      <c r="R1477" s="10" t="str">
        <f t="shared" si="143"/>
        <v>41111900</v>
      </c>
    </row>
    <row r="1478" spans="1:18" ht="38.25" hidden="1" x14ac:dyDescent="0.2">
      <c r="A1478" s="21" t="s">
        <v>261</v>
      </c>
      <c r="B1478" s="8" t="s">
        <v>260</v>
      </c>
      <c r="C1478" s="8" t="s">
        <v>40</v>
      </c>
      <c r="D1478" s="8" t="s">
        <v>241</v>
      </c>
      <c r="E1478" s="8" t="s">
        <v>40</v>
      </c>
      <c r="F1478" s="8" t="s">
        <v>39</v>
      </c>
      <c r="G1478" s="8" t="s">
        <v>240</v>
      </c>
      <c r="H1478" s="8" t="s">
        <v>37</v>
      </c>
      <c r="I1478" s="8" t="s">
        <v>53</v>
      </c>
      <c r="J1478" s="8" t="s">
        <v>46</v>
      </c>
      <c r="K1478" s="8" t="s">
        <v>259</v>
      </c>
      <c r="L1478" s="7">
        <v>8216</v>
      </c>
      <c r="M1478" s="10" t="str">
        <f t="shared" si="138"/>
        <v>CMI02090300</v>
      </c>
      <c r="N1478" s="10" t="str">
        <f t="shared" si="139"/>
        <v>REP201000</v>
      </c>
      <c r="O1478" s="10" t="str">
        <f t="shared" si="140"/>
        <v>E</v>
      </c>
      <c r="P1478" s="10" t="str">
        <f t="shared" si="141"/>
        <v>50</v>
      </c>
      <c r="Q1478" s="10" t="str">
        <f t="shared" si="142"/>
        <v>ZRPI</v>
      </c>
      <c r="R1478" s="10" t="str">
        <f t="shared" si="143"/>
        <v>39121013</v>
      </c>
    </row>
    <row r="1479" spans="1:18" ht="25.5" hidden="1" x14ac:dyDescent="0.2">
      <c r="A1479" s="21" t="s">
        <v>258</v>
      </c>
      <c r="B1479" s="8" t="s">
        <v>257</v>
      </c>
      <c r="C1479" s="8" t="s">
        <v>40</v>
      </c>
      <c r="D1479" s="8" t="s">
        <v>256</v>
      </c>
      <c r="E1479" s="8" t="s">
        <v>40</v>
      </c>
      <c r="F1479" s="8" t="s">
        <v>39</v>
      </c>
      <c r="G1479" s="8" t="s">
        <v>54</v>
      </c>
      <c r="H1479" s="8" t="s">
        <v>37</v>
      </c>
      <c r="I1479" s="8" t="s">
        <v>53</v>
      </c>
      <c r="J1479" s="8" t="s">
        <v>46</v>
      </c>
      <c r="K1479" s="8" t="s">
        <v>255</v>
      </c>
      <c r="L1479" s="7">
        <v>8217</v>
      </c>
      <c r="M1479" s="10" t="str">
        <f t="shared" si="138"/>
        <v>CMI02090900</v>
      </c>
      <c r="N1479" s="10" t="str">
        <f t="shared" si="139"/>
        <v>REP201100</v>
      </c>
      <c r="O1479" s="10" t="str">
        <f t="shared" si="140"/>
        <v>E</v>
      </c>
      <c r="P1479" s="10" t="str">
        <f t="shared" si="141"/>
        <v>50</v>
      </c>
      <c r="Q1479" s="10" t="str">
        <f t="shared" si="142"/>
        <v>ZRPI</v>
      </c>
      <c r="R1479" s="10" t="str">
        <f t="shared" si="143"/>
        <v>26111603</v>
      </c>
    </row>
    <row r="1480" spans="1:18" ht="25.5" hidden="1" x14ac:dyDescent="0.2">
      <c r="A1480" s="21" t="s">
        <v>254</v>
      </c>
      <c r="B1480" s="8" t="s">
        <v>253</v>
      </c>
      <c r="C1480" s="8" t="s">
        <v>40</v>
      </c>
      <c r="D1480" s="8" t="s">
        <v>78</v>
      </c>
      <c r="E1480" s="8" t="s">
        <v>40</v>
      </c>
      <c r="F1480" s="8" t="s">
        <v>39</v>
      </c>
      <c r="G1480" s="8" t="s">
        <v>240</v>
      </c>
      <c r="H1480" s="8" t="s">
        <v>37</v>
      </c>
      <c r="I1480" s="8" t="s">
        <v>53</v>
      </c>
      <c r="J1480" s="8" t="s">
        <v>46</v>
      </c>
      <c r="K1480" s="8" t="s">
        <v>252</v>
      </c>
      <c r="L1480" s="7">
        <v>8218</v>
      </c>
      <c r="M1480" s="10" t="str">
        <f t="shared" si="138"/>
        <v>CMI02090400</v>
      </c>
      <c r="N1480" s="10" t="str">
        <f t="shared" si="139"/>
        <v>REP201000</v>
      </c>
      <c r="O1480" s="10" t="str">
        <f t="shared" si="140"/>
        <v>E</v>
      </c>
      <c r="P1480" s="10" t="str">
        <f t="shared" si="141"/>
        <v>50</v>
      </c>
      <c r="Q1480" s="10" t="str">
        <f t="shared" si="142"/>
        <v>ZRPI</v>
      </c>
      <c r="R1480" s="10" t="str">
        <f t="shared" si="143"/>
        <v>41112200</v>
      </c>
    </row>
    <row r="1481" spans="1:18" ht="25.5" hidden="1" x14ac:dyDescent="0.2">
      <c r="A1481" s="21" t="s">
        <v>251</v>
      </c>
      <c r="B1481" s="8" t="s">
        <v>250</v>
      </c>
      <c r="C1481" s="8" t="s">
        <v>40</v>
      </c>
      <c r="D1481" s="8" t="s">
        <v>249</v>
      </c>
      <c r="E1481" s="8" t="s">
        <v>40</v>
      </c>
      <c r="F1481" s="8" t="s">
        <v>39</v>
      </c>
      <c r="G1481" s="8" t="s">
        <v>54</v>
      </c>
      <c r="H1481" s="8" t="s">
        <v>37</v>
      </c>
      <c r="I1481" s="8" t="s">
        <v>53</v>
      </c>
      <c r="J1481" s="8" t="s">
        <v>46</v>
      </c>
      <c r="K1481" s="8" t="s">
        <v>248</v>
      </c>
      <c r="L1481" s="7">
        <v>8219</v>
      </c>
      <c r="M1481" s="10" t="str">
        <f t="shared" si="138"/>
        <v>CMI02090700</v>
      </c>
      <c r="N1481" s="10" t="str">
        <f t="shared" si="139"/>
        <v>REP201100</v>
      </c>
      <c r="O1481" s="10" t="str">
        <f t="shared" si="140"/>
        <v>E</v>
      </c>
      <c r="P1481" s="10" t="str">
        <f t="shared" si="141"/>
        <v>50</v>
      </c>
      <c r="Q1481" s="10" t="str">
        <f t="shared" si="142"/>
        <v>ZRPI</v>
      </c>
      <c r="R1481" s="10" t="str">
        <f t="shared" si="143"/>
        <v>24112900</v>
      </c>
    </row>
    <row r="1482" spans="1:18" ht="38.25" hidden="1" x14ac:dyDescent="0.2">
      <c r="A1482" s="21" t="s">
        <v>247</v>
      </c>
      <c r="B1482" s="8" t="s">
        <v>246</v>
      </c>
      <c r="C1482" s="8" t="s">
        <v>40</v>
      </c>
      <c r="D1482" s="8" t="s">
        <v>245</v>
      </c>
      <c r="E1482" s="8" t="s">
        <v>40</v>
      </c>
      <c r="F1482" s="8" t="s">
        <v>39</v>
      </c>
      <c r="G1482" s="8" t="s">
        <v>54</v>
      </c>
      <c r="H1482" s="8" t="s">
        <v>37</v>
      </c>
      <c r="I1482" s="8" t="s">
        <v>53</v>
      </c>
      <c r="J1482" s="8" t="s">
        <v>46</v>
      </c>
      <c r="K1482" s="8" t="s">
        <v>244</v>
      </c>
      <c r="L1482" s="7">
        <v>8220</v>
      </c>
      <c r="M1482" s="10" t="str">
        <f t="shared" si="138"/>
        <v>CMI01020300</v>
      </c>
      <c r="N1482" s="10" t="str">
        <f t="shared" si="139"/>
        <v>REP201100</v>
      </c>
      <c r="O1482" s="10" t="str">
        <f t="shared" si="140"/>
        <v>E</v>
      </c>
      <c r="P1482" s="10" t="str">
        <f t="shared" si="141"/>
        <v>50</v>
      </c>
      <c r="Q1482" s="10" t="str">
        <f t="shared" si="142"/>
        <v>ZRPI</v>
      </c>
      <c r="R1482" s="10" t="str">
        <f t="shared" si="143"/>
        <v>47101500</v>
      </c>
    </row>
    <row r="1483" spans="1:18" ht="25.5" hidden="1" x14ac:dyDescent="0.2">
      <c r="A1483" s="21" t="s">
        <v>243</v>
      </c>
      <c r="B1483" s="8" t="s">
        <v>242</v>
      </c>
      <c r="C1483" s="8" t="s">
        <v>40</v>
      </c>
      <c r="D1483" s="8" t="s">
        <v>241</v>
      </c>
      <c r="E1483" s="8" t="s">
        <v>40</v>
      </c>
      <c r="F1483" s="8" t="s">
        <v>39</v>
      </c>
      <c r="G1483" s="8" t="s">
        <v>240</v>
      </c>
      <c r="H1483" s="8" t="s">
        <v>37</v>
      </c>
      <c r="I1483" s="8" t="s">
        <v>53</v>
      </c>
      <c r="J1483" s="8" t="s">
        <v>46</v>
      </c>
      <c r="K1483" s="8" t="s">
        <v>239</v>
      </c>
      <c r="L1483" s="7">
        <v>8221</v>
      </c>
      <c r="M1483" s="10" t="str">
        <f t="shared" si="138"/>
        <v>CMI02090300</v>
      </c>
      <c r="N1483" s="10" t="str">
        <f t="shared" si="139"/>
        <v>REP201000</v>
      </c>
      <c r="O1483" s="10" t="str">
        <f t="shared" si="140"/>
        <v>E</v>
      </c>
      <c r="P1483" s="10" t="str">
        <f t="shared" si="141"/>
        <v>50</v>
      </c>
      <c r="Q1483" s="10" t="str">
        <f t="shared" si="142"/>
        <v>ZRPI</v>
      </c>
      <c r="R1483" s="10" t="str">
        <f t="shared" si="143"/>
        <v>32111500</v>
      </c>
    </row>
    <row r="1484" spans="1:18" ht="38.25" hidden="1" x14ac:dyDescent="0.2">
      <c r="A1484" s="21" t="s">
        <v>238</v>
      </c>
      <c r="B1484" s="8" t="s">
        <v>237</v>
      </c>
      <c r="C1484" s="8" t="s">
        <v>40</v>
      </c>
      <c r="D1484" s="8" t="s">
        <v>141</v>
      </c>
      <c r="E1484" s="8" t="s">
        <v>40</v>
      </c>
      <c r="F1484" s="8" t="s">
        <v>39</v>
      </c>
      <c r="G1484" s="8" t="s">
        <v>220</v>
      </c>
      <c r="H1484" s="8" t="s">
        <v>37</v>
      </c>
      <c r="I1484" s="8" t="s">
        <v>53</v>
      </c>
      <c r="J1484" s="8" t="s">
        <v>90</v>
      </c>
      <c r="K1484" s="8" t="s">
        <v>236</v>
      </c>
      <c r="L1484" s="7">
        <v>8222</v>
      </c>
      <c r="M1484" s="10" t="str">
        <f t="shared" si="138"/>
        <v>CMI02150200</v>
      </c>
      <c r="N1484" s="10" t="str">
        <f t="shared" si="139"/>
        <v>SEG221000</v>
      </c>
      <c r="O1484" s="10" t="str">
        <f t="shared" si="140"/>
        <v>E</v>
      </c>
      <c r="P1484" s="10" t="str">
        <f t="shared" si="141"/>
        <v>50</v>
      </c>
      <c r="Q1484" s="10" t="str">
        <f t="shared" si="142"/>
        <v>ZSEG</v>
      </c>
      <c r="R1484" s="10" t="str">
        <f t="shared" si="143"/>
        <v>42183001</v>
      </c>
    </row>
    <row r="1485" spans="1:18" ht="38.25" hidden="1" x14ac:dyDescent="0.2">
      <c r="A1485" s="21" t="s">
        <v>235</v>
      </c>
      <c r="B1485" s="8" t="s">
        <v>234</v>
      </c>
      <c r="C1485" s="8" t="s">
        <v>40</v>
      </c>
      <c r="D1485" s="8" t="s">
        <v>141</v>
      </c>
      <c r="E1485" s="8" t="s">
        <v>40</v>
      </c>
      <c r="F1485" s="8" t="s">
        <v>39</v>
      </c>
      <c r="G1485" s="8" t="s">
        <v>220</v>
      </c>
      <c r="H1485" s="8" t="s">
        <v>37</v>
      </c>
      <c r="I1485" s="8" t="s">
        <v>53</v>
      </c>
      <c r="J1485" s="8" t="s">
        <v>90</v>
      </c>
      <c r="K1485" s="8" t="s">
        <v>233</v>
      </c>
      <c r="L1485" s="7">
        <v>8223</v>
      </c>
      <c r="M1485" s="10" t="str">
        <f t="shared" si="138"/>
        <v>CMI02150200</v>
      </c>
      <c r="N1485" s="10" t="str">
        <f t="shared" si="139"/>
        <v>SEG221000</v>
      </c>
      <c r="O1485" s="10" t="str">
        <f t="shared" si="140"/>
        <v>E</v>
      </c>
      <c r="P1485" s="10" t="str">
        <f t="shared" si="141"/>
        <v>50</v>
      </c>
      <c r="Q1485" s="10" t="str">
        <f t="shared" si="142"/>
        <v>ZSEG</v>
      </c>
      <c r="R1485" s="10" t="str">
        <f t="shared" si="143"/>
        <v>42182100</v>
      </c>
    </row>
    <row r="1486" spans="1:18" ht="38.25" hidden="1" x14ac:dyDescent="0.2">
      <c r="A1486" s="21" t="s">
        <v>232</v>
      </c>
      <c r="B1486" s="8" t="s">
        <v>231</v>
      </c>
      <c r="C1486" s="8" t="s">
        <v>40</v>
      </c>
      <c r="D1486" s="8" t="s">
        <v>141</v>
      </c>
      <c r="E1486" s="8" t="s">
        <v>40</v>
      </c>
      <c r="F1486" s="8" t="s">
        <v>39</v>
      </c>
      <c r="G1486" s="8" t="s">
        <v>220</v>
      </c>
      <c r="H1486" s="8" t="s">
        <v>37</v>
      </c>
      <c r="I1486" s="8" t="s">
        <v>53</v>
      </c>
      <c r="J1486" s="8" t="s">
        <v>90</v>
      </c>
      <c r="K1486" s="8" t="s">
        <v>230</v>
      </c>
      <c r="L1486" s="7">
        <v>8224</v>
      </c>
      <c r="M1486" s="10" t="str">
        <f t="shared" si="138"/>
        <v>CMI02150200</v>
      </c>
      <c r="N1486" s="10" t="str">
        <f t="shared" si="139"/>
        <v>SEG221000</v>
      </c>
      <c r="O1486" s="10" t="str">
        <f t="shared" si="140"/>
        <v>E</v>
      </c>
      <c r="P1486" s="10" t="str">
        <f t="shared" si="141"/>
        <v>50</v>
      </c>
      <c r="Q1486" s="10" t="str">
        <f t="shared" si="142"/>
        <v>ZSEG</v>
      </c>
      <c r="R1486" s="10" t="str">
        <f t="shared" si="143"/>
        <v>42182302</v>
      </c>
    </row>
    <row r="1487" spans="1:18" ht="38.25" hidden="1" x14ac:dyDescent="0.2">
      <c r="A1487" s="21" t="s">
        <v>229</v>
      </c>
      <c r="B1487" s="8" t="s">
        <v>228</v>
      </c>
      <c r="C1487" s="8" t="s">
        <v>40</v>
      </c>
      <c r="D1487" s="8" t="s">
        <v>141</v>
      </c>
      <c r="E1487" s="8" t="s">
        <v>40</v>
      </c>
      <c r="F1487" s="8" t="s">
        <v>39</v>
      </c>
      <c r="G1487" s="8" t="s">
        <v>220</v>
      </c>
      <c r="H1487" s="8" t="s">
        <v>37</v>
      </c>
      <c r="I1487" s="8" t="s">
        <v>53</v>
      </c>
      <c r="J1487" s="8" t="s">
        <v>90</v>
      </c>
      <c r="K1487" s="8" t="s">
        <v>227</v>
      </c>
      <c r="L1487" s="7">
        <v>8225</v>
      </c>
      <c r="M1487" s="10" t="str">
        <f t="shared" si="138"/>
        <v>CMI02150200</v>
      </c>
      <c r="N1487" s="10" t="str">
        <f t="shared" si="139"/>
        <v>SEG221000</v>
      </c>
      <c r="O1487" s="10" t="str">
        <f t="shared" si="140"/>
        <v>E</v>
      </c>
      <c r="P1487" s="10" t="str">
        <f t="shared" si="141"/>
        <v>50</v>
      </c>
      <c r="Q1487" s="10" t="str">
        <f t="shared" si="142"/>
        <v>ZSEG</v>
      </c>
      <c r="R1487" s="10" t="str">
        <f t="shared" si="143"/>
        <v>42271506</v>
      </c>
    </row>
    <row r="1488" spans="1:18" ht="38.25" hidden="1" x14ac:dyDescent="0.2">
      <c r="A1488" s="21" t="s">
        <v>226</v>
      </c>
      <c r="B1488" s="8" t="s">
        <v>225</v>
      </c>
      <c r="C1488" s="8" t="s">
        <v>40</v>
      </c>
      <c r="D1488" s="8" t="s">
        <v>224</v>
      </c>
      <c r="E1488" s="8" t="s">
        <v>40</v>
      </c>
      <c r="F1488" s="8" t="s">
        <v>39</v>
      </c>
      <c r="G1488" s="8" t="s">
        <v>220</v>
      </c>
      <c r="H1488" s="8" t="s">
        <v>37</v>
      </c>
      <c r="I1488" s="8" t="s">
        <v>53</v>
      </c>
      <c r="J1488" s="8" t="s">
        <v>90</v>
      </c>
      <c r="K1488" s="8" t="s">
        <v>223</v>
      </c>
      <c r="L1488" s="7">
        <v>8226</v>
      </c>
      <c r="M1488" s="10" t="str">
        <f t="shared" si="138"/>
        <v>CMI02170100</v>
      </c>
      <c r="N1488" s="10" t="str">
        <f t="shared" si="139"/>
        <v>SEG221000</v>
      </c>
      <c r="O1488" s="10" t="str">
        <f t="shared" si="140"/>
        <v>E</v>
      </c>
      <c r="P1488" s="10" t="str">
        <f t="shared" si="141"/>
        <v>50</v>
      </c>
      <c r="Q1488" s="10" t="str">
        <f t="shared" si="142"/>
        <v>ZSEG</v>
      </c>
      <c r="R1488" s="10" t="str">
        <f t="shared" si="143"/>
        <v>46181704</v>
      </c>
    </row>
    <row r="1489" spans="1:18" ht="38.25" hidden="1" x14ac:dyDescent="0.2">
      <c r="A1489" s="21" t="s">
        <v>222</v>
      </c>
      <c r="B1489" s="8" t="s">
        <v>221</v>
      </c>
      <c r="C1489" s="8" t="s">
        <v>40</v>
      </c>
      <c r="D1489" s="8" t="s">
        <v>141</v>
      </c>
      <c r="E1489" s="8" t="s">
        <v>40</v>
      </c>
      <c r="F1489" s="8" t="s">
        <v>39</v>
      </c>
      <c r="G1489" s="8" t="s">
        <v>220</v>
      </c>
      <c r="H1489" s="8" t="s">
        <v>37</v>
      </c>
      <c r="I1489" s="8" t="s">
        <v>53</v>
      </c>
      <c r="J1489" s="8" t="s">
        <v>90</v>
      </c>
      <c r="K1489" s="8" t="s">
        <v>219</v>
      </c>
      <c r="L1489" s="7">
        <v>8227</v>
      </c>
      <c r="M1489" s="10" t="str">
        <f t="shared" si="138"/>
        <v>CMI02150200</v>
      </c>
      <c r="N1489" s="10" t="str">
        <f t="shared" si="139"/>
        <v>SEG221000</v>
      </c>
      <c r="O1489" s="10" t="str">
        <f t="shared" si="140"/>
        <v>E</v>
      </c>
      <c r="P1489" s="10" t="str">
        <f t="shared" si="141"/>
        <v>50</v>
      </c>
      <c r="Q1489" s="10" t="str">
        <f t="shared" si="142"/>
        <v>ZSEG</v>
      </c>
      <c r="R1489" s="10" t="str">
        <f t="shared" si="143"/>
        <v>42182412</v>
      </c>
    </row>
    <row r="1490" spans="1:18" ht="25.5" hidden="1" x14ac:dyDescent="0.2">
      <c r="A1490" s="21" t="s">
        <v>218</v>
      </c>
      <c r="B1490" s="8" t="s">
        <v>217</v>
      </c>
      <c r="C1490" s="8" t="s">
        <v>40</v>
      </c>
      <c r="D1490" s="8" t="s">
        <v>216</v>
      </c>
      <c r="E1490" s="8" t="s">
        <v>40</v>
      </c>
      <c r="F1490" s="8" t="s">
        <v>39</v>
      </c>
      <c r="G1490" s="8" t="s">
        <v>85</v>
      </c>
      <c r="H1490" s="8" t="s">
        <v>37</v>
      </c>
      <c r="I1490" s="8" t="s">
        <v>53</v>
      </c>
      <c r="J1490" s="8" t="s">
        <v>59</v>
      </c>
      <c r="K1490" s="8" t="s">
        <v>215</v>
      </c>
      <c r="L1490" s="7">
        <v>8228</v>
      </c>
      <c r="M1490" s="10" t="str">
        <f t="shared" si="138"/>
        <v>CMI02140500</v>
      </c>
      <c r="N1490" s="10" t="str">
        <f t="shared" si="139"/>
        <v>SUM231500</v>
      </c>
      <c r="O1490" s="10" t="str">
        <f t="shared" si="140"/>
        <v>E</v>
      </c>
      <c r="P1490" s="10" t="str">
        <f t="shared" si="141"/>
        <v>50</v>
      </c>
      <c r="Q1490" s="10" t="str">
        <f t="shared" si="142"/>
        <v>ZSUM</v>
      </c>
      <c r="R1490" s="10" t="str">
        <f t="shared" si="143"/>
        <v>27112011</v>
      </c>
    </row>
    <row r="1491" spans="1:18" ht="25.5" hidden="1" x14ac:dyDescent="0.2">
      <c r="A1491" s="21" t="s">
        <v>214</v>
      </c>
      <c r="B1491" s="8" t="s">
        <v>213</v>
      </c>
      <c r="C1491" s="8" t="s">
        <v>40</v>
      </c>
      <c r="D1491" s="8" t="s">
        <v>212</v>
      </c>
      <c r="E1491" s="8" t="s">
        <v>40</v>
      </c>
      <c r="F1491" s="8" t="s">
        <v>39</v>
      </c>
      <c r="G1491" s="8" t="s">
        <v>85</v>
      </c>
      <c r="H1491" s="8" t="s">
        <v>37</v>
      </c>
      <c r="I1491" s="8" t="s">
        <v>53</v>
      </c>
      <c r="J1491" s="8" t="s">
        <v>59</v>
      </c>
      <c r="K1491" s="8" t="s">
        <v>211</v>
      </c>
      <c r="L1491" s="7">
        <v>8229</v>
      </c>
      <c r="M1491" s="10" t="str">
        <f t="shared" si="138"/>
        <v>CMI01010500</v>
      </c>
      <c r="N1491" s="10" t="str">
        <f t="shared" si="139"/>
        <v>SUM231500</v>
      </c>
      <c r="O1491" s="10" t="str">
        <f t="shared" si="140"/>
        <v>E</v>
      </c>
      <c r="P1491" s="10" t="str">
        <f t="shared" si="141"/>
        <v>50</v>
      </c>
      <c r="Q1491" s="10" t="str">
        <f t="shared" si="142"/>
        <v>ZSUM</v>
      </c>
      <c r="R1491" s="10" t="str">
        <f t="shared" si="143"/>
        <v>32131023</v>
      </c>
    </row>
    <row r="1492" spans="1:18" ht="38.25" hidden="1" x14ac:dyDescent="0.2">
      <c r="A1492" s="21" t="s">
        <v>210</v>
      </c>
      <c r="B1492" s="8" t="s">
        <v>209</v>
      </c>
      <c r="C1492" s="8" t="s">
        <v>40</v>
      </c>
      <c r="D1492" s="8" t="s">
        <v>74</v>
      </c>
      <c r="E1492" s="8" t="s">
        <v>40</v>
      </c>
      <c r="F1492" s="8" t="s">
        <v>39</v>
      </c>
      <c r="G1492" s="8" t="s">
        <v>208</v>
      </c>
      <c r="H1492" s="8" t="s">
        <v>37</v>
      </c>
      <c r="I1492" s="8" t="s">
        <v>53</v>
      </c>
      <c r="J1492" s="8" t="s">
        <v>59</v>
      </c>
      <c r="K1492" s="8" t="s">
        <v>207</v>
      </c>
      <c r="L1492" s="7">
        <v>8230</v>
      </c>
      <c r="M1492" s="10" t="str">
        <f t="shared" si="138"/>
        <v>CMI02170300</v>
      </c>
      <c r="N1492" s="10" t="str">
        <f t="shared" si="139"/>
        <v>SUM301000</v>
      </c>
      <c r="O1492" s="10" t="str">
        <f t="shared" si="140"/>
        <v>E</v>
      </c>
      <c r="P1492" s="10" t="str">
        <f t="shared" si="141"/>
        <v>50</v>
      </c>
      <c r="Q1492" s="10" t="str">
        <f t="shared" si="142"/>
        <v>ZSUM</v>
      </c>
      <c r="R1492" s="10" t="str">
        <f t="shared" si="143"/>
        <v>46182101</v>
      </c>
    </row>
    <row r="1493" spans="1:18" ht="25.5" hidden="1" x14ac:dyDescent="0.2">
      <c r="A1493" s="21" t="s">
        <v>206</v>
      </c>
      <c r="B1493" s="8" t="s">
        <v>205</v>
      </c>
      <c r="C1493" s="8" t="s">
        <v>40</v>
      </c>
      <c r="D1493" s="8" t="s">
        <v>74</v>
      </c>
      <c r="E1493" s="8" t="s">
        <v>40</v>
      </c>
      <c r="F1493" s="8" t="s">
        <v>39</v>
      </c>
      <c r="G1493" s="8" t="s">
        <v>60</v>
      </c>
      <c r="H1493" s="8" t="s">
        <v>37</v>
      </c>
      <c r="I1493" s="8" t="s">
        <v>53</v>
      </c>
      <c r="J1493" s="8" t="s">
        <v>59</v>
      </c>
      <c r="K1493" s="8" t="s">
        <v>204</v>
      </c>
      <c r="L1493" s="7">
        <v>8231</v>
      </c>
      <c r="M1493" s="10" t="str">
        <f t="shared" si="138"/>
        <v>CMI02170300</v>
      </c>
      <c r="N1493" s="10" t="str">
        <f t="shared" si="139"/>
        <v>SUM231200</v>
      </c>
      <c r="O1493" s="10" t="str">
        <f t="shared" si="140"/>
        <v>E</v>
      </c>
      <c r="P1493" s="10" t="str">
        <f t="shared" si="141"/>
        <v>50</v>
      </c>
      <c r="Q1493" s="10" t="str">
        <f t="shared" si="142"/>
        <v>ZSUM</v>
      </c>
      <c r="R1493" s="10" t="str">
        <f t="shared" si="143"/>
        <v>48101610</v>
      </c>
    </row>
    <row r="1494" spans="1:18" ht="25.5" hidden="1" x14ac:dyDescent="0.2">
      <c r="A1494" s="21" t="s">
        <v>203</v>
      </c>
      <c r="B1494" s="8" t="s">
        <v>202</v>
      </c>
      <c r="C1494" s="8" t="s">
        <v>40</v>
      </c>
      <c r="D1494" s="8" t="s">
        <v>201</v>
      </c>
      <c r="E1494" s="7">
        <v>6</v>
      </c>
      <c r="F1494" s="8" t="s">
        <v>39</v>
      </c>
      <c r="G1494" s="8" t="s">
        <v>60</v>
      </c>
      <c r="H1494" s="8" t="s">
        <v>37</v>
      </c>
      <c r="I1494" s="8" t="s">
        <v>36</v>
      </c>
      <c r="J1494" s="8" t="s">
        <v>59</v>
      </c>
      <c r="K1494" s="8" t="s">
        <v>200</v>
      </c>
      <c r="L1494" s="7">
        <v>8232</v>
      </c>
      <c r="M1494" s="10" t="str">
        <f t="shared" si="138"/>
        <v>CMI05031800</v>
      </c>
      <c r="N1494" s="10" t="str">
        <f t="shared" si="139"/>
        <v>SUM231200</v>
      </c>
      <c r="O1494" s="10" t="str">
        <f t="shared" si="140"/>
        <v>E</v>
      </c>
      <c r="P1494" s="10" t="str">
        <f t="shared" si="141"/>
        <v>10</v>
      </c>
      <c r="Q1494" s="10" t="str">
        <f t="shared" si="142"/>
        <v>ZSUM</v>
      </c>
      <c r="R1494" s="10" t="str">
        <f t="shared" si="143"/>
        <v>50190000</v>
      </c>
    </row>
    <row r="1495" spans="1:18" ht="38.25" hidden="1" x14ac:dyDescent="0.2">
      <c r="A1495" s="21" t="s">
        <v>199</v>
      </c>
      <c r="B1495" s="8" t="s">
        <v>198</v>
      </c>
      <c r="C1495" s="8" t="s">
        <v>40</v>
      </c>
      <c r="D1495" s="8" t="s">
        <v>166</v>
      </c>
      <c r="E1495" s="8" t="s">
        <v>40</v>
      </c>
      <c r="F1495" s="8" t="s">
        <v>39</v>
      </c>
      <c r="G1495" s="8" t="s">
        <v>60</v>
      </c>
      <c r="H1495" s="8" t="s">
        <v>37</v>
      </c>
      <c r="I1495" s="8" t="s">
        <v>53</v>
      </c>
      <c r="J1495" s="8" t="s">
        <v>59</v>
      </c>
      <c r="K1495" s="8" t="s">
        <v>197</v>
      </c>
      <c r="L1495" s="7">
        <v>8233</v>
      </c>
      <c r="M1495" s="10" t="str">
        <f t="shared" si="138"/>
        <v>CMI02170200</v>
      </c>
      <c r="N1495" s="10" t="str">
        <f t="shared" si="139"/>
        <v>SUM231200</v>
      </c>
      <c r="O1495" s="10" t="str">
        <f t="shared" si="140"/>
        <v>E</v>
      </c>
      <c r="P1495" s="10" t="str">
        <f t="shared" si="141"/>
        <v>50</v>
      </c>
      <c r="Q1495" s="10" t="str">
        <f t="shared" si="142"/>
        <v>ZSUM</v>
      </c>
      <c r="R1495" s="10" t="str">
        <f t="shared" si="143"/>
        <v>52152102</v>
      </c>
    </row>
    <row r="1496" spans="1:18" ht="25.5" hidden="1" x14ac:dyDescent="0.2">
      <c r="A1496" s="21" t="s">
        <v>196</v>
      </c>
      <c r="B1496" s="8" t="s">
        <v>195</v>
      </c>
      <c r="C1496" s="8" t="s">
        <v>40</v>
      </c>
      <c r="D1496" s="8" t="s">
        <v>78</v>
      </c>
      <c r="E1496" s="8" t="s">
        <v>40</v>
      </c>
      <c r="F1496" s="8" t="s">
        <v>39</v>
      </c>
      <c r="G1496" s="8" t="s">
        <v>60</v>
      </c>
      <c r="H1496" s="8" t="s">
        <v>37</v>
      </c>
      <c r="I1496" s="8" t="s">
        <v>53</v>
      </c>
      <c r="J1496" s="8" t="s">
        <v>59</v>
      </c>
      <c r="K1496" s="8" t="s">
        <v>194</v>
      </c>
      <c r="L1496" s="7">
        <v>8234</v>
      </c>
      <c r="M1496" s="10" t="str">
        <f t="shared" si="138"/>
        <v>CMI02090400</v>
      </c>
      <c r="N1496" s="10" t="str">
        <f t="shared" si="139"/>
        <v>SUM231200</v>
      </c>
      <c r="O1496" s="10" t="str">
        <f t="shared" si="140"/>
        <v>E</v>
      </c>
      <c r="P1496" s="10" t="str">
        <f t="shared" si="141"/>
        <v>50</v>
      </c>
      <c r="Q1496" s="10" t="str">
        <f t="shared" si="142"/>
        <v>ZSUM</v>
      </c>
      <c r="R1496" s="10" t="str">
        <f t="shared" si="143"/>
        <v>44101719</v>
      </c>
    </row>
    <row r="1497" spans="1:18" ht="38.25" hidden="1" x14ac:dyDescent="0.2">
      <c r="A1497" s="21" t="s">
        <v>193</v>
      </c>
      <c r="B1497" s="8" t="s">
        <v>96</v>
      </c>
      <c r="C1497" s="8" t="s">
        <v>40</v>
      </c>
      <c r="D1497" s="8" t="s">
        <v>86</v>
      </c>
      <c r="E1497" s="8" t="s">
        <v>40</v>
      </c>
      <c r="F1497" s="8" t="s">
        <v>39</v>
      </c>
      <c r="G1497" s="8" t="s">
        <v>60</v>
      </c>
      <c r="H1497" s="8" t="s">
        <v>37</v>
      </c>
      <c r="I1497" s="8" t="s">
        <v>36</v>
      </c>
      <c r="J1497" s="8" t="s">
        <v>59</v>
      </c>
      <c r="K1497" s="8" t="s">
        <v>192</v>
      </c>
      <c r="L1497" s="7">
        <v>8235</v>
      </c>
      <c r="M1497" s="10" t="str">
        <f t="shared" si="138"/>
        <v>CMI02160300</v>
      </c>
      <c r="N1497" s="10" t="str">
        <f t="shared" si="139"/>
        <v>SUM231200</v>
      </c>
      <c r="O1497" s="10" t="str">
        <f t="shared" si="140"/>
        <v>E</v>
      </c>
      <c r="P1497" s="10" t="str">
        <f t="shared" si="141"/>
        <v>10</v>
      </c>
      <c r="Q1497" s="10" t="str">
        <f t="shared" si="142"/>
        <v>ZSUM</v>
      </c>
      <c r="R1497" s="10" t="str">
        <f t="shared" si="143"/>
        <v>14111519</v>
      </c>
    </row>
    <row r="1498" spans="1:18" ht="25.5" hidden="1" x14ac:dyDescent="0.2">
      <c r="A1498" s="21" t="s">
        <v>191</v>
      </c>
      <c r="B1498" s="8" t="s">
        <v>190</v>
      </c>
      <c r="C1498" s="8" t="s">
        <v>40</v>
      </c>
      <c r="D1498" s="8" t="s">
        <v>74</v>
      </c>
      <c r="E1498" s="8" t="s">
        <v>40</v>
      </c>
      <c r="F1498" s="8" t="s">
        <v>39</v>
      </c>
      <c r="G1498" s="8" t="s">
        <v>140</v>
      </c>
      <c r="H1498" s="8" t="s">
        <v>37</v>
      </c>
      <c r="I1498" s="8" t="s">
        <v>53</v>
      </c>
      <c r="J1498" s="8" t="s">
        <v>59</v>
      </c>
      <c r="K1498" s="8" t="s">
        <v>189</v>
      </c>
      <c r="L1498" s="7">
        <v>8236</v>
      </c>
      <c r="M1498" s="10" t="str">
        <f t="shared" si="138"/>
        <v>CMI02170300</v>
      </c>
      <c r="N1498" s="10" t="str">
        <f t="shared" si="139"/>
        <v>SUM301100</v>
      </c>
      <c r="O1498" s="10" t="str">
        <f t="shared" si="140"/>
        <v>E</v>
      </c>
      <c r="P1498" s="10" t="str">
        <f t="shared" si="141"/>
        <v>50</v>
      </c>
      <c r="Q1498" s="10" t="str">
        <f t="shared" si="142"/>
        <v>ZSUM</v>
      </c>
      <c r="R1498" s="10" t="str">
        <f t="shared" si="143"/>
        <v>60131405</v>
      </c>
    </row>
    <row r="1499" spans="1:18" ht="25.5" hidden="1" x14ac:dyDescent="0.2">
      <c r="A1499" s="21" t="s">
        <v>188</v>
      </c>
      <c r="B1499" s="8" t="s">
        <v>187</v>
      </c>
      <c r="C1499" s="8" t="s">
        <v>40</v>
      </c>
      <c r="D1499" s="8" t="s">
        <v>74</v>
      </c>
      <c r="E1499" s="8" t="s">
        <v>40</v>
      </c>
      <c r="F1499" s="8" t="s">
        <v>39</v>
      </c>
      <c r="G1499" s="8" t="s">
        <v>140</v>
      </c>
      <c r="H1499" s="8" t="s">
        <v>37</v>
      </c>
      <c r="I1499" s="8" t="s">
        <v>53</v>
      </c>
      <c r="J1499" s="8" t="s">
        <v>59</v>
      </c>
      <c r="K1499" s="8" t="s">
        <v>186</v>
      </c>
      <c r="L1499" s="7">
        <v>8237</v>
      </c>
      <c r="M1499" s="10" t="str">
        <f t="shared" si="138"/>
        <v>CMI02170300</v>
      </c>
      <c r="N1499" s="10" t="str">
        <f t="shared" si="139"/>
        <v>SUM301100</v>
      </c>
      <c r="O1499" s="10" t="str">
        <f t="shared" si="140"/>
        <v>E</v>
      </c>
      <c r="P1499" s="10" t="str">
        <f t="shared" si="141"/>
        <v>50</v>
      </c>
      <c r="Q1499" s="10" t="str">
        <f t="shared" si="142"/>
        <v>ZSUM</v>
      </c>
      <c r="R1499" s="10" t="str">
        <f t="shared" si="143"/>
        <v>60131104</v>
      </c>
    </row>
    <row r="1500" spans="1:18" ht="25.5" hidden="1" x14ac:dyDescent="0.2">
      <c r="A1500" s="21" t="s">
        <v>185</v>
      </c>
      <c r="B1500" s="8" t="s">
        <v>184</v>
      </c>
      <c r="C1500" s="8" t="s">
        <v>40</v>
      </c>
      <c r="D1500" s="8" t="s">
        <v>74</v>
      </c>
      <c r="E1500" s="8" t="s">
        <v>40</v>
      </c>
      <c r="F1500" s="8" t="s">
        <v>39</v>
      </c>
      <c r="G1500" s="8" t="s">
        <v>60</v>
      </c>
      <c r="H1500" s="8" t="s">
        <v>37</v>
      </c>
      <c r="I1500" s="8" t="s">
        <v>53</v>
      </c>
      <c r="J1500" s="8" t="s">
        <v>59</v>
      </c>
      <c r="K1500" s="8" t="s">
        <v>183</v>
      </c>
      <c r="L1500" s="7">
        <v>8238</v>
      </c>
      <c r="M1500" s="10" t="str">
        <f t="shared" si="138"/>
        <v>CMI02170300</v>
      </c>
      <c r="N1500" s="10" t="str">
        <f t="shared" si="139"/>
        <v>SUM231200</v>
      </c>
      <c r="O1500" s="10" t="str">
        <f t="shared" si="140"/>
        <v>E</v>
      </c>
      <c r="P1500" s="10" t="str">
        <f t="shared" si="141"/>
        <v>50</v>
      </c>
      <c r="Q1500" s="10" t="str">
        <f t="shared" si="142"/>
        <v>ZSUM</v>
      </c>
      <c r="R1500" s="10" t="str">
        <f t="shared" si="143"/>
        <v>24112602</v>
      </c>
    </row>
    <row r="1501" spans="1:18" ht="38.25" hidden="1" x14ac:dyDescent="0.2">
      <c r="A1501" s="21" t="s">
        <v>182</v>
      </c>
      <c r="B1501" s="8" t="s">
        <v>181</v>
      </c>
      <c r="C1501" s="8" t="s">
        <v>40</v>
      </c>
      <c r="D1501" s="8" t="s">
        <v>86</v>
      </c>
      <c r="E1501" s="8" t="s">
        <v>40</v>
      </c>
      <c r="F1501" s="8" t="s">
        <v>39</v>
      </c>
      <c r="G1501" s="8" t="s">
        <v>60</v>
      </c>
      <c r="H1501" s="8" t="s">
        <v>37</v>
      </c>
      <c r="I1501" s="8" t="s">
        <v>53</v>
      </c>
      <c r="J1501" s="8" t="s">
        <v>59</v>
      </c>
      <c r="K1501" s="8" t="s">
        <v>175</v>
      </c>
      <c r="L1501" s="7">
        <v>8239</v>
      </c>
      <c r="M1501" s="10" t="str">
        <f t="shared" si="138"/>
        <v>CMI02160300</v>
      </c>
      <c r="N1501" s="10" t="str">
        <f t="shared" si="139"/>
        <v>SUM231200</v>
      </c>
      <c r="O1501" s="10" t="str">
        <f t="shared" si="140"/>
        <v>E</v>
      </c>
      <c r="P1501" s="10" t="str">
        <f t="shared" si="141"/>
        <v>50</v>
      </c>
      <c r="Q1501" s="10" t="str">
        <f t="shared" si="142"/>
        <v>ZSUM</v>
      </c>
      <c r="R1501" s="10" t="str">
        <f t="shared" si="143"/>
        <v>50101717</v>
      </c>
    </row>
    <row r="1502" spans="1:18" ht="38.25" hidden="1" x14ac:dyDescent="0.2">
      <c r="A1502" s="21" t="s">
        <v>180</v>
      </c>
      <c r="B1502" s="8" t="s">
        <v>179</v>
      </c>
      <c r="C1502" s="8" t="s">
        <v>40</v>
      </c>
      <c r="D1502" s="8" t="s">
        <v>178</v>
      </c>
      <c r="E1502" s="8" t="s">
        <v>40</v>
      </c>
      <c r="F1502" s="8" t="s">
        <v>39</v>
      </c>
      <c r="G1502" s="8" t="s">
        <v>60</v>
      </c>
      <c r="H1502" s="8" t="s">
        <v>37</v>
      </c>
      <c r="I1502" s="8" t="s">
        <v>53</v>
      </c>
      <c r="J1502" s="8" t="s">
        <v>59</v>
      </c>
      <c r="K1502" s="8" t="s">
        <v>154</v>
      </c>
      <c r="L1502" s="7">
        <v>8240</v>
      </c>
      <c r="M1502" s="10" t="str">
        <f t="shared" si="138"/>
        <v>CMI02061300</v>
      </c>
      <c r="N1502" s="10" t="str">
        <f t="shared" si="139"/>
        <v>SUM231200</v>
      </c>
      <c r="O1502" s="10" t="str">
        <f t="shared" si="140"/>
        <v>E</v>
      </c>
      <c r="P1502" s="10" t="str">
        <f t="shared" si="141"/>
        <v>50</v>
      </c>
      <c r="Q1502" s="10" t="str">
        <f t="shared" si="142"/>
        <v>ZSUM</v>
      </c>
      <c r="R1502" s="10" t="str">
        <f t="shared" si="143"/>
        <v>50181709</v>
      </c>
    </row>
    <row r="1503" spans="1:18" ht="25.5" hidden="1" x14ac:dyDescent="0.2">
      <c r="A1503" s="21" t="s">
        <v>177</v>
      </c>
      <c r="B1503" s="8" t="s">
        <v>176</v>
      </c>
      <c r="C1503" s="8" t="s">
        <v>40</v>
      </c>
      <c r="D1503" s="8" t="s">
        <v>74</v>
      </c>
      <c r="E1503" s="8" t="s">
        <v>40</v>
      </c>
      <c r="F1503" s="8" t="s">
        <v>39</v>
      </c>
      <c r="G1503" s="8" t="s">
        <v>140</v>
      </c>
      <c r="H1503" s="8" t="s">
        <v>37</v>
      </c>
      <c r="I1503" s="8" t="s">
        <v>53</v>
      </c>
      <c r="J1503" s="8" t="s">
        <v>59</v>
      </c>
      <c r="K1503" s="8" t="s">
        <v>175</v>
      </c>
      <c r="L1503" s="7">
        <v>8241</v>
      </c>
      <c r="M1503" s="10" t="str">
        <f t="shared" si="138"/>
        <v>CMI02170300</v>
      </c>
      <c r="N1503" s="10" t="str">
        <f t="shared" si="139"/>
        <v>SUM301100</v>
      </c>
      <c r="O1503" s="10" t="str">
        <f t="shared" si="140"/>
        <v>E</v>
      </c>
      <c r="P1503" s="10" t="str">
        <f t="shared" si="141"/>
        <v>50</v>
      </c>
      <c r="Q1503" s="10" t="str">
        <f t="shared" si="142"/>
        <v>ZSUM</v>
      </c>
      <c r="R1503" s="10" t="str">
        <f t="shared" si="143"/>
        <v>50101717</v>
      </c>
    </row>
    <row r="1504" spans="1:18" ht="25.5" hidden="1" x14ac:dyDescent="0.2">
      <c r="A1504" s="21" t="s">
        <v>174</v>
      </c>
      <c r="B1504" s="8" t="s">
        <v>173</v>
      </c>
      <c r="C1504" s="8" t="s">
        <v>40</v>
      </c>
      <c r="D1504" s="8" t="s">
        <v>74</v>
      </c>
      <c r="E1504" s="8" t="s">
        <v>40</v>
      </c>
      <c r="F1504" s="8" t="s">
        <v>39</v>
      </c>
      <c r="G1504" s="8" t="s">
        <v>60</v>
      </c>
      <c r="H1504" s="8" t="s">
        <v>37</v>
      </c>
      <c r="I1504" s="8" t="s">
        <v>53</v>
      </c>
      <c r="J1504" s="8" t="s">
        <v>59</v>
      </c>
      <c r="K1504" s="8" t="s">
        <v>172</v>
      </c>
      <c r="L1504" s="7">
        <v>8242</v>
      </c>
      <c r="M1504" s="10" t="str">
        <f t="shared" si="138"/>
        <v>CMI02170300</v>
      </c>
      <c r="N1504" s="10" t="str">
        <f t="shared" si="139"/>
        <v>SUM231200</v>
      </c>
      <c r="O1504" s="10" t="str">
        <f t="shared" si="140"/>
        <v>E</v>
      </c>
      <c r="P1504" s="10" t="str">
        <f t="shared" si="141"/>
        <v>50</v>
      </c>
      <c r="Q1504" s="10" t="str">
        <f t="shared" si="142"/>
        <v>ZSUM</v>
      </c>
      <c r="R1504" s="10" t="str">
        <f t="shared" si="143"/>
        <v>50192403</v>
      </c>
    </row>
    <row r="1505" spans="1:18" ht="25.5" hidden="1" x14ac:dyDescent="0.2">
      <c r="A1505" s="21" t="s">
        <v>171</v>
      </c>
      <c r="B1505" s="8" t="s">
        <v>170</v>
      </c>
      <c r="C1505" s="8" t="s">
        <v>40</v>
      </c>
      <c r="D1505" s="8" t="s">
        <v>159</v>
      </c>
      <c r="E1505" s="8" t="s">
        <v>40</v>
      </c>
      <c r="F1505" s="8" t="s">
        <v>39</v>
      </c>
      <c r="G1505" s="8" t="s">
        <v>60</v>
      </c>
      <c r="H1505" s="8" t="s">
        <v>37</v>
      </c>
      <c r="I1505" s="8" t="s">
        <v>53</v>
      </c>
      <c r="J1505" s="8" t="s">
        <v>59</v>
      </c>
      <c r="K1505" s="8" t="s">
        <v>169</v>
      </c>
      <c r="L1505" s="7">
        <v>8243</v>
      </c>
      <c r="M1505" s="10" t="str">
        <f t="shared" si="138"/>
        <v>CMI02061000</v>
      </c>
      <c r="N1505" s="10" t="str">
        <f t="shared" si="139"/>
        <v>SUM231200</v>
      </c>
      <c r="O1505" s="10" t="str">
        <f t="shared" si="140"/>
        <v>E</v>
      </c>
      <c r="P1505" s="10" t="str">
        <f t="shared" si="141"/>
        <v>50</v>
      </c>
      <c r="Q1505" s="10" t="str">
        <f t="shared" si="142"/>
        <v>ZSUM</v>
      </c>
      <c r="R1505" s="10" t="str">
        <f t="shared" si="143"/>
        <v>50151513</v>
      </c>
    </row>
    <row r="1506" spans="1:18" ht="38.25" hidden="1" x14ac:dyDescent="0.2">
      <c r="A1506" s="21" t="s">
        <v>168</v>
      </c>
      <c r="B1506" s="8" t="s">
        <v>167</v>
      </c>
      <c r="C1506" s="8" t="s">
        <v>40</v>
      </c>
      <c r="D1506" s="8" t="s">
        <v>166</v>
      </c>
      <c r="E1506" s="8" t="s">
        <v>40</v>
      </c>
      <c r="F1506" s="8" t="s">
        <v>39</v>
      </c>
      <c r="G1506" s="8" t="s">
        <v>60</v>
      </c>
      <c r="H1506" s="8" t="s">
        <v>37</v>
      </c>
      <c r="I1506" s="8" t="s">
        <v>53</v>
      </c>
      <c r="J1506" s="8" t="s">
        <v>59</v>
      </c>
      <c r="K1506" s="8" t="s">
        <v>165</v>
      </c>
      <c r="L1506" s="7">
        <v>8244</v>
      </c>
      <c r="M1506" s="10" t="str">
        <f t="shared" si="138"/>
        <v>CMI02170200</v>
      </c>
      <c r="N1506" s="10" t="str">
        <f t="shared" si="139"/>
        <v>SUM231200</v>
      </c>
      <c r="O1506" s="10" t="str">
        <f t="shared" si="140"/>
        <v>E</v>
      </c>
      <c r="P1506" s="10" t="str">
        <f t="shared" si="141"/>
        <v>50</v>
      </c>
      <c r="Q1506" s="10" t="str">
        <f t="shared" si="142"/>
        <v>ZSUM</v>
      </c>
      <c r="R1506" s="10" t="str">
        <f t="shared" si="143"/>
        <v>50171832</v>
      </c>
    </row>
    <row r="1507" spans="1:18" ht="38.25" hidden="1" x14ac:dyDescent="0.2">
      <c r="A1507" s="21" t="s">
        <v>164</v>
      </c>
      <c r="B1507" s="8" t="s">
        <v>163</v>
      </c>
      <c r="C1507" s="8" t="s">
        <v>40</v>
      </c>
      <c r="D1507" s="8" t="s">
        <v>86</v>
      </c>
      <c r="E1507" s="8" t="s">
        <v>40</v>
      </c>
      <c r="F1507" s="8" t="s">
        <v>39</v>
      </c>
      <c r="G1507" s="8" t="s">
        <v>60</v>
      </c>
      <c r="H1507" s="8" t="s">
        <v>37</v>
      </c>
      <c r="I1507" s="8" t="s">
        <v>53</v>
      </c>
      <c r="J1507" s="8" t="s">
        <v>59</v>
      </c>
      <c r="K1507" s="8" t="s">
        <v>162</v>
      </c>
      <c r="L1507" s="7">
        <v>8245</v>
      </c>
      <c r="M1507" s="10" t="str">
        <f t="shared" si="138"/>
        <v>CMI02160300</v>
      </c>
      <c r="N1507" s="10" t="str">
        <f t="shared" si="139"/>
        <v>SUM231200</v>
      </c>
      <c r="O1507" s="10" t="str">
        <f t="shared" si="140"/>
        <v>E</v>
      </c>
      <c r="P1507" s="10" t="str">
        <f t="shared" si="141"/>
        <v>50</v>
      </c>
      <c r="Q1507" s="10" t="str">
        <f t="shared" si="142"/>
        <v>ZSUM</v>
      </c>
      <c r="R1507" s="10" t="str">
        <f t="shared" si="143"/>
        <v>50192110</v>
      </c>
    </row>
    <row r="1508" spans="1:18" ht="38.25" hidden="1" x14ac:dyDescent="0.2">
      <c r="A1508" s="21" t="s">
        <v>161</v>
      </c>
      <c r="B1508" s="8" t="s">
        <v>160</v>
      </c>
      <c r="C1508" s="8" t="s">
        <v>40</v>
      </c>
      <c r="D1508" s="8" t="s">
        <v>159</v>
      </c>
      <c r="E1508" s="8" t="s">
        <v>40</v>
      </c>
      <c r="F1508" s="8" t="s">
        <v>39</v>
      </c>
      <c r="G1508" s="8" t="s">
        <v>60</v>
      </c>
      <c r="H1508" s="8" t="s">
        <v>37</v>
      </c>
      <c r="I1508" s="8" t="s">
        <v>53</v>
      </c>
      <c r="J1508" s="8" t="s">
        <v>59</v>
      </c>
      <c r="K1508" s="8" t="s">
        <v>158</v>
      </c>
      <c r="L1508" s="7">
        <v>8246</v>
      </c>
      <c r="M1508" s="10" t="str">
        <f t="shared" si="138"/>
        <v>CMI02061000</v>
      </c>
      <c r="N1508" s="10" t="str">
        <f t="shared" si="139"/>
        <v>SUM231200</v>
      </c>
      <c r="O1508" s="10" t="str">
        <f t="shared" si="140"/>
        <v>E</v>
      </c>
      <c r="P1508" s="10" t="str">
        <f t="shared" si="141"/>
        <v>50</v>
      </c>
      <c r="Q1508" s="10" t="str">
        <f t="shared" si="142"/>
        <v>ZSUM</v>
      </c>
      <c r="R1508" s="10" t="str">
        <f t="shared" si="143"/>
        <v>50151514</v>
      </c>
    </row>
    <row r="1509" spans="1:18" ht="38.25" hidden="1" x14ac:dyDescent="0.2">
      <c r="A1509" s="21" t="s">
        <v>157</v>
      </c>
      <c r="B1509" s="8" t="s">
        <v>156</v>
      </c>
      <c r="C1509" s="8" t="s">
        <v>40</v>
      </c>
      <c r="D1509" s="8" t="s">
        <v>155</v>
      </c>
      <c r="E1509" s="8" t="s">
        <v>40</v>
      </c>
      <c r="F1509" s="8" t="s">
        <v>39</v>
      </c>
      <c r="G1509" s="8" t="s">
        <v>60</v>
      </c>
      <c r="H1509" s="8" t="s">
        <v>37</v>
      </c>
      <c r="I1509" s="8" t="s">
        <v>53</v>
      </c>
      <c r="J1509" s="8" t="s">
        <v>59</v>
      </c>
      <c r="K1509" s="8" t="s">
        <v>154</v>
      </c>
      <c r="L1509" s="7">
        <v>8247</v>
      </c>
      <c r="M1509" s="10" t="str">
        <f t="shared" si="138"/>
        <v>CMI02060800</v>
      </c>
      <c r="N1509" s="10" t="str">
        <f t="shared" si="139"/>
        <v>SUM231200</v>
      </c>
      <c r="O1509" s="10" t="str">
        <f t="shared" si="140"/>
        <v>E</v>
      </c>
      <c r="P1509" s="10" t="str">
        <f t="shared" si="141"/>
        <v>50</v>
      </c>
      <c r="Q1509" s="10" t="str">
        <f t="shared" si="142"/>
        <v>ZSUM</v>
      </c>
      <c r="R1509" s="10" t="str">
        <f t="shared" si="143"/>
        <v>50181709</v>
      </c>
    </row>
    <row r="1510" spans="1:18" ht="25.5" hidden="1" x14ac:dyDescent="0.2">
      <c r="A1510" s="21" t="s">
        <v>153</v>
      </c>
      <c r="B1510" s="8" t="s">
        <v>152</v>
      </c>
      <c r="C1510" s="8" t="s">
        <v>40</v>
      </c>
      <c r="D1510" s="8" t="s">
        <v>151</v>
      </c>
      <c r="E1510" s="8" t="s">
        <v>40</v>
      </c>
      <c r="F1510" s="8" t="s">
        <v>39</v>
      </c>
      <c r="G1510" s="8" t="s">
        <v>60</v>
      </c>
      <c r="H1510" s="8" t="s">
        <v>37</v>
      </c>
      <c r="I1510" s="8" t="s">
        <v>53</v>
      </c>
      <c r="J1510" s="8" t="s">
        <v>59</v>
      </c>
      <c r="K1510" s="8" t="s">
        <v>150</v>
      </c>
      <c r="L1510" s="7">
        <v>8248</v>
      </c>
      <c r="M1510" s="10" t="str">
        <f t="shared" si="138"/>
        <v>CMI02061200</v>
      </c>
      <c r="N1510" s="10" t="str">
        <f t="shared" si="139"/>
        <v>SUM231200</v>
      </c>
      <c r="O1510" s="10" t="str">
        <f t="shared" si="140"/>
        <v>E</v>
      </c>
      <c r="P1510" s="10" t="str">
        <f t="shared" si="141"/>
        <v>50</v>
      </c>
      <c r="Q1510" s="10" t="str">
        <f t="shared" si="142"/>
        <v>ZSUM</v>
      </c>
      <c r="R1510" s="10" t="str">
        <f t="shared" si="143"/>
        <v>50180000</v>
      </c>
    </row>
    <row r="1511" spans="1:18" ht="38.25" hidden="1" x14ac:dyDescent="0.2">
      <c r="A1511" s="21" t="s">
        <v>149</v>
      </c>
      <c r="B1511" s="8" t="s">
        <v>148</v>
      </c>
      <c r="C1511" s="8" t="s">
        <v>40</v>
      </c>
      <c r="D1511" s="8" t="s">
        <v>127</v>
      </c>
      <c r="E1511" s="7">
        <v>6</v>
      </c>
      <c r="F1511" s="8" t="s">
        <v>39</v>
      </c>
      <c r="G1511" s="8" t="s">
        <v>60</v>
      </c>
      <c r="H1511" s="8" t="s">
        <v>37</v>
      </c>
      <c r="I1511" s="8" t="s">
        <v>53</v>
      </c>
      <c r="J1511" s="8" t="s">
        <v>59</v>
      </c>
      <c r="K1511" s="8" t="s">
        <v>147</v>
      </c>
      <c r="L1511" s="7">
        <v>8249</v>
      </c>
      <c r="M1511" s="10" t="str">
        <f t="shared" si="138"/>
        <v>CMI02150100</v>
      </c>
      <c r="N1511" s="10" t="str">
        <f t="shared" si="139"/>
        <v>SUM231200</v>
      </c>
      <c r="O1511" s="10" t="str">
        <f t="shared" si="140"/>
        <v>E</v>
      </c>
      <c r="P1511" s="10" t="str">
        <f t="shared" si="141"/>
        <v>50</v>
      </c>
      <c r="Q1511" s="10" t="str">
        <f t="shared" si="142"/>
        <v>ZSUM</v>
      </c>
      <c r="R1511" s="10" t="str">
        <f t="shared" si="143"/>
        <v>51000000</v>
      </c>
    </row>
    <row r="1512" spans="1:18" ht="25.5" hidden="1" x14ac:dyDescent="0.2">
      <c r="A1512" s="21" t="s">
        <v>146</v>
      </c>
      <c r="B1512" s="8" t="s">
        <v>145</v>
      </c>
      <c r="C1512" s="8" t="s">
        <v>40</v>
      </c>
      <c r="D1512" s="8" t="s">
        <v>74</v>
      </c>
      <c r="E1512" s="8" t="s">
        <v>40</v>
      </c>
      <c r="F1512" s="8" t="s">
        <v>39</v>
      </c>
      <c r="G1512" s="8" t="s">
        <v>60</v>
      </c>
      <c r="H1512" s="8" t="s">
        <v>37</v>
      </c>
      <c r="I1512" s="8" t="s">
        <v>53</v>
      </c>
      <c r="J1512" s="8" t="s">
        <v>59</v>
      </c>
      <c r="K1512" s="8" t="s">
        <v>144</v>
      </c>
      <c r="L1512" s="7">
        <v>8250</v>
      </c>
      <c r="M1512" s="10" t="str">
        <f t="shared" si="138"/>
        <v>CMI02170300</v>
      </c>
      <c r="N1512" s="10" t="str">
        <f t="shared" si="139"/>
        <v>SUM231200</v>
      </c>
      <c r="O1512" s="10" t="str">
        <f t="shared" si="140"/>
        <v>E</v>
      </c>
      <c r="P1512" s="10" t="str">
        <f t="shared" si="141"/>
        <v>50</v>
      </c>
      <c r="Q1512" s="10" t="str">
        <f t="shared" si="142"/>
        <v>ZSUM</v>
      </c>
      <c r="R1512" s="10" t="str">
        <f t="shared" si="143"/>
        <v>60121012</v>
      </c>
    </row>
    <row r="1513" spans="1:18" ht="25.5" hidden="1" x14ac:dyDescent="0.2">
      <c r="A1513" s="22" t="s">
        <v>143</v>
      </c>
      <c r="B1513" s="8" t="s">
        <v>142</v>
      </c>
      <c r="C1513" s="8" t="s">
        <v>40</v>
      </c>
      <c r="D1513" s="8" t="s">
        <v>141</v>
      </c>
      <c r="E1513" s="8" t="s">
        <v>40</v>
      </c>
      <c r="F1513" s="8" t="s">
        <v>39</v>
      </c>
      <c r="G1513" s="8" t="s">
        <v>140</v>
      </c>
      <c r="H1513" s="8" t="s">
        <v>37</v>
      </c>
      <c r="I1513" s="8" t="s">
        <v>53</v>
      </c>
      <c r="J1513" s="8" t="s">
        <v>59</v>
      </c>
      <c r="K1513" s="8" t="s">
        <v>139</v>
      </c>
      <c r="L1513" s="7">
        <v>8251</v>
      </c>
      <c r="M1513" s="10" t="str">
        <f t="shared" si="138"/>
        <v>CMI02150200</v>
      </c>
      <c r="N1513" s="10" t="str">
        <f t="shared" si="139"/>
        <v>SUM301100</v>
      </c>
      <c r="O1513" s="10" t="str">
        <f t="shared" si="140"/>
        <v>E</v>
      </c>
      <c r="P1513" s="10" t="str">
        <f t="shared" si="141"/>
        <v>50</v>
      </c>
      <c r="Q1513" s="10" t="str">
        <f t="shared" si="142"/>
        <v>ZSUM</v>
      </c>
      <c r="R1513" s="10" t="str">
        <f t="shared" si="143"/>
        <v>51102724</v>
      </c>
    </row>
    <row r="1514" spans="1:18" ht="25.5" hidden="1" x14ac:dyDescent="0.2">
      <c r="A1514" s="21" t="s">
        <v>138</v>
      </c>
      <c r="B1514" s="8" t="s">
        <v>137</v>
      </c>
      <c r="C1514" s="8" t="s">
        <v>40</v>
      </c>
      <c r="D1514" s="8" t="s">
        <v>136</v>
      </c>
      <c r="E1514" s="8" t="s">
        <v>40</v>
      </c>
      <c r="F1514" s="8" t="s">
        <v>39</v>
      </c>
      <c r="G1514" s="8" t="s">
        <v>135</v>
      </c>
      <c r="H1514" s="8" t="s">
        <v>37</v>
      </c>
      <c r="I1514" s="8" t="s">
        <v>53</v>
      </c>
      <c r="J1514" s="8" t="s">
        <v>134</v>
      </c>
      <c r="K1514" s="8" t="s">
        <v>133</v>
      </c>
      <c r="L1514" s="7">
        <v>8252</v>
      </c>
      <c r="M1514" s="10" t="str">
        <f t="shared" si="138"/>
        <v>CMI02200400</v>
      </c>
      <c r="N1514" s="10" t="str">
        <f t="shared" si="139"/>
        <v>TUB291500</v>
      </c>
      <c r="O1514" s="10" t="str">
        <f t="shared" si="140"/>
        <v>E</v>
      </c>
      <c r="P1514" s="10" t="str">
        <f t="shared" si="141"/>
        <v>50</v>
      </c>
      <c r="Q1514" s="10" t="str">
        <f t="shared" si="142"/>
        <v>ZTUB</v>
      </c>
      <c r="R1514" s="10" t="str">
        <f t="shared" si="143"/>
        <v>40183100</v>
      </c>
    </row>
    <row r="1515" spans="1:18" ht="38.25" hidden="1" x14ac:dyDescent="0.2">
      <c r="A1515" s="21" t="s">
        <v>132</v>
      </c>
      <c r="B1515" s="8" t="s">
        <v>131</v>
      </c>
      <c r="C1515" s="8" t="s">
        <v>40</v>
      </c>
      <c r="D1515" s="8" t="s">
        <v>78</v>
      </c>
      <c r="E1515" s="8" t="s">
        <v>40</v>
      </c>
      <c r="F1515" s="8" t="s">
        <v>39</v>
      </c>
      <c r="G1515" s="8" t="s">
        <v>54</v>
      </c>
      <c r="H1515" s="8" t="s">
        <v>37</v>
      </c>
      <c r="I1515" s="8" t="s">
        <v>53</v>
      </c>
      <c r="J1515" s="8" t="s">
        <v>46</v>
      </c>
      <c r="K1515" s="8" t="s">
        <v>130</v>
      </c>
      <c r="L1515" s="7">
        <v>8287</v>
      </c>
      <c r="M1515" s="10" t="str">
        <f t="shared" si="138"/>
        <v>CMI02090400</v>
      </c>
      <c r="N1515" s="10" t="str">
        <f t="shared" si="139"/>
        <v>REP201100</v>
      </c>
      <c r="O1515" s="10" t="str">
        <f t="shared" si="140"/>
        <v>E</v>
      </c>
      <c r="P1515" s="10" t="str">
        <f t="shared" si="141"/>
        <v>50</v>
      </c>
      <c r="Q1515" s="10" t="str">
        <f t="shared" si="142"/>
        <v>ZRPI</v>
      </c>
      <c r="R1515" s="10" t="str">
        <f t="shared" si="143"/>
        <v>43211900</v>
      </c>
    </row>
    <row r="1516" spans="1:18" ht="25.5" hidden="1" x14ac:dyDescent="0.2">
      <c r="A1516" s="21" t="s">
        <v>129</v>
      </c>
      <c r="B1516" s="8" t="s">
        <v>128</v>
      </c>
      <c r="C1516" s="8" t="s">
        <v>40</v>
      </c>
      <c r="D1516" s="8" t="s">
        <v>127</v>
      </c>
      <c r="E1516" s="8" t="s">
        <v>40</v>
      </c>
      <c r="F1516" s="8" t="s">
        <v>39</v>
      </c>
      <c r="G1516" s="8" t="s">
        <v>60</v>
      </c>
      <c r="H1516" s="8" t="s">
        <v>37</v>
      </c>
      <c r="I1516" s="8" t="s">
        <v>53</v>
      </c>
      <c r="J1516" s="8" t="s">
        <v>59</v>
      </c>
      <c r="K1516" s="8" t="s">
        <v>126</v>
      </c>
      <c r="L1516" s="7">
        <v>8288</v>
      </c>
      <c r="M1516" s="10" t="str">
        <f t="shared" si="138"/>
        <v>CMI02150100</v>
      </c>
      <c r="N1516" s="10" t="str">
        <f t="shared" si="139"/>
        <v>SUM231200</v>
      </c>
      <c r="O1516" s="10" t="str">
        <f t="shared" si="140"/>
        <v>E</v>
      </c>
      <c r="P1516" s="10" t="str">
        <f t="shared" si="141"/>
        <v>50</v>
      </c>
      <c r="Q1516" s="10" t="str">
        <f t="shared" si="142"/>
        <v>ZSUM</v>
      </c>
      <c r="R1516" s="10" t="str">
        <f t="shared" si="143"/>
        <v>51142001</v>
      </c>
    </row>
    <row r="1517" spans="1:18" ht="38.25" hidden="1" x14ac:dyDescent="0.2">
      <c r="A1517" s="21" t="s">
        <v>125</v>
      </c>
      <c r="B1517" s="8" t="s">
        <v>124</v>
      </c>
      <c r="C1517" s="8" t="s">
        <v>40</v>
      </c>
      <c r="D1517" s="8" t="s">
        <v>74</v>
      </c>
      <c r="E1517" s="8" t="s">
        <v>40</v>
      </c>
      <c r="F1517" s="8" t="s">
        <v>39</v>
      </c>
      <c r="G1517" s="8" t="s">
        <v>123</v>
      </c>
      <c r="H1517" s="8" t="s">
        <v>37</v>
      </c>
      <c r="I1517" s="8" t="s">
        <v>53</v>
      </c>
      <c r="J1517" s="8" t="s">
        <v>122</v>
      </c>
      <c r="K1517" s="8" t="s">
        <v>121</v>
      </c>
      <c r="L1517" s="7">
        <v>8289</v>
      </c>
      <c r="M1517" s="10" t="str">
        <f t="shared" si="138"/>
        <v>CMI02170300</v>
      </c>
      <c r="N1517" s="10" t="str">
        <f t="shared" si="139"/>
        <v>EQU341000</v>
      </c>
      <c r="O1517" s="10" t="str">
        <f t="shared" si="140"/>
        <v>E</v>
      </c>
      <c r="P1517" s="10" t="str">
        <f t="shared" si="141"/>
        <v>50</v>
      </c>
      <c r="Q1517" s="10" t="str">
        <f t="shared" si="142"/>
        <v>ZEQU</v>
      </c>
      <c r="R1517" s="10" t="str">
        <f t="shared" si="143"/>
        <v>60105622</v>
      </c>
    </row>
    <row r="1518" spans="1:18" ht="25.5" hidden="1" x14ac:dyDescent="0.2">
      <c r="A1518" s="21" t="s">
        <v>120</v>
      </c>
      <c r="B1518" s="8" t="s">
        <v>119</v>
      </c>
      <c r="C1518" s="8" t="s">
        <v>40</v>
      </c>
      <c r="D1518" s="8" t="s">
        <v>74</v>
      </c>
      <c r="E1518" s="8" t="s">
        <v>40</v>
      </c>
      <c r="F1518" s="8" t="s">
        <v>39</v>
      </c>
      <c r="G1518" s="8" t="s">
        <v>60</v>
      </c>
      <c r="H1518" s="8" t="s">
        <v>37</v>
      </c>
      <c r="I1518" s="8" t="s">
        <v>53</v>
      </c>
      <c r="J1518" s="8" t="s">
        <v>59</v>
      </c>
      <c r="K1518" s="8" t="s">
        <v>118</v>
      </c>
      <c r="L1518" s="7">
        <v>8290</v>
      </c>
      <c r="M1518" s="10" t="str">
        <f t="shared" si="138"/>
        <v>CMI02170300</v>
      </c>
      <c r="N1518" s="10" t="str">
        <f t="shared" si="139"/>
        <v>SUM231200</v>
      </c>
      <c r="O1518" s="10" t="str">
        <f t="shared" si="140"/>
        <v>E</v>
      </c>
      <c r="P1518" s="10" t="str">
        <f t="shared" si="141"/>
        <v>50</v>
      </c>
      <c r="Q1518" s="10" t="str">
        <f t="shared" si="142"/>
        <v>ZSUM</v>
      </c>
      <c r="R1518" s="10" t="str">
        <f t="shared" si="143"/>
        <v>21111500</v>
      </c>
    </row>
    <row r="1519" spans="1:18" ht="25.5" hidden="1" x14ac:dyDescent="0.2">
      <c r="A1519" s="21" t="s">
        <v>117</v>
      </c>
      <c r="B1519" s="8" t="s">
        <v>116</v>
      </c>
      <c r="C1519" s="8" t="s">
        <v>40</v>
      </c>
      <c r="D1519" s="8" t="s">
        <v>95</v>
      </c>
      <c r="E1519" s="8" t="s">
        <v>40</v>
      </c>
      <c r="F1519" s="8" t="s">
        <v>39</v>
      </c>
      <c r="G1519" s="8" t="s">
        <v>60</v>
      </c>
      <c r="H1519" s="8" t="s">
        <v>37</v>
      </c>
      <c r="I1519" s="8" t="s">
        <v>53</v>
      </c>
      <c r="J1519" s="8" t="s">
        <v>59</v>
      </c>
      <c r="K1519" s="8" t="s">
        <v>115</v>
      </c>
      <c r="L1519" s="7">
        <v>8291</v>
      </c>
      <c r="M1519" s="10" t="str">
        <f t="shared" si="138"/>
        <v>CMI02160100</v>
      </c>
      <c r="N1519" s="10" t="str">
        <f t="shared" si="139"/>
        <v>SUM231200</v>
      </c>
      <c r="O1519" s="10" t="str">
        <f t="shared" si="140"/>
        <v>E</v>
      </c>
      <c r="P1519" s="10" t="str">
        <f t="shared" si="141"/>
        <v>50</v>
      </c>
      <c r="Q1519" s="10" t="str">
        <f t="shared" si="142"/>
        <v>ZSUM</v>
      </c>
      <c r="R1519" s="10" t="str">
        <f t="shared" si="143"/>
        <v>44122002</v>
      </c>
    </row>
    <row r="1520" spans="1:18" ht="38.25" hidden="1" x14ac:dyDescent="0.2">
      <c r="A1520" s="21" t="s">
        <v>114</v>
      </c>
      <c r="B1520" s="8" t="s">
        <v>113</v>
      </c>
      <c r="C1520" s="8" t="s">
        <v>40</v>
      </c>
      <c r="D1520" s="8" t="s">
        <v>112</v>
      </c>
      <c r="E1520" s="8" t="s">
        <v>40</v>
      </c>
      <c r="F1520" s="8" t="s">
        <v>39</v>
      </c>
      <c r="G1520" s="8" t="s">
        <v>60</v>
      </c>
      <c r="H1520" s="8" t="s">
        <v>37</v>
      </c>
      <c r="I1520" s="8" t="s">
        <v>53</v>
      </c>
      <c r="J1520" s="8" t="s">
        <v>59</v>
      </c>
      <c r="K1520" s="8" t="s">
        <v>111</v>
      </c>
      <c r="L1520" s="7">
        <v>8292</v>
      </c>
      <c r="M1520" s="10" t="str">
        <f t="shared" si="138"/>
        <v>CMI02130100</v>
      </c>
      <c r="N1520" s="10" t="str">
        <f t="shared" si="139"/>
        <v>SUM231200</v>
      </c>
      <c r="O1520" s="10" t="str">
        <f t="shared" si="140"/>
        <v>E</v>
      </c>
      <c r="P1520" s="10" t="str">
        <f t="shared" si="141"/>
        <v>50</v>
      </c>
      <c r="Q1520" s="10" t="str">
        <f t="shared" si="142"/>
        <v>ZSUM</v>
      </c>
      <c r="R1520" s="10" t="str">
        <f t="shared" si="143"/>
        <v>14111703</v>
      </c>
    </row>
    <row r="1521" spans="1:18" ht="38.25" hidden="1" x14ac:dyDescent="0.2">
      <c r="A1521" s="21" t="s">
        <v>110</v>
      </c>
      <c r="B1521" s="8" t="s">
        <v>109</v>
      </c>
      <c r="C1521" s="8" t="s">
        <v>40</v>
      </c>
      <c r="D1521" s="8" t="s">
        <v>86</v>
      </c>
      <c r="E1521" s="8" t="s">
        <v>40</v>
      </c>
      <c r="F1521" s="8" t="s">
        <v>39</v>
      </c>
      <c r="G1521" s="8" t="s">
        <v>60</v>
      </c>
      <c r="H1521" s="8" t="s">
        <v>37</v>
      </c>
      <c r="I1521" s="8" t="s">
        <v>53</v>
      </c>
      <c r="J1521" s="8" t="s">
        <v>59</v>
      </c>
      <c r="K1521" s="8" t="s">
        <v>108</v>
      </c>
      <c r="L1521" s="7">
        <v>8293</v>
      </c>
      <c r="M1521" s="10" t="str">
        <f t="shared" si="138"/>
        <v>CMI02160300</v>
      </c>
      <c r="N1521" s="10" t="str">
        <f t="shared" si="139"/>
        <v>SUM231200</v>
      </c>
      <c r="O1521" s="10" t="str">
        <f t="shared" si="140"/>
        <v>E</v>
      </c>
      <c r="P1521" s="10" t="str">
        <f t="shared" si="141"/>
        <v>50</v>
      </c>
      <c r="Q1521" s="10" t="str">
        <f t="shared" si="142"/>
        <v>ZSUM</v>
      </c>
      <c r="R1521" s="10" t="str">
        <f t="shared" si="143"/>
        <v>44121600</v>
      </c>
    </row>
    <row r="1522" spans="1:18" ht="25.5" hidden="1" x14ac:dyDescent="0.2">
      <c r="A1522" s="21" t="s">
        <v>107</v>
      </c>
      <c r="B1522" s="8" t="s">
        <v>106</v>
      </c>
      <c r="C1522" s="8" t="s">
        <v>40</v>
      </c>
      <c r="D1522" s="8" t="s">
        <v>74</v>
      </c>
      <c r="E1522" s="8" t="s">
        <v>40</v>
      </c>
      <c r="F1522" s="8" t="s">
        <v>39</v>
      </c>
      <c r="G1522" s="8" t="s">
        <v>105</v>
      </c>
      <c r="H1522" s="8" t="s">
        <v>37</v>
      </c>
      <c r="I1522" s="8" t="s">
        <v>53</v>
      </c>
      <c r="J1522" s="8" t="s">
        <v>104</v>
      </c>
      <c r="K1522" s="8" t="s">
        <v>103</v>
      </c>
      <c r="L1522" s="7">
        <v>8294</v>
      </c>
      <c r="M1522" s="10" t="str">
        <f t="shared" si="138"/>
        <v>CMI02170300</v>
      </c>
      <c r="N1522" s="10" t="str">
        <f t="shared" si="139"/>
        <v>CON252100</v>
      </c>
      <c r="O1522" s="10" t="str">
        <f t="shared" si="140"/>
        <v>E</v>
      </c>
      <c r="P1522" s="10" t="str">
        <f t="shared" si="141"/>
        <v>50</v>
      </c>
      <c r="Q1522" s="10" t="str">
        <f t="shared" si="142"/>
        <v>ZCON</v>
      </c>
      <c r="R1522" s="10" t="str">
        <f t="shared" si="143"/>
        <v>11111600</v>
      </c>
    </row>
    <row r="1523" spans="1:18" ht="38.25" hidden="1" x14ac:dyDescent="0.2">
      <c r="A1523" s="21" t="s">
        <v>102</v>
      </c>
      <c r="B1523" s="8" t="s">
        <v>101</v>
      </c>
      <c r="C1523" s="8" t="s">
        <v>40</v>
      </c>
      <c r="D1523" s="8" t="s">
        <v>86</v>
      </c>
      <c r="E1523" s="8" t="s">
        <v>40</v>
      </c>
      <c r="F1523" s="8" t="s">
        <v>39</v>
      </c>
      <c r="G1523" s="8" t="s">
        <v>60</v>
      </c>
      <c r="H1523" s="8" t="s">
        <v>37</v>
      </c>
      <c r="I1523" s="8" t="s">
        <v>53</v>
      </c>
      <c r="J1523" s="8" t="s">
        <v>59</v>
      </c>
      <c r="K1523" s="8" t="s">
        <v>100</v>
      </c>
      <c r="L1523" s="7">
        <v>8295</v>
      </c>
      <c r="M1523" s="10" t="str">
        <f t="shared" si="138"/>
        <v>CMI02160300</v>
      </c>
      <c r="N1523" s="10" t="str">
        <f t="shared" si="139"/>
        <v>SUM231200</v>
      </c>
      <c r="O1523" s="10" t="str">
        <f t="shared" si="140"/>
        <v>E</v>
      </c>
      <c r="P1523" s="10" t="str">
        <f t="shared" si="141"/>
        <v>50</v>
      </c>
      <c r="Q1523" s="10" t="str">
        <f t="shared" si="142"/>
        <v>ZSUM</v>
      </c>
      <c r="R1523" s="10" t="str">
        <f t="shared" si="143"/>
        <v>56101529</v>
      </c>
    </row>
    <row r="1524" spans="1:18" ht="51" hidden="1" x14ac:dyDescent="0.2">
      <c r="A1524" s="21" t="s">
        <v>99</v>
      </c>
      <c r="B1524" s="8" t="s">
        <v>98</v>
      </c>
      <c r="C1524" s="8" t="s">
        <v>40</v>
      </c>
      <c r="D1524" s="8" t="s">
        <v>95</v>
      </c>
      <c r="E1524" s="8" t="s">
        <v>40</v>
      </c>
      <c r="F1524" s="8" t="s">
        <v>39</v>
      </c>
      <c r="G1524" s="8" t="s">
        <v>60</v>
      </c>
      <c r="H1524" s="8" t="s">
        <v>37</v>
      </c>
      <c r="I1524" s="8" t="s">
        <v>53</v>
      </c>
      <c r="J1524" s="8" t="s">
        <v>59</v>
      </c>
      <c r="K1524" s="8" t="s">
        <v>84</v>
      </c>
      <c r="L1524" s="7">
        <v>8296</v>
      </c>
      <c r="M1524" s="10" t="str">
        <f t="shared" si="138"/>
        <v>CMI02160100</v>
      </c>
      <c r="N1524" s="10" t="str">
        <f t="shared" si="139"/>
        <v>SUM231200</v>
      </c>
      <c r="O1524" s="10" t="str">
        <f t="shared" si="140"/>
        <v>E</v>
      </c>
      <c r="P1524" s="10" t="str">
        <f t="shared" si="141"/>
        <v>50</v>
      </c>
      <c r="Q1524" s="10" t="str">
        <f t="shared" si="142"/>
        <v>ZSUM</v>
      </c>
      <c r="R1524" s="10" t="str">
        <f t="shared" si="143"/>
        <v>44111503</v>
      </c>
    </row>
    <row r="1525" spans="1:18" ht="51" hidden="1" x14ac:dyDescent="0.2">
      <c r="A1525" s="21" t="s">
        <v>97</v>
      </c>
      <c r="B1525" s="8" t="s">
        <v>96</v>
      </c>
      <c r="C1525" s="8" t="s">
        <v>40</v>
      </c>
      <c r="D1525" s="8" t="s">
        <v>95</v>
      </c>
      <c r="E1525" s="8" t="s">
        <v>40</v>
      </c>
      <c r="F1525" s="8" t="s">
        <v>39</v>
      </c>
      <c r="G1525" s="8" t="s">
        <v>60</v>
      </c>
      <c r="H1525" s="8" t="s">
        <v>37</v>
      </c>
      <c r="I1525" s="8" t="s">
        <v>53</v>
      </c>
      <c r="J1525" s="8" t="s">
        <v>59</v>
      </c>
      <c r="K1525" s="8" t="s">
        <v>84</v>
      </c>
      <c r="L1525" s="7">
        <v>8297</v>
      </c>
      <c r="M1525" s="10" t="str">
        <f t="shared" si="138"/>
        <v>CMI02160100</v>
      </c>
      <c r="N1525" s="10" t="str">
        <f t="shared" si="139"/>
        <v>SUM231200</v>
      </c>
      <c r="O1525" s="10" t="str">
        <f t="shared" si="140"/>
        <v>E</v>
      </c>
      <c r="P1525" s="10" t="str">
        <f t="shared" si="141"/>
        <v>50</v>
      </c>
      <c r="Q1525" s="10" t="str">
        <f t="shared" si="142"/>
        <v>ZSUM</v>
      </c>
      <c r="R1525" s="10" t="str">
        <f t="shared" si="143"/>
        <v>44111503</v>
      </c>
    </row>
    <row r="1526" spans="1:18" ht="51" hidden="1" x14ac:dyDescent="0.2">
      <c r="A1526" s="21" t="s">
        <v>94</v>
      </c>
      <c r="B1526" s="8" t="s">
        <v>93</v>
      </c>
      <c r="C1526" s="8" t="s">
        <v>40</v>
      </c>
      <c r="D1526" s="8" t="s">
        <v>92</v>
      </c>
      <c r="E1526" s="8" t="s">
        <v>40</v>
      </c>
      <c r="F1526" s="8" t="s">
        <v>39</v>
      </c>
      <c r="G1526" s="8" t="s">
        <v>91</v>
      </c>
      <c r="H1526" s="8" t="s">
        <v>37</v>
      </c>
      <c r="I1526" s="8" t="s">
        <v>53</v>
      </c>
      <c r="J1526" s="8" t="s">
        <v>90</v>
      </c>
      <c r="K1526" s="8" t="s">
        <v>89</v>
      </c>
      <c r="L1526" s="7">
        <v>8298</v>
      </c>
      <c r="M1526" s="10" t="str">
        <f t="shared" si="138"/>
        <v>CMI02170400</v>
      </c>
      <c r="N1526" s="10" t="str">
        <f t="shared" si="139"/>
        <v>SEG221100</v>
      </c>
      <c r="O1526" s="10" t="str">
        <f t="shared" si="140"/>
        <v>E</v>
      </c>
      <c r="P1526" s="10" t="str">
        <f t="shared" si="141"/>
        <v>50</v>
      </c>
      <c r="Q1526" s="10" t="str">
        <f t="shared" si="142"/>
        <v>ZSEG</v>
      </c>
      <c r="R1526" s="10" t="str">
        <f t="shared" si="143"/>
        <v>42211812</v>
      </c>
    </row>
    <row r="1527" spans="1:18" ht="51" hidden="1" x14ac:dyDescent="0.2">
      <c r="A1527" s="21" t="s">
        <v>88</v>
      </c>
      <c r="B1527" s="8" t="s">
        <v>87</v>
      </c>
      <c r="C1527" s="8" t="s">
        <v>40</v>
      </c>
      <c r="D1527" s="8" t="s">
        <v>86</v>
      </c>
      <c r="E1527" s="8" t="s">
        <v>40</v>
      </c>
      <c r="F1527" s="8" t="s">
        <v>39</v>
      </c>
      <c r="G1527" s="8" t="s">
        <v>85</v>
      </c>
      <c r="H1527" s="8" t="s">
        <v>37</v>
      </c>
      <c r="I1527" s="8" t="s">
        <v>53</v>
      </c>
      <c r="J1527" s="8" t="s">
        <v>59</v>
      </c>
      <c r="K1527" s="8" t="s">
        <v>84</v>
      </c>
      <c r="L1527" s="7">
        <v>8299</v>
      </c>
      <c r="M1527" s="10" t="str">
        <f t="shared" si="138"/>
        <v>CMI02160300</v>
      </c>
      <c r="N1527" s="10" t="str">
        <f t="shared" si="139"/>
        <v>SUM231500</v>
      </c>
      <c r="O1527" s="10" t="str">
        <f t="shared" si="140"/>
        <v>E</v>
      </c>
      <c r="P1527" s="10" t="str">
        <f t="shared" si="141"/>
        <v>50</v>
      </c>
      <c r="Q1527" s="10" t="str">
        <f t="shared" si="142"/>
        <v>ZSUM</v>
      </c>
      <c r="R1527" s="10" t="str">
        <f t="shared" si="143"/>
        <v>44111503</v>
      </c>
    </row>
    <row r="1528" spans="1:18" ht="38.25" hidden="1" x14ac:dyDescent="0.2">
      <c r="A1528" s="21" t="s">
        <v>83</v>
      </c>
      <c r="B1528" s="8" t="s">
        <v>82</v>
      </c>
      <c r="C1528" s="8" t="s">
        <v>40</v>
      </c>
      <c r="D1528" s="8" t="s">
        <v>78</v>
      </c>
      <c r="E1528" s="8" t="s">
        <v>40</v>
      </c>
      <c r="F1528" s="8" t="s">
        <v>39</v>
      </c>
      <c r="G1528" s="8" t="s">
        <v>54</v>
      </c>
      <c r="H1528" s="8" t="s">
        <v>37</v>
      </c>
      <c r="I1528" s="8" t="s">
        <v>53</v>
      </c>
      <c r="J1528" s="8" t="s">
        <v>46</v>
      </c>
      <c r="K1528" s="8" t="s">
        <v>81</v>
      </c>
      <c r="L1528" s="7">
        <v>11504</v>
      </c>
      <c r="M1528" s="10" t="str">
        <f t="shared" si="138"/>
        <v>CMI02090400</v>
      </c>
      <c r="N1528" s="10" t="str">
        <f t="shared" si="139"/>
        <v>REP201100</v>
      </c>
      <c r="O1528" s="10" t="str">
        <f t="shared" si="140"/>
        <v>E</v>
      </c>
      <c r="P1528" s="10" t="str">
        <f t="shared" si="141"/>
        <v>50</v>
      </c>
      <c r="Q1528" s="10" t="str">
        <f t="shared" si="142"/>
        <v>ZRPI</v>
      </c>
      <c r="R1528" s="10" t="str">
        <f t="shared" si="143"/>
        <v>20122903</v>
      </c>
    </row>
    <row r="1529" spans="1:18" ht="38.25" hidden="1" x14ac:dyDescent="0.2">
      <c r="A1529" s="21" t="s">
        <v>80</v>
      </c>
      <c r="B1529" s="8" t="s">
        <v>79</v>
      </c>
      <c r="C1529" s="8" t="s">
        <v>40</v>
      </c>
      <c r="D1529" s="8" t="s">
        <v>78</v>
      </c>
      <c r="E1529" s="8" t="s">
        <v>40</v>
      </c>
      <c r="F1529" s="8" t="s">
        <v>39</v>
      </c>
      <c r="G1529" s="8" t="s">
        <v>54</v>
      </c>
      <c r="H1529" s="8" t="s">
        <v>37</v>
      </c>
      <c r="I1529" s="8" t="s">
        <v>36</v>
      </c>
      <c r="J1529" s="8" t="s">
        <v>46</v>
      </c>
      <c r="K1529" s="8" t="s">
        <v>77</v>
      </c>
      <c r="L1529" s="7">
        <v>11505</v>
      </c>
      <c r="M1529" s="10" t="str">
        <f t="shared" si="138"/>
        <v>CMI02090400</v>
      </c>
      <c r="N1529" s="10" t="str">
        <f t="shared" si="139"/>
        <v>REP201100</v>
      </c>
      <c r="O1529" s="10" t="str">
        <f t="shared" si="140"/>
        <v>E</v>
      </c>
      <c r="P1529" s="10" t="str">
        <f t="shared" si="141"/>
        <v>10</v>
      </c>
      <c r="Q1529" s="10" t="str">
        <f t="shared" si="142"/>
        <v>ZRPI</v>
      </c>
      <c r="R1529" s="10" t="str">
        <f t="shared" si="143"/>
        <v>41113600</v>
      </c>
    </row>
    <row r="1530" spans="1:18" ht="25.5" hidden="1" x14ac:dyDescent="0.2">
      <c r="A1530" s="21" t="s">
        <v>76</v>
      </c>
      <c r="B1530" s="8" t="s">
        <v>75</v>
      </c>
      <c r="C1530" s="8" t="s">
        <v>40</v>
      </c>
      <c r="D1530" s="8" t="s">
        <v>74</v>
      </c>
      <c r="E1530" s="7">
        <v>6</v>
      </c>
      <c r="F1530" s="8" t="s">
        <v>39</v>
      </c>
      <c r="G1530" s="8" t="s">
        <v>60</v>
      </c>
      <c r="H1530" s="8" t="s">
        <v>37</v>
      </c>
      <c r="I1530" s="8" t="s">
        <v>53</v>
      </c>
      <c r="J1530" s="8" t="s">
        <v>59</v>
      </c>
      <c r="K1530" s="8" t="s">
        <v>73</v>
      </c>
      <c r="L1530" s="7">
        <v>11506</v>
      </c>
      <c r="M1530" s="10" t="str">
        <f t="shared" si="138"/>
        <v>CMI02170300</v>
      </c>
      <c r="N1530" s="10" t="str">
        <f t="shared" si="139"/>
        <v>SUM231200</v>
      </c>
      <c r="O1530" s="10" t="str">
        <f t="shared" si="140"/>
        <v>E</v>
      </c>
      <c r="P1530" s="10" t="str">
        <f t="shared" si="141"/>
        <v>50</v>
      </c>
      <c r="Q1530" s="10" t="str">
        <f t="shared" si="142"/>
        <v>ZSUM</v>
      </c>
      <c r="R1530" s="10" t="str">
        <f t="shared" si="143"/>
        <v>49201516</v>
      </c>
    </row>
    <row r="1531" spans="1:18" ht="25.5" hidden="1" x14ac:dyDescent="0.2">
      <c r="A1531" s="21" t="s">
        <v>72</v>
      </c>
      <c r="B1531" s="8" t="s">
        <v>71</v>
      </c>
      <c r="C1531" s="8" t="s">
        <v>40</v>
      </c>
      <c r="D1531" s="8" t="s">
        <v>70</v>
      </c>
      <c r="E1531" s="8" t="s">
        <v>40</v>
      </c>
      <c r="F1531" s="8" t="s">
        <v>39</v>
      </c>
      <c r="G1531" s="8" t="s">
        <v>69</v>
      </c>
      <c r="H1531" s="8" t="s">
        <v>37</v>
      </c>
      <c r="I1531" s="8" t="s">
        <v>53</v>
      </c>
      <c r="J1531" s="8" t="s">
        <v>68</v>
      </c>
      <c r="K1531" s="8" t="s">
        <v>67</v>
      </c>
      <c r="L1531" s="7">
        <v>11538</v>
      </c>
      <c r="M1531" s="10" t="str">
        <f t="shared" si="138"/>
        <v>CMI01030400</v>
      </c>
      <c r="N1531" s="10" t="str">
        <f t="shared" si="139"/>
        <v>MOB361000</v>
      </c>
      <c r="O1531" s="10" t="str">
        <f t="shared" si="140"/>
        <v>E</v>
      </c>
      <c r="P1531" s="10" t="str">
        <f t="shared" si="141"/>
        <v>50</v>
      </c>
      <c r="Q1531" s="10" t="str">
        <f t="shared" si="142"/>
        <v>ZMOB</v>
      </c>
      <c r="R1531" s="10" t="str">
        <f t="shared" si="143"/>
        <v>56112100</v>
      </c>
    </row>
    <row r="1532" spans="1:18" ht="25.5" hidden="1" x14ac:dyDescent="0.2">
      <c r="A1532" s="21" t="s">
        <v>66</v>
      </c>
      <c r="B1532" s="9" t="s">
        <v>66</v>
      </c>
      <c r="C1532" s="8" t="s">
        <v>65</v>
      </c>
      <c r="D1532" s="8" t="s">
        <v>40</v>
      </c>
      <c r="E1532" s="7">
        <v>6</v>
      </c>
      <c r="F1532" s="8" t="s">
        <v>39</v>
      </c>
      <c r="G1532" s="8" t="s">
        <v>40</v>
      </c>
      <c r="H1532" s="8" t="s">
        <v>37</v>
      </c>
      <c r="I1532" s="8" t="s">
        <v>36</v>
      </c>
      <c r="J1532" s="8" t="s">
        <v>64</v>
      </c>
      <c r="K1532" s="8" t="s">
        <v>40</v>
      </c>
      <c r="L1532" s="7">
        <v>11563</v>
      </c>
      <c r="M1532" s="10" t="str">
        <f t="shared" si="138"/>
        <v/>
      </c>
      <c r="N1532" s="10" t="str">
        <f t="shared" si="139"/>
        <v/>
      </c>
      <c r="O1532" s="10" t="str">
        <f t="shared" si="140"/>
        <v>E</v>
      </c>
      <c r="P1532" s="10" t="str">
        <f t="shared" si="141"/>
        <v>10</v>
      </c>
      <c r="Q1532" s="10" t="str">
        <f t="shared" si="142"/>
        <v>ZRPA</v>
      </c>
      <c r="R1532" s="10" t="str">
        <f t="shared" si="143"/>
        <v/>
      </c>
    </row>
    <row r="1533" spans="1:18" ht="25.5" hidden="1" x14ac:dyDescent="0.2">
      <c r="A1533" s="21" t="s">
        <v>63</v>
      </c>
      <c r="B1533" s="8" t="s">
        <v>62</v>
      </c>
      <c r="C1533" s="8" t="s">
        <v>40</v>
      </c>
      <c r="D1533" s="8" t="s">
        <v>61</v>
      </c>
      <c r="E1533" s="7">
        <v>6</v>
      </c>
      <c r="F1533" s="8" t="s">
        <v>39</v>
      </c>
      <c r="G1533" s="8" t="s">
        <v>60</v>
      </c>
      <c r="H1533" s="8" t="s">
        <v>37</v>
      </c>
      <c r="I1533" s="8" t="s">
        <v>53</v>
      </c>
      <c r="J1533" s="8" t="s">
        <v>59</v>
      </c>
      <c r="K1533" s="8" t="s">
        <v>58</v>
      </c>
      <c r="L1533" s="7">
        <v>11581</v>
      </c>
      <c r="M1533" s="10" t="str">
        <f t="shared" si="138"/>
        <v>CMI05010800</v>
      </c>
      <c r="N1533" s="10" t="str">
        <f t="shared" si="139"/>
        <v>SUM231200</v>
      </c>
      <c r="O1533" s="10" t="str">
        <f t="shared" si="140"/>
        <v>E</v>
      </c>
      <c r="P1533" s="10" t="str">
        <f t="shared" si="141"/>
        <v>50</v>
      </c>
      <c r="Q1533" s="10" t="str">
        <f t="shared" si="142"/>
        <v>ZSUM</v>
      </c>
      <c r="R1533" s="10" t="str">
        <f t="shared" si="143"/>
        <v>12131502</v>
      </c>
    </row>
    <row r="1534" spans="1:18" ht="38.25" hidden="1" x14ac:dyDescent="0.2">
      <c r="A1534" s="21" t="s">
        <v>57</v>
      </c>
      <c r="B1534" s="8" t="s">
        <v>56</v>
      </c>
      <c r="C1534" s="8" t="s">
        <v>40</v>
      </c>
      <c r="D1534" s="8" t="s">
        <v>55</v>
      </c>
      <c r="E1534" s="7">
        <v>6</v>
      </c>
      <c r="F1534" s="8" t="s">
        <v>39</v>
      </c>
      <c r="G1534" s="8" t="s">
        <v>54</v>
      </c>
      <c r="H1534" s="8" t="s">
        <v>37</v>
      </c>
      <c r="I1534" s="8" t="s">
        <v>53</v>
      </c>
      <c r="J1534" s="8" t="s">
        <v>46</v>
      </c>
      <c r="K1534" s="8" t="s">
        <v>52</v>
      </c>
      <c r="L1534" s="7">
        <v>11582</v>
      </c>
      <c r="M1534" s="10" t="str">
        <f t="shared" si="138"/>
        <v>CMI02140300</v>
      </c>
      <c r="N1534" s="10" t="str">
        <f t="shared" si="139"/>
        <v>REP201100</v>
      </c>
      <c r="O1534" s="10" t="str">
        <f t="shared" si="140"/>
        <v>E</v>
      </c>
      <c r="P1534" s="10" t="str">
        <f t="shared" si="141"/>
        <v>50</v>
      </c>
      <c r="Q1534" s="10" t="str">
        <f t="shared" si="142"/>
        <v>ZRPI</v>
      </c>
      <c r="R1534" s="10" t="str">
        <f t="shared" si="143"/>
        <v>41113708</v>
      </c>
    </row>
    <row r="1535" spans="1:18" ht="25.5" hidden="1" x14ac:dyDescent="0.2">
      <c r="A1535" s="21" t="s">
        <v>51</v>
      </c>
      <c r="B1535" s="8" t="s">
        <v>50</v>
      </c>
      <c r="C1535" s="8" t="s">
        <v>40</v>
      </c>
      <c r="D1535" s="8" t="s">
        <v>48</v>
      </c>
      <c r="E1535" s="8" t="s">
        <v>40</v>
      </c>
      <c r="F1535" s="8" t="s">
        <v>39</v>
      </c>
      <c r="G1535" s="8" t="s">
        <v>47</v>
      </c>
      <c r="H1535" s="8" t="s">
        <v>37</v>
      </c>
      <c r="I1535" s="8" t="s">
        <v>36</v>
      </c>
      <c r="J1535" s="8" t="s">
        <v>49</v>
      </c>
      <c r="K1535" s="8" t="s">
        <v>45</v>
      </c>
      <c r="L1535" s="7">
        <v>11586</v>
      </c>
      <c r="M1535" s="10" t="str">
        <f t="shared" si="138"/>
        <v>CMI06070700</v>
      </c>
      <c r="N1535" s="10" t="str">
        <f t="shared" si="139"/>
        <v>MAQ351000</v>
      </c>
      <c r="O1535" s="10" t="str">
        <f t="shared" si="140"/>
        <v>E</v>
      </c>
      <c r="P1535" s="10" t="str">
        <f t="shared" si="141"/>
        <v>10</v>
      </c>
      <c r="Q1535" s="10" t="str">
        <f t="shared" si="142"/>
        <v>ZMAQ</v>
      </c>
      <c r="R1535" s="10" t="str">
        <f t="shared" si="143"/>
        <v>27120000</v>
      </c>
    </row>
    <row r="1536" spans="1:18" ht="25.5" hidden="1" x14ac:dyDescent="0.2">
      <c r="A1536" s="22" t="s">
        <v>40</v>
      </c>
      <c r="B1536" s="8" t="s">
        <v>40</v>
      </c>
      <c r="C1536" s="8" t="s">
        <v>40</v>
      </c>
      <c r="D1536" s="8" t="s">
        <v>48</v>
      </c>
      <c r="E1536" s="8" t="s">
        <v>40</v>
      </c>
      <c r="F1536" s="8" t="s">
        <v>39</v>
      </c>
      <c r="G1536" s="8" t="s">
        <v>47</v>
      </c>
      <c r="H1536" s="8" t="s">
        <v>37</v>
      </c>
      <c r="I1536" s="8" t="s">
        <v>36</v>
      </c>
      <c r="J1536" s="8" t="s">
        <v>46</v>
      </c>
      <c r="K1536" s="8" t="s">
        <v>45</v>
      </c>
      <c r="L1536" s="7">
        <v>11587</v>
      </c>
      <c r="M1536" s="10" t="str">
        <f t="shared" si="138"/>
        <v>CMI06070700</v>
      </c>
      <c r="N1536" s="10" t="str">
        <f t="shared" si="139"/>
        <v>MAQ351000</v>
      </c>
      <c r="O1536" s="10" t="str">
        <f t="shared" si="140"/>
        <v>E</v>
      </c>
      <c r="P1536" s="10" t="str">
        <f t="shared" si="141"/>
        <v>10</v>
      </c>
      <c r="Q1536" s="10" t="str">
        <f t="shared" si="142"/>
        <v>ZRPI</v>
      </c>
      <c r="R1536" s="10" t="str">
        <f t="shared" si="143"/>
        <v>27120000</v>
      </c>
    </row>
    <row r="1537" spans="1:18" ht="38.25" hidden="1" x14ac:dyDescent="0.2">
      <c r="A1537" s="21" t="s">
        <v>44</v>
      </c>
      <c r="B1537" s="8" t="s">
        <v>43</v>
      </c>
      <c r="C1537" s="8" t="s">
        <v>42</v>
      </c>
      <c r="D1537" s="8" t="s">
        <v>41</v>
      </c>
      <c r="E1537" s="8" t="s">
        <v>40</v>
      </c>
      <c r="F1537" s="8" t="s">
        <v>39</v>
      </c>
      <c r="G1537" s="8" t="s">
        <v>38</v>
      </c>
      <c r="H1537" s="8" t="s">
        <v>37</v>
      </c>
      <c r="I1537" s="8" t="s">
        <v>36</v>
      </c>
      <c r="J1537" s="8" t="s">
        <v>35</v>
      </c>
      <c r="K1537" s="8" t="s">
        <v>34</v>
      </c>
      <c r="L1537" s="7">
        <v>11601</v>
      </c>
      <c r="M1537" s="10" t="str">
        <f t="shared" si="138"/>
        <v>CMI06100200</v>
      </c>
      <c r="N1537" s="10" t="str">
        <f t="shared" si="139"/>
        <v>SER807000</v>
      </c>
      <c r="O1537" s="10" t="str">
        <f t="shared" si="140"/>
        <v>E</v>
      </c>
      <c r="P1537" s="10" t="str">
        <f t="shared" si="141"/>
        <v>10</v>
      </c>
      <c r="Q1537" s="10" t="str">
        <f t="shared" si="142"/>
        <v>DIEN</v>
      </c>
      <c r="R1537" s="10" t="str">
        <f t="shared" si="143"/>
        <v>81112000</v>
      </c>
    </row>
    <row r="1538" spans="1:18" ht="45" hidden="1" x14ac:dyDescent="0.25">
      <c r="A1538" s="24" t="s">
        <v>4588</v>
      </c>
      <c r="B1538" t="s">
        <v>4589</v>
      </c>
      <c r="C1538"/>
      <c r="D1538" t="s">
        <v>4590</v>
      </c>
      <c r="E1538"/>
      <c r="F1538" t="s">
        <v>39</v>
      </c>
      <c r="G1538" t="s">
        <v>4591</v>
      </c>
      <c r="H1538" t="s">
        <v>37</v>
      </c>
      <c r="I1538" s="17" t="s">
        <v>53</v>
      </c>
      <c r="J1538" t="s">
        <v>4592</v>
      </c>
      <c r="K1538" s="17" t="s">
        <v>4593</v>
      </c>
      <c r="M1538" s="10" t="str">
        <f t="shared" ref="M1538:M1539" si="144">+LEFT(D1538,11)</f>
        <v>CMI07220002</v>
      </c>
      <c r="N1538" s="10" t="str">
        <f t="shared" ref="N1538:N1539" si="145">+LEFT(G1538,9)</f>
        <v>HER100101</v>
      </c>
      <c r="O1538" s="10" t="str">
        <f t="shared" ref="O1538:O1539" si="146">+LEFT(H1538,1)</f>
        <v>E</v>
      </c>
      <c r="P1538" s="10" t="str">
        <f>+LEFT(I1538,2)</f>
        <v>50</v>
      </c>
      <c r="Q1538" s="10" t="str">
        <f t="shared" ref="Q1538:Q1539" si="147">+LEFT(J1538,4)</f>
        <v>ZHER</v>
      </c>
      <c r="R1538" s="10" t="str">
        <f t="shared" ref="R1538:R1539" si="148">+LEFT(K1538,8)</f>
        <v>39121647</v>
      </c>
    </row>
    <row r="1539" spans="1:18" ht="45" hidden="1" x14ac:dyDescent="0.25">
      <c r="A1539" s="24" t="s">
        <v>4594</v>
      </c>
      <c r="B1539" t="s">
        <v>4595</v>
      </c>
      <c r="C1539"/>
      <c r="D1539" t="s">
        <v>4596</v>
      </c>
      <c r="E1539"/>
      <c r="F1539" t="s">
        <v>39</v>
      </c>
      <c r="G1539" t="s">
        <v>4591</v>
      </c>
      <c r="H1539" t="s">
        <v>37</v>
      </c>
      <c r="I1539" s="17" t="s">
        <v>53</v>
      </c>
      <c r="J1539" t="s">
        <v>4592</v>
      </c>
      <c r="K1539" s="17" t="s">
        <v>4597</v>
      </c>
      <c r="M1539" s="10" t="str">
        <f t="shared" si="144"/>
        <v>CMI07220003</v>
      </c>
      <c r="N1539" s="10" t="str">
        <f t="shared" si="145"/>
        <v>HER100101</v>
      </c>
      <c r="O1539" s="10" t="str">
        <f t="shared" si="146"/>
        <v>E</v>
      </c>
      <c r="P1539" s="10" t="str">
        <f t="shared" ref="P1539" si="149">+LEFT(I1539,2)</f>
        <v>50</v>
      </c>
      <c r="Q1539" s="10" t="str">
        <f t="shared" si="147"/>
        <v>ZHER</v>
      </c>
      <c r="R1539" s="10" t="str">
        <f t="shared" si="148"/>
        <v>27113201</v>
      </c>
    </row>
  </sheetData>
  <autoFilter ref="A1:R1539" xr:uid="{2F64CE75-6863-4A37-A706-0E31DFA184AF}">
    <filterColumn colId="1">
      <filters>
        <filter val="CORTE:DISCO"/>
        <filter val="DISCO"/>
        <filter val="DISCO COMPACTO"/>
        <filter val="DISCO DURO"/>
        <filter val="DISCO:ABRASIVO"/>
        <filter val="LIJADORA:DE DISCO"/>
        <filter val="VALVULA:DISCO"/>
      </filters>
    </filterColumn>
  </autoFilter>
  <printOptions gridLines="1"/>
  <pageMargins left="0.75" right="0.75" top="1" bottom="1" header="0.5" footer="0.5"/>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47DE34E389C7B45AC12DE9F695F9576" ma:contentTypeVersion="8" ma:contentTypeDescription="Crear nuevo documento." ma:contentTypeScope="" ma:versionID="6eabb5ed996297f4fab8990dc9fc3cdc">
  <xsd:schema xmlns:xsd="http://www.w3.org/2001/XMLSchema" xmlns:xs="http://www.w3.org/2001/XMLSchema" xmlns:p="http://schemas.microsoft.com/office/2006/metadata/properties" xmlns:ns2="52534ddf-078f-447d-9045-551b13a76b9b" targetNamespace="http://schemas.microsoft.com/office/2006/metadata/properties" ma:root="true" ma:fieldsID="b3597bec05e6636c9bb0ad24af6ac56e" ns2:_="">
    <xsd:import namespace="52534ddf-078f-447d-9045-551b13a76b9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534ddf-078f-447d-9045-551b13a76b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BEED3AB-5F5A-46D6-B34F-6453345C3E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534ddf-078f-447d-9045-551b13a76b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5243C0C-98A9-4997-AB89-D9EA5B1FA28B}">
  <ds:schemaRefs>
    <ds:schemaRef ds:uri="http://schemas.microsoft.com/sharepoint/v3/contenttype/forms"/>
  </ds:schemaRefs>
</ds:datastoreItem>
</file>

<file path=customXml/itemProps3.xml><?xml version="1.0" encoding="utf-8"?>
<ds:datastoreItem xmlns:ds="http://schemas.openxmlformats.org/officeDocument/2006/customXml" ds:itemID="{51859FD9-7477-4DF9-BC44-DBA1303643E0}">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e2be3fb8-b324-4f89-bc24-06cf0abe4ec5}" enabled="1" method="Standard" siteId="{42ced7fa-2a98-4ee2-b504-c5d0896d07f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Plantilla</vt:lpstr>
      <vt:lpstr>Clases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Gabriela Alejandra Alvarado Jiménez</dc:creator>
  <cp:lastModifiedBy>Gabriela Alejandra Alvarado Jiménez</cp:lastModifiedBy>
  <dcterms:created xsi:type="dcterms:W3CDTF">2025-07-10T20:45:30Z</dcterms:created>
  <dcterms:modified xsi:type="dcterms:W3CDTF">2026-06-03T21:41:02Z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0x010100A47DE34E389C7B45AC12DE9F695F9576</vt:lpwstr>
  </property>
</Properties>
</file>