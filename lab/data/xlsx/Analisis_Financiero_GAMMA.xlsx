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eal\Downloads\"/>
    </mc:Choice>
  </mc:AlternateContent>
  <xr:revisionPtr revIDLastSave="0" documentId="13_ncr:1_{E594EDB9-0392-457E-AA88-9949831505EF}" xr6:coauthVersionLast="47" xr6:coauthVersionMax="47" xr10:uidLastSave="{00000000-0000-0000-0000-000000000000}"/>
  <bookViews>
    <workbookView xWindow="-108" yWindow="-108" windowWidth="23256" windowHeight="12456" tabRatio="500" firstSheet="1" activeTab="3" xr2:uid="{00000000-000D-0000-FFFF-FFFF00000000}"/>
  </bookViews>
  <sheets>
    <sheet name="Supuestos" sheetId="1" r:id="rId1"/>
    <sheet name="B1 - Ahorro Tiempo" sheetId="2" r:id="rId2"/>
    <sheet name="Costos del Proyecto" sheetId="3" r:id="rId3"/>
    <sheet name="ROI Consolidado" sheetId="4" r:id="rId4"/>
    <sheet name="Análisis Estadístico"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4" l="1"/>
  <c r="B13" i="4"/>
  <c r="E5" i="3"/>
  <c r="C9" i="2"/>
  <c r="B9" i="2"/>
  <c r="C7" i="2"/>
  <c r="C10" i="2" s="1"/>
  <c r="C6" i="2"/>
  <c r="C7" i="4" s="1"/>
  <c r="B6" i="2"/>
  <c r="B7" i="4" s="1"/>
  <c r="C5" i="2"/>
  <c r="C8" i="2" s="1"/>
  <c r="C8" i="4" s="1"/>
  <c r="B5" i="2"/>
  <c r="B8" i="2" s="1"/>
  <c r="B8" i="4" s="1"/>
  <c r="B23" i="1"/>
  <c r="B15" i="1"/>
  <c r="B8" i="1"/>
  <c r="C12" i="1" s="1"/>
  <c r="C13" i="1" l="1"/>
  <c r="B6" i="4"/>
  <c r="C14" i="1"/>
  <c r="C6" i="4"/>
  <c r="C15" i="1"/>
  <c r="C16" i="1" s="1"/>
  <c r="B24" i="1" s="1"/>
  <c r="B16" i="1"/>
  <c r="B7" i="2"/>
  <c r="B10" i="2" s="1"/>
  <c r="C11" i="1"/>
  <c r="E6" i="3" l="1"/>
  <c r="E10" i="3" s="1"/>
  <c r="B11" i="2"/>
  <c r="B5" i="4" s="1"/>
  <c r="C6" i="3"/>
  <c r="C11" i="2"/>
  <c r="B12" i="2"/>
  <c r="B9" i="4" l="1"/>
  <c r="B13" i="2"/>
  <c r="B10" i="4" s="1"/>
  <c r="C5" i="4"/>
  <c r="C12" i="2"/>
  <c r="C11" i="4"/>
  <c r="B11" i="4"/>
  <c r="C9" i="4" l="1"/>
  <c r="C12" i="4" s="1"/>
  <c r="C13" i="2"/>
  <c r="C10" i="4" s="1"/>
  <c r="B12" i="4"/>
</calcChain>
</file>

<file path=xl/sharedStrings.xml><?xml version="1.0" encoding="utf-8"?>
<sst xmlns="http://schemas.openxmlformats.org/spreadsheetml/2006/main" count="189" uniqueCount="174">
  <si>
    <t>ANÁLISIS FINANCIERO — PROYECTO GAMMA</t>
  </si>
  <si>
    <t>Corporación Multi Inversiones · Mandante 402 · Unidad de Energía</t>
  </si>
  <si>
    <t>⬛  Celdas en AZUL sobre AMARILLO = editables  |  Resto = calculado automáticamente</t>
  </si>
  <si>
    <t>1. INGRESOS DEL GESTOR (modificar aquí)</t>
  </si>
  <si>
    <t>Salario ordinario mensual (bruto)</t>
  </si>
  <si>
    <t>Salario de mercado — punto medio del rango real para Analista/Gestor de Datos Maestros en empresas guatemaltecas (Q9,000–Q13,000), validado contra promedio de mercado Computrabajo GT</t>
  </si>
  <si>
    <t>Bonificación incentivo mensual (fija)</t>
  </si>
  <si>
    <t>Bonificación Incentivo obligatoria — Decreto 78-89, Código de Trabajo de Guatemala (monto fijo legal, todos los trabajadores del sector privado)</t>
  </si>
  <si>
    <t>TOTAL INGRESOS BRUTOS MENSUALES</t>
  </si>
  <si>
    <t>Salario + Bonificacion</t>
  </si>
  <si>
    <t>2. CARGAS PATRONALES (fijas por ley — no editar)</t>
  </si>
  <si>
    <t>IGSS patronal</t>
  </si>
  <si>
    <t>Acuerdo 1308 IGSS Guatemala</t>
  </si>
  <si>
    <t>Bono 14 (prorrateo mensual)</t>
  </si>
  <si>
    <t>1 salario anual ÷ 12 meses · Decreto 42-92</t>
  </si>
  <si>
    <t>Aguinaldo (prorrateo mensual)</t>
  </si>
  <si>
    <t>1 salario anual ÷ 12 meses · Código de Trabajo</t>
  </si>
  <si>
    <t>Vacaciones (prorrateo mensual)</t>
  </si>
  <si>
    <t>15 días hábiles ÷ 261 días laborales anuales</t>
  </si>
  <si>
    <t>FACTOR TOTAL CARGAS PATRONALES</t>
  </si>
  <si>
    <t>135.08% del salario bruto</t>
  </si>
  <si>
    <t>COSTO TOTAL MENSUAL PARA CMI</t>
  </si>
  <si>
    <t>Ingresos brutos + cargas patronales</t>
  </si>
  <si>
    <t>3. HORAS LABORABLES Y COSTO-HORA</t>
  </si>
  <si>
    <t>Semanas laborables al año</t>
  </si>
  <si>
    <t>Año calendario</t>
  </si>
  <si>
    <t>Días laborables por semana</t>
  </si>
  <si>
    <t>Lunes a viernes</t>
  </si>
  <si>
    <t>Horas por día</t>
  </si>
  <si>
    <t>Jornada ordinaria</t>
  </si>
  <si>
    <t>Días laborables al año</t>
  </si>
  <si>
    <t>Referencia Guatemala 2026</t>
  </si>
  <si>
    <t>Horas laborables por mes</t>
  </si>
  <si>
    <t>(52 semanas × 5 días × 8 hrs) ÷ 12</t>
  </si>
  <si>
    <t>COSTO HORA-GESTOR PARA CMI</t>
  </si>
  <si>
    <t>Este es el número clave para el análisis de ahorro</t>
  </si>
  <si>
    <t>4. PARÁMETROS OPERATIVOS DEL M402</t>
  </si>
  <si>
    <t>Número de gestores de datos maestros</t>
  </si>
  <si>
    <t>Dato real CMI — M402 ENE</t>
  </si>
  <si>
    <t>Tipo de cambio Q/USD (referencia)</t>
  </si>
  <si>
    <t>Julio 2026</t>
  </si>
  <si>
    <t>5. TIEMPOS DE GESTIÓN — DATOS REALES (Tablero CMI)</t>
  </si>
  <si>
    <t>Tiempo efectivo promedio PRE-GAMMA (hrs/sol.)</t>
  </si>
  <si>
    <t>353 solicitudes · 16 feb – 16 jun 2026</t>
  </si>
  <si>
    <t>Tiempo efectivo mediana PRE-GAMMA (hrs/sol.)</t>
  </si>
  <si>
    <t>Tiempo efectivo promedio POST-GAMMA (hrs/sol.)</t>
  </si>
  <si>
    <t>84 solicitudes · 18 jun–18 jul 2026 (excl. 34 outliers en cola por vacaciones, 23 jun–1 jul)</t>
  </si>
  <si>
    <t>Tiempo efectivo mediana POST-GAMMA (hrs/sol.)</t>
  </si>
  <si>
    <t>Solicitudes reales 2025 (referencia anual)</t>
  </si>
  <si>
    <t>Dato real CMI 2025 — UEN Energía · Proceso Crear</t>
  </si>
  <si>
    <t>6. TIEMPO PROCESO INICIO–FIN (ciclo completo — referencia complementaria, no usado en ROI)</t>
  </si>
  <si>
    <t>Tiempo proceso promedio PRE-GAMMA (hrs/sol.)</t>
  </si>
  <si>
    <t>353 solicitudes · 16 feb–16 jun 2026</t>
  </si>
  <si>
    <t>Tiempo proceso promedio POST-GAMMA (hrs/sol.)</t>
  </si>
  <si>
    <t>84 solicitudes · 18 jun–18 jul 2026 (excl. outliers vacaciones)</t>
  </si>
  <si>
    <t>Nota</t>
  </si>
  <si>
    <t>Incluye tiempo de cola/espera; no representa costo directo de gestor y por eso no alimenta el ROI</t>
  </si>
  <si>
    <t>7. FUENTES DE DATOS DE MERCADO</t>
  </si>
  <si>
    <t>Salario base (B6):</t>
  </si>
  <si>
    <t>Punto medio del rango de mercado real (Q9,000–Q13,000) para roles de Analista/Gestor de Datos Maestros en Guatemala, validado profesionalmente. Ancla externa: Computrabajo GT, promedio Analista de Datos Q8,541/mes.</t>
  </si>
  <si>
    <t>Bonificación (B7):</t>
  </si>
  <si>
    <t>Decreto 78-89, Código de Trabajo de Guatemala — Bonificación Incentivo obligatoria, Q250/mes fijo para todo trabajador del sector privado.</t>
  </si>
  <si>
    <t>Referencia adicional consultada:</t>
  </si>
  <si>
    <t>Computrabajo Guatemala — "Salario de Analista de datos": promedio de mercado Q8,541/mes (182,693 fuentes, últimos 12 meses). https://gt.computrabajo.com/salarios/analista-de-datos</t>
  </si>
  <si>
    <t>BENEFICIO 1 — REDUCCIÓN DEL TIEMPO DE GESTIÓN (Anual Recurrente)</t>
  </si>
  <si>
    <t>Basado en tiempos reales del Tablero CMI · Pre vs Post GAMMA</t>
  </si>
  <si>
    <t>Concepto</t>
  </si>
  <si>
    <t>Basado en Promedio</t>
  </si>
  <si>
    <t>Basado en Mediana</t>
  </si>
  <si>
    <t>Tiempo efectivo PRE-GAMMA (hrs/solicitud)</t>
  </si>
  <si>
    <t>Promedio real PRE-GAMMA: 3.3437 hrs (n=353)</t>
  </si>
  <si>
    <t>Tiempo efectivo POST-GAMMA (hrs/solicitud)</t>
  </si>
  <si>
    <t>Promedio real POST-GAMMA: 1.4444 hrs (n=84)</t>
  </si>
  <si>
    <t>Reducción por solicitud (hrs)</t>
  </si>
  <si>
    <t>Reducción promedio: 1.8993 hrs · mediana: 1.5084 hrs</t>
  </si>
  <si>
    <t>Reducción porcentual</t>
  </si>
  <si>
    <t>Mayor = mejor mejora relativa</t>
  </si>
  <si>
    <t>Solicitudes anuales (referencia 2025)</t>
  </si>
  <si>
    <t>Actualizar con dato 2026 cuando esté disponible</t>
  </si>
  <si>
    <t>Total horas ahorradas al año</t>
  </si>
  <si>
    <t>Tiempo recuperado por el equipo gestor</t>
  </si>
  <si>
    <t>Costo hora-gestor CMI</t>
  </si>
  <si>
    <t>Vinculado a hoja Supuestos</t>
  </si>
  <si>
    <t>AHORRO ANUAL ESTIMADO (Q)</t>
  </si>
  <si>
    <t>Beneficio económico directo para CMI</t>
  </si>
  <si>
    <t>AHORRO ANUAL ESTIMADO (USD)</t>
  </si>
  <si>
    <t>Tipo de cambio referencial julio 2026</t>
  </si>
  <si>
    <t>COSTOS DEL PROYECTO GAMMA</t>
  </si>
  <si>
    <t>Stack 100% open source · Inversión mínima para CMI</t>
  </si>
  <si>
    <t>Rubro</t>
  </si>
  <si>
    <t>Descripción</t>
  </si>
  <si>
    <t>Costo unitario</t>
  </si>
  <si>
    <t>Cantidad</t>
  </si>
  <si>
    <t>Total</t>
  </si>
  <si>
    <t>Servidor VPS (pruebas y despliegue)</t>
  </si>
  <si>
    <t>Infraestructura — construcción, pruebas y puesta en productivo (jul–sep 2026)</t>
  </si>
  <si>
    <t>3 meses</t>
  </si>
  <si>
    <t>Capacitación a gestores</t>
  </si>
  <si>
    <t>2 hrs × 5 gestores</t>
  </si>
  <si>
    <t>10 horas</t>
  </si>
  <si>
    <t>Stack tecnológico (Python, FastAPI, Vue 3, PostgreSQL 16, Docker)</t>
  </si>
  <si>
    <t>100% open source</t>
  </si>
  <si>
    <t>Q 0</t>
  </si>
  <si>
    <t>—</t>
  </si>
  <si>
    <t>Google Gemini API</t>
  </si>
  <si>
    <t>Free tier — volumen de prototipo</t>
  </si>
  <si>
    <t>Desarrollo de la plataforma GAMMA</t>
  </si>
  <si>
    <t>Proyecto de graduación MBIA · UVG</t>
  </si>
  <si>
    <t>COSTO TOTAL DEL PROYECTO</t>
  </si>
  <si>
    <t>Notas de transparencia (no incluidas en el costo total)</t>
  </si>
  <si>
    <t>Costo de oportunidad del desarrollo</t>
  </si>
  <si>
    <t>GAMMA fue desarrollado como proyecto de graduación (MBIA-UVG) sin costo de desarrollo para CMI. Si se hubiera contratado con un proveedor externo, el desarrollo de una plataforma equivalente (backend, frontend, IA, arquitectura de datos) habría representado una inversión estimada en el rango de Q80,000–Q150,000 en el mercado guatemalteco, fuera del alcance de este ROI por tratarse de trabajo académico no facturado.</t>
  </si>
  <si>
    <t>Costos operativos futuros — fuera de alcance</t>
  </si>
  <si>
    <t>Este análisis refleja el costo de proyecto (construcción, pruebas y despliegue), no un modelo de costos operativos continuos. El hosting VPS más allá de la puesta en productivo (Q150/mes recurrente), así como las guías de actualización de índice y reentrenamiento del clasificador (ver Recomendaciones), son costos operativos futuros no incluidos en este ROI de proyecto.</t>
  </si>
  <si>
    <t>RESUMEN FINANCIERO CONSOLIDADO — ROI</t>
  </si>
  <si>
    <t>Todos los beneficios se actualizan automáticamente al cambiar los supuestos</t>
  </si>
  <si>
    <t>Notas</t>
  </si>
  <si>
    <t>Costo hora-gestor CMI (Q/hora)</t>
  </si>
  <si>
    <t>Calculado en hoja Supuestos</t>
  </si>
  <si>
    <t>Tiempo PRE-GAMMA (hrs/solicitud)</t>
  </si>
  <si>
    <t>Promedio real 353 solicitudes (baseline 16 feb–16 jun)</t>
  </si>
  <si>
    <t>Tiempo POST-GAMMA (hrs/solicitud)</t>
  </si>
  <si>
    <t>Promedio real 84 solicitudes (post 18 jun–18 jul, sin outliers)</t>
  </si>
  <si>
    <t>Reducción porcentual de tiempo</t>
  </si>
  <si>
    <t>Mayor = mayor ahorro relativo</t>
  </si>
  <si>
    <t>AHORRO ANUAL B1 — Tiempo (Q)</t>
  </si>
  <si>
    <t>Anualizado sobre 2,963 sol./año</t>
  </si>
  <si>
    <t>AHORRO ANUAL B1 — Tiempo (USD)</t>
  </si>
  <si>
    <t>Tipo de cambio Q7.75</t>
  </si>
  <si>
    <t>Costo total del proyecto (Q)</t>
  </si>
  <si>
    <t>Vinculado a hoja Costos</t>
  </si>
  <si>
    <t>ROI Año 1 ((Beneficio−Costo)/Costo)</t>
  </si>
  <si>
    <t>Inversión se recupera casi inmediatamente</t>
  </si>
  <si>
    <t>Nota de validación</t>
  </si>
  <si>
    <t>Los datos post-GAMMA cubren el mes completo de prueba (18 jun–18 jul 2026, 84 solicitudes reales), excluyendo 34 solicitudes en cola durante el período de vacaciones (23 jun–1 jul) sin procesamiento activo con GAMMA. La diferencia frente al baseline es estadísticamente significativa (prueba U de Mann-Whitney, p &lt; 0.0001; IC 95% no traslapados — ver hoja "Análisis Estadístico"). El volumen anual usa 2025 como referencia (2,963 solicitudes); actualizar con dato 2026 cuando esté disponible.</t>
  </si>
  <si>
    <t>ANÁLISIS ESTADÍSTICO — VALIDEZ DE LA COMPARACIÓN PRE/POST GAMMA</t>
  </si>
  <si>
    <t>Justificación estadística para la comparación de ventanas de observación desiguales</t>
  </si>
  <si>
    <t>1. ESTADÍSTICA DESCRIPTIVA — TIEMPO EFECTIVO GESTOR (hrs/solicitud)</t>
  </si>
  <si>
    <t>Chart data — Tiempo Gestor</t>
  </si>
  <si>
    <t>Grupo</t>
  </si>
  <si>
    <t>n</t>
  </si>
  <si>
    <t>Media</t>
  </si>
  <si>
    <t>Mediana</t>
  </si>
  <si>
    <t>Desv. Estándar</t>
  </si>
  <si>
    <t>IC 95% inferior</t>
  </si>
  <si>
    <t>IC 95% superior</t>
  </si>
  <si>
    <t>Media (hrs)</t>
  </si>
  <si>
    <t>PRE-GAMMA (baseline)</t>
  </si>
  <si>
    <t>PRE-GAMMA</t>
  </si>
  <si>
    <t>POST-GAMMA</t>
  </si>
  <si>
    <t>Fuente: Tiempos_post_GAMMA_DEN.xlsx (post) y ENERGIA_KPI_MATERIALES_BD.xlsx (pre) · Datos reales, no muestreados — censo completo del período</t>
  </si>
  <si>
    <t>2. PRUEBAS DE SIGNIFICANCIA ESTADÍSTICA</t>
  </si>
  <si>
    <t>Chart data — Tasa diaria</t>
  </si>
  <si>
    <t>Prueba</t>
  </si>
  <si>
    <t>Estadístico</t>
  </si>
  <si>
    <t>Valor p</t>
  </si>
  <si>
    <t>Período</t>
  </si>
  <si>
    <t>Sol./día</t>
  </si>
  <si>
    <t>Prueba U de Mann-Whitney (no paramétrica — recomendada, datos sesgados: media &gt; mediana)</t>
  </si>
  <si>
    <t>Prueba t de Welch (referencia, varianzas desiguales)</t>
  </si>
  <si>
    <t>Interpretación</t>
  </si>
  <si>
    <t>p &lt; 0.0001 en ambas pruebas: la probabilidad de que la reducción observada (3.34h → 1.44h) se deba al azar o al menor tamaño de la ventana post-GAMMA es prácticamente nula. Los IC 95% de ambos grupos no se traslapan (PRE: 3.08–3.61 · POST: 1.22–1.66), reforzando que la diferencia es robusta.</t>
  </si>
  <si>
    <t>3. NORMALIZACIÓN POR TASA DIARIA (independiente de la duración de la ventana)</t>
  </si>
  <si>
    <t>Días calendario</t>
  </si>
  <si>
    <t>n solicitudes</t>
  </si>
  <si>
    <t>Solicitudes / día</t>
  </si>
  <si>
    <t>PRE-GAMMA (15 feb–17 jun)</t>
  </si>
  <si>
    <t>POST-GAMMA (18 jun–18 jul, sin outliers)</t>
  </si>
  <si>
    <t>La tasa diaria de atención fue mayor en el período post-GAMMA — el equipo sostuvo más volumen relativo con menos horas por solicitud.</t>
  </si>
  <si>
    <t>4. NOTA METODOLÓGICA</t>
  </si>
  <si>
    <t>Ambos conjuntos corresponden al universo completo de solicitudes procesadas en su período — no son una muestra probabilística, por lo que no aplica error de muestreo. La ventana post-GAMMA es más corta por restricción de cronograma del proyecto de graduación; se recomienda extender el monitoreo como trabajo futuro.</t>
  </si>
  <si>
    <t>USD 32.9/mes</t>
  </si>
  <si>
    <t>Período de recuperación (días)</t>
  </si>
  <si>
    <t>Entre el primer y segundo día de 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</si>
</sst>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 &quot;#,##0.00"/>
    <numFmt numFmtId="165" formatCode="0.0000"/>
    <numFmt numFmtId="166" formatCode="0.00&quot; hrs&quot;"/>
    <numFmt numFmtId="167" formatCode="&quot;Q &quot;0.00&quot;/hora&quot;"/>
    <numFmt numFmtId="168" formatCode="0.0000&quot; hrs&quot;"/>
    <numFmt numFmtId="169" formatCode="0.0%"/>
    <numFmt numFmtId="170" formatCode="&quot;Q &quot;0.00"/>
    <numFmt numFmtId="171" formatCode="&quot;Q &quot;#,##0"/>
    <numFmt numFmtId="172" formatCode="&quot;USD &quot;#,##0"/>
  </numFmts>
  <fonts count="22" x14ac:knownFonts="1">
    <font>
      <sz val="11"/>
      <color theme="1"/>
      <name val="Calibri"/>
      <family val="2"/>
      <charset val="1"/>
    </font>
    <font>
      <b/>
      <sz val="14"/>
      <color rgb="FFFFFFFF"/>
      <name val="Arial"/>
      <family val="2"/>
    </font>
    <font>
      <i/>
      <sz val="9"/>
      <color rgb="FF555555"/>
      <name val="Arial"/>
      <family val="2"/>
    </font>
    <font>
      <b/>
      <sz val="9"/>
      <color rgb="FF0000FF"/>
      <name val="Arial"/>
      <family val="2"/>
    </font>
    <font>
      <b/>
      <sz val="11"/>
      <color rgb="FFFFFFFF"/>
      <name val="Arial"/>
      <family val="2"/>
    </font>
    <font>
      <sz val="10"/>
      <color rgb="FF1C1C1C"/>
      <name val="Arial"/>
      <family val="2"/>
    </font>
    <font>
      <b/>
      <sz val="10"/>
      <color rgb="FF0000FF"/>
      <name val="Arial"/>
      <family val="2"/>
    </font>
    <font>
      <i/>
      <sz val="9"/>
      <color rgb="FF777777"/>
      <name val="Arial"/>
      <family val="2"/>
    </font>
    <font>
      <b/>
      <sz val="10"/>
      <color rgb="FF1C1C1C"/>
      <name val="Arial"/>
      <family val="2"/>
    </font>
    <font>
      <b/>
      <sz val="10"/>
      <color rgb="FFFFFFFF"/>
      <name val="Arial"/>
      <family val="2"/>
    </font>
    <font>
      <b/>
      <sz val="12"/>
      <color rgb="FFFFFFFF"/>
      <name val="Arial"/>
      <family val="2"/>
    </font>
    <font>
      <b/>
      <i/>
      <sz val="9"/>
      <color rgb="FFFFFFFF"/>
      <name val="Arial"/>
      <family val="2"/>
    </font>
    <font>
      <b/>
      <sz val="11"/>
      <name val="Arial"/>
      <family val="2"/>
    </font>
    <font>
      <sz val="11"/>
      <color rgb="FF0000FF"/>
      <name val="Arial"/>
      <family val="2"/>
    </font>
    <font>
      <b/>
      <sz val="13"/>
      <color rgb="FFFFFFFF"/>
      <name val="Arial"/>
      <family val="2"/>
    </font>
    <font>
      <i/>
      <sz val="9"/>
      <color rgb="FFFFFFFF"/>
      <name val="Arial"/>
      <family val="2"/>
    </font>
    <font>
      <sz val="9"/>
      <color rgb="FF555555"/>
      <name val="Arial"/>
      <family val="2"/>
    </font>
    <font>
      <b/>
      <sz val="10"/>
      <color rgb="FFC9A84C"/>
      <name val="Arial"/>
      <family val="2"/>
    </font>
    <font>
      <b/>
      <sz val="14"/>
      <color rgb="FF1A6635"/>
      <name val="Arial"/>
      <family val="2"/>
    </font>
    <font>
      <i/>
      <sz val="10"/>
      <name val="Arial"/>
      <family val="2"/>
    </font>
    <font>
      <sz val="11"/>
      <name val="Arial"/>
      <family val="2"/>
    </font>
    <font>
      <i/>
      <sz val="9"/>
      <name val="Arial"/>
      <family val="2"/>
    </font>
  </fonts>
  <fills count="9">
    <fill>
      <patternFill patternType="none"/>
    </fill>
    <fill>
      <patternFill patternType="gray125"/>
    </fill>
    <fill>
      <patternFill patternType="solid">
        <fgColor rgb="FF1A6635"/>
        <bgColor rgb="FF2E7D32"/>
      </patternFill>
    </fill>
    <fill>
      <patternFill patternType="solid">
        <fgColor rgb="FFF5F5F5"/>
        <bgColor rgb="FFFFF8E1"/>
      </patternFill>
    </fill>
    <fill>
      <patternFill patternType="solid">
        <fgColor rgb="FFFFF9C4"/>
        <bgColor rgb="FFFFF8E1"/>
      </patternFill>
    </fill>
    <fill>
      <patternFill patternType="solid">
        <fgColor rgb="FFD6EFE0"/>
        <bgColor rgb="FFCCFFFF"/>
      </patternFill>
    </fill>
    <fill>
      <patternFill patternType="solid">
        <fgColor rgb="FFFFFFFF"/>
        <bgColor rgb="FFF5F5F5"/>
      </patternFill>
    </fill>
    <fill>
      <patternFill patternType="solid">
        <fgColor rgb="FF2E7D32"/>
        <bgColor rgb="FF1A6635"/>
      </patternFill>
    </fill>
    <fill>
      <patternFill patternType="solid">
        <fgColor rgb="FFFFF8E1"/>
        <bgColor rgb="FFF5F5F5"/>
      </patternFill>
    </fill>
  </fills>
  <borders count="3">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8">
    <xf numFmtId="0" fontId="0" fillId="0" borderId="0" xfId="0"/>
    <xf numFmtId="0" fontId="21" fillId="0" borderId="0" xfId="0" applyFont="1"/>
    <xf numFmtId="0" fontId="2" fillId="8" borderId="1" xfId="0" applyFont="1" applyFill="1" applyBorder="1" applyAlignment="1">
      <alignment horizontal="left" vertical="center" wrapText="1"/>
    </xf>
    <xf numFmtId="0" fontId="17" fillId="8" borderId="1" xfId="0" applyFont="1" applyFill="1" applyBorder="1" applyAlignment="1">
      <alignment horizontal="left" vertical="center"/>
    </xf>
    <xf numFmtId="0" fontId="2" fillId="4" borderId="0" xfId="0" applyFont="1" applyFill="1" applyAlignment="1">
      <alignment horizontal="center" vertical="center"/>
    </xf>
    <xf numFmtId="0" fontId="0" fillId="0" borderId="0" xfId="0" applyAlignment="1">
      <alignment wrapText="1"/>
    </xf>
    <xf numFmtId="0" fontId="14" fillId="2" borderId="0" xfId="0" applyFont="1" applyFill="1" applyAlignment="1">
      <alignment horizontal="center" vertical="center"/>
    </xf>
    <xf numFmtId="167" fontId="10" fillId="2" borderId="2" xfId="0" applyNumberFormat="1" applyFont="1" applyFill="1" applyBorder="1" applyAlignment="1">
      <alignment horizontal="right" vertical="center"/>
    </xf>
    <xf numFmtId="0" fontId="4" fillId="2" borderId="1" xfId="0" applyFont="1" applyFill="1" applyBorder="1" applyAlignment="1">
      <alignment horizontal="center"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5" fillId="5" borderId="2" xfId="0" applyFont="1" applyFill="1" applyBorder="1" applyAlignment="1">
      <alignment horizontal="left" vertical="center"/>
    </xf>
    <xf numFmtId="164" fontId="6" fillId="4" borderId="2" xfId="0" applyNumberFormat="1" applyFont="1" applyFill="1" applyBorder="1" applyAlignment="1">
      <alignment horizontal="right" vertical="center"/>
    </xf>
    <xf numFmtId="0" fontId="5" fillId="6" borderId="2" xfId="0" applyFont="1" applyFill="1" applyBorder="1" applyAlignment="1">
      <alignment horizontal="left" vertical="center"/>
    </xf>
    <xf numFmtId="0" fontId="7" fillId="6" borderId="2" xfId="0" applyFont="1" applyFill="1" applyBorder="1" applyAlignment="1">
      <alignment horizontal="left" vertical="center"/>
    </xf>
    <xf numFmtId="0" fontId="8" fillId="5" borderId="2" xfId="0" applyFont="1" applyFill="1" applyBorder="1" applyAlignment="1">
      <alignment horizontal="left" vertical="center"/>
    </xf>
    <xf numFmtId="164" fontId="8" fillId="5" borderId="2" xfId="0" applyNumberFormat="1" applyFont="1" applyFill="1" applyBorder="1" applyAlignment="1">
      <alignment horizontal="right" vertical="center"/>
    </xf>
    <xf numFmtId="0" fontId="5" fillId="3" borderId="2" xfId="0" applyFont="1" applyFill="1" applyBorder="1" applyAlignment="1">
      <alignment horizontal="left" vertical="center"/>
    </xf>
    <xf numFmtId="10" fontId="5" fillId="3" borderId="2" xfId="0" applyNumberFormat="1" applyFont="1" applyFill="1" applyBorder="1" applyAlignment="1">
      <alignment horizontal="right" vertical="center"/>
    </xf>
    <xf numFmtId="164" fontId="5" fillId="3" borderId="2" xfId="0" applyNumberFormat="1" applyFont="1" applyFill="1" applyBorder="1" applyAlignment="1">
      <alignment horizontal="right" vertical="center"/>
    </xf>
    <xf numFmtId="0" fontId="7" fillId="3" borderId="2" xfId="0" applyFont="1" applyFill="1" applyBorder="1" applyAlignment="1">
      <alignment horizontal="left" vertical="center"/>
    </xf>
    <xf numFmtId="165" fontId="8" fillId="5" borderId="2" xfId="0" applyNumberFormat="1" applyFont="1" applyFill="1" applyBorder="1" applyAlignment="1">
      <alignment horizontal="right" vertical="center"/>
    </xf>
    <xf numFmtId="0" fontId="9" fillId="2" borderId="2" xfId="0" applyFont="1" applyFill="1" applyBorder="1" applyAlignment="1">
      <alignment horizontal="left" vertical="center"/>
    </xf>
    <xf numFmtId="164" fontId="9" fillId="2" borderId="2" xfId="0" applyNumberFormat="1" applyFont="1" applyFill="1" applyBorder="1" applyAlignment="1">
      <alignment horizontal="right" vertical="center"/>
    </xf>
    <xf numFmtId="3" fontId="6" fillId="4" borderId="2" xfId="0" applyNumberFormat="1" applyFont="1" applyFill="1" applyBorder="1" applyAlignment="1">
      <alignment horizontal="right" vertical="center"/>
    </xf>
    <xf numFmtId="166" fontId="8" fillId="5" borderId="2" xfId="0" applyNumberFormat="1" applyFont="1" applyFill="1" applyBorder="1" applyAlignment="1">
      <alignment horizontal="right" vertical="center"/>
    </xf>
    <xf numFmtId="0" fontId="11" fillId="2" borderId="2" xfId="0" applyFont="1" applyFill="1" applyBorder="1" applyAlignment="1">
      <alignment horizontal="left" vertical="center"/>
    </xf>
    <xf numFmtId="2" fontId="6" fillId="4" borderId="2" xfId="0" applyNumberFormat="1" applyFont="1" applyFill="1" applyBorder="1" applyAlignment="1">
      <alignment horizontal="right" vertical="center"/>
    </xf>
    <xf numFmtId="166" fontId="6" fillId="4" borderId="2" xfId="0" applyNumberFormat="1" applyFont="1" applyFill="1" applyBorder="1" applyAlignment="1">
      <alignment horizontal="right" vertical="center"/>
    </xf>
    <xf numFmtId="0" fontId="12" fillId="0" borderId="0" xfId="0" applyFont="1"/>
    <xf numFmtId="0" fontId="13" fillId="4" borderId="0" xfId="0" applyFont="1" applyFill="1"/>
    <xf numFmtId="0" fontId="0" fillId="0" borderId="0" xfId="0" applyAlignment="1">
      <alignment wrapText="1"/>
    </xf>
    <xf numFmtId="0" fontId="9" fillId="7" borderId="2" xfId="0" applyFont="1" applyFill="1" applyBorder="1" applyAlignment="1">
      <alignment horizontal="left" vertical="center"/>
    </xf>
    <xf numFmtId="168" fontId="5" fillId="5" borderId="2" xfId="0" applyNumberFormat="1" applyFont="1" applyFill="1" applyBorder="1" applyAlignment="1">
      <alignment horizontal="right" vertical="center"/>
    </xf>
    <xf numFmtId="168" fontId="5" fillId="3" borderId="2" xfId="0" applyNumberFormat="1" applyFont="1" applyFill="1" applyBorder="1" applyAlignment="1">
      <alignment horizontal="right" vertical="center"/>
    </xf>
    <xf numFmtId="169" fontId="5" fillId="3" borderId="2" xfId="0" applyNumberFormat="1" applyFont="1" applyFill="1" applyBorder="1" applyAlignment="1">
      <alignment horizontal="right" vertical="center"/>
    </xf>
    <xf numFmtId="3" fontId="5" fillId="5" borderId="2" xfId="0" applyNumberFormat="1" applyFont="1" applyFill="1" applyBorder="1" applyAlignment="1">
      <alignment horizontal="right" vertical="center"/>
    </xf>
    <xf numFmtId="166" fontId="5" fillId="3" borderId="2" xfId="0" applyNumberFormat="1" applyFont="1" applyFill="1" applyBorder="1" applyAlignment="1">
      <alignment horizontal="right" vertical="center"/>
    </xf>
    <xf numFmtId="170" fontId="5" fillId="5" borderId="2" xfId="0" applyNumberFormat="1" applyFont="1" applyFill="1" applyBorder="1" applyAlignment="1">
      <alignment horizontal="right" vertical="center"/>
    </xf>
    <xf numFmtId="171" fontId="9" fillId="2" borderId="2" xfId="0" applyNumberFormat="1" applyFont="1" applyFill="1" applyBorder="1" applyAlignment="1">
      <alignment horizontal="right" vertical="center"/>
    </xf>
    <xf numFmtId="0" fontId="15" fillId="2" borderId="2" xfId="0" applyFont="1" applyFill="1" applyBorder="1" applyAlignment="1">
      <alignment horizontal="left" vertical="center"/>
    </xf>
    <xf numFmtId="172" fontId="9" fillId="2" borderId="2" xfId="0" applyNumberFormat="1" applyFont="1" applyFill="1" applyBorder="1" applyAlignment="1">
      <alignment horizontal="right" vertical="center"/>
    </xf>
    <xf numFmtId="0" fontId="16" fillId="5" borderId="2" xfId="0" applyFont="1" applyFill="1" applyBorder="1" applyAlignment="1">
      <alignment horizontal="left" vertical="center"/>
    </xf>
    <xf numFmtId="0" fontId="5" fillId="5" borderId="2" xfId="0" applyFont="1" applyFill="1" applyBorder="1" applyAlignment="1">
      <alignment horizontal="center" vertical="center"/>
    </xf>
    <xf numFmtId="0" fontId="16" fillId="3" borderId="2" xfId="0" applyFont="1" applyFill="1" applyBorder="1" applyAlignment="1">
      <alignment horizontal="left" vertical="center"/>
    </xf>
    <xf numFmtId="0" fontId="5" fillId="3" borderId="2" xfId="0" applyFont="1" applyFill="1" applyBorder="1" applyAlignment="1">
      <alignment horizontal="center" vertical="center"/>
    </xf>
    <xf numFmtId="164" fontId="8" fillId="3" borderId="2" xfId="0" applyNumberFormat="1" applyFont="1" applyFill="1" applyBorder="1" applyAlignment="1">
      <alignment horizontal="right" vertical="center"/>
    </xf>
    <xf numFmtId="164" fontId="4" fillId="2" borderId="2" xfId="0" applyNumberFormat="1" applyFont="1" applyFill="1" applyBorder="1" applyAlignment="1">
      <alignment horizontal="right" vertical="center"/>
    </xf>
    <xf numFmtId="0" fontId="0" fillId="0" borderId="0" xfId="0" applyAlignment="1">
      <alignment vertical="top" wrapText="1"/>
    </xf>
    <xf numFmtId="0" fontId="7" fillId="5" borderId="2" xfId="0" applyFont="1" applyFill="1" applyBorder="1" applyAlignment="1">
      <alignment horizontal="left" vertical="center"/>
    </xf>
    <xf numFmtId="166" fontId="5" fillId="5" borderId="2" xfId="0" applyNumberFormat="1" applyFont="1" applyFill="1" applyBorder="1" applyAlignment="1">
      <alignment horizontal="right" vertical="center"/>
    </xf>
    <xf numFmtId="164" fontId="5" fillId="5" borderId="2" xfId="0" applyNumberFormat="1" applyFont="1" applyFill="1" applyBorder="1" applyAlignment="1">
      <alignment horizontal="right" vertical="center"/>
    </xf>
    <xf numFmtId="9" fontId="9" fillId="2" borderId="2" xfId="0" applyNumberFormat="1" applyFont="1" applyFill="1" applyBorder="1" applyAlignment="1">
      <alignment horizontal="right" vertical="center"/>
    </xf>
    <xf numFmtId="0" fontId="18" fillId="0" borderId="0" xfId="0" applyFont="1"/>
    <xf numFmtId="0" fontId="19" fillId="0" borderId="0" xfId="0" applyFont="1"/>
    <xf numFmtId="0" fontId="4" fillId="2" borderId="2" xfId="0" applyFont="1" applyFill="1" applyBorder="1" applyAlignment="1">
      <alignment horizontal="center"/>
    </xf>
    <xf numFmtId="0" fontId="20" fillId="0" borderId="2" xfId="0" applyFont="1" applyBorder="1"/>
    <xf numFmtId="0" fontId="13" fillId="4" borderId="2" xfId="0" applyFont="1" applyFill="1" applyBorder="1"/>
    <xf numFmtId="165" fontId="13" fillId="4" borderId="2" xfId="0" applyNumberFormat="1" applyFont="1" applyFill="1" applyBorder="1"/>
    <xf numFmtId="0" fontId="21" fillId="0" borderId="0" xfId="0" applyFont="1"/>
    <xf numFmtId="0" fontId="4" fillId="2" borderId="2" xfId="0" applyFont="1" applyFill="1" applyBorder="1"/>
    <xf numFmtId="0" fontId="20" fillId="0" borderId="2" xfId="0" applyFont="1" applyBorder="1" applyAlignment="1">
      <alignment wrapText="1"/>
    </xf>
    <xf numFmtId="165" fontId="0" fillId="0" borderId="2" xfId="0" applyNumberFormat="1" applyBorder="1"/>
    <xf numFmtId="11" fontId="0" fillId="0" borderId="2" xfId="0" applyNumberFormat="1" applyBorder="1"/>
    <xf numFmtId="0" fontId="0" fillId="0" borderId="2" xfId="0" applyBorder="1"/>
    <xf numFmtId="2" fontId="0" fillId="0" borderId="2" xfId="0" applyNumberFormat="1" applyBorder="1"/>
    <xf numFmtId="2" fontId="9" fillId="2" borderId="2"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635"/>
      <rgbColor rgb="FF000080"/>
      <rgbColor rgb="FF808000"/>
      <rgbColor rgb="FF800080"/>
      <rgbColor rgb="FF008080"/>
      <rgbColor rgb="FFCCCCCC"/>
      <rgbColor rgb="FF777777"/>
      <rgbColor rgb="FF9999FF"/>
      <rgbColor rgb="FF993366"/>
      <rgbColor rgb="FFFFF9C4"/>
      <rgbColor rgb="FFF5F5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6EFE0"/>
      <rgbColor rgb="FFFFF8E1"/>
      <rgbColor rgb="FF99CCFF"/>
      <rgbColor rgb="FFFF99CC"/>
      <rgbColor rgb="FFCC99FF"/>
      <rgbColor rgb="FFFFCC99"/>
      <rgbColor rgb="FF3366FF"/>
      <rgbColor rgb="FF33CCCC"/>
      <rgbColor rgb="FF99CC00"/>
      <rgbColor rgb="FFFFCC00"/>
      <rgbColor rgb="FFC9A84C"/>
      <rgbColor rgb="FFFF6600"/>
      <rgbColor rgb="FF4F81BD"/>
      <rgbColor rgb="FFB3B3B3"/>
      <rgbColor rgb="FF003366"/>
      <rgbColor rgb="FF2E7D32"/>
      <rgbColor rgb="FF003300"/>
      <rgbColor rgb="FF333300"/>
      <rgbColor rgb="FF993300"/>
      <rgbColor rgb="FF993366"/>
      <rgbColor rgb="FF555555"/>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Tiempo Efectivo Gestor — Promedio (hrs/solicitud)</a:t>
            </a:r>
          </a:p>
        </c:rich>
      </c:tx>
      <c:overlay val="0"/>
      <c:spPr>
        <a:noFill/>
        <a:ln w="0">
          <a:noFill/>
        </a:ln>
      </c:spPr>
    </c:title>
    <c:autoTitleDeleted val="0"/>
    <c:plotArea>
      <c:layout/>
      <c:barChart>
        <c:barDir val="col"/>
        <c:grouping val="clustered"/>
        <c:varyColors val="0"/>
        <c:ser>
          <c:idx val="0"/>
          <c:order val="0"/>
          <c:tx>
            <c:strRef>
              <c:f>'Análisis Estadístico'!$J$5</c:f>
              <c:strCache>
                <c:ptCount val="1"/>
                <c:pt idx="0">
                  <c:v>Media (hrs)</c:v>
                </c:pt>
              </c:strCache>
            </c:strRef>
          </c:tx>
          <c:spPr>
            <a:solidFill>
              <a:srgbClr val="4F81BD"/>
            </a:solidFill>
            <a:ln w="0">
              <a:solidFill>
                <a:srgbClr val="000000"/>
              </a:solidFill>
            </a:ln>
          </c:spPr>
          <c:invertIfNegative val="0"/>
          <c:dPt>
            <c:idx val="0"/>
            <c:invertIfNegative val="0"/>
            <c:bubble3D val="0"/>
            <c:spPr>
              <a:solidFill>
                <a:srgbClr val="C9A84C"/>
              </a:solidFill>
              <a:ln w="0">
                <a:solidFill>
                  <a:srgbClr val="000000"/>
                </a:solidFill>
              </a:ln>
            </c:spPr>
            <c:extLst>
              <c:ext xmlns:c16="http://schemas.microsoft.com/office/drawing/2014/chart" uri="{C3380CC4-5D6E-409C-BE32-E72D297353CC}">
                <c16:uniqueId val="{00000001-9358-47AD-9424-75FCCF1DF571}"/>
              </c:ext>
            </c:extLst>
          </c:dPt>
          <c:dPt>
            <c:idx val="1"/>
            <c:invertIfNegative val="0"/>
            <c:bubble3D val="0"/>
            <c:spPr>
              <a:solidFill>
                <a:srgbClr val="1A6635"/>
              </a:solidFill>
              <a:ln w="0">
                <a:solidFill>
                  <a:srgbClr val="000000"/>
                </a:solidFill>
              </a:ln>
            </c:spPr>
            <c:extLst>
              <c:ext xmlns:c16="http://schemas.microsoft.com/office/drawing/2014/chart" uri="{C3380CC4-5D6E-409C-BE32-E72D297353CC}">
                <c16:uniqueId val="{00000003-9358-47AD-9424-75FCCF1DF571}"/>
              </c:ext>
            </c:extLst>
          </c:dPt>
          <c:dLbls>
            <c:dLbl>
              <c:idx val="0"/>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extLst>
                <c:ext xmlns:c16="http://schemas.microsoft.com/office/drawing/2014/chart" uri="{C3380CC4-5D6E-409C-BE32-E72D297353CC}">
                  <c16:uniqueId val="{00000001-9358-47AD-9424-75FCCF1DF571}"/>
                </c:ext>
              </c:extLst>
            </c:dLbl>
            <c:dLbl>
              <c:idx val="1"/>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extLst>
                <c:ext xmlns:c16="http://schemas.microsoft.com/office/drawing/2014/chart" uri="{C3380CC4-5D6E-409C-BE32-E72D297353CC}">
                  <c16:uniqueId val="{00000003-9358-47AD-9424-75FCCF1DF571}"/>
                </c:ext>
              </c:extLst>
            </c:dLbl>
            <c:spPr>
              <a:noFill/>
              <a:ln>
                <a:noFill/>
              </a:ln>
              <a:effectLst/>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'Análisis Estadístico'!$I$6:$I$7</c:f>
              <c:strCache>
                <c:ptCount val="2"/>
                <c:pt idx="0">
                  <c:v>PRE-GAMMA</c:v>
                </c:pt>
                <c:pt idx="1">
                  <c:v>POST-GAMMA</c:v>
                </c:pt>
              </c:strCache>
            </c:strRef>
          </c:cat>
          <c:val>
            <c:numRef>
              <c:f>'Análisis Estadístico'!$J$6:$J$7</c:f>
              <c:numCache>
                <c:formatCode>General</c:formatCode>
                <c:ptCount val="2"/>
                <c:pt idx="0">
                  <c:v>3.3437000000000001</c:v>
                </c:pt>
                <c:pt idx="1">
                  <c:v>1.4443999999999999</c:v>
                </c:pt>
              </c:numCache>
            </c:numRef>
          </c:val>
          <c:extLst>
            <c:ext xmlns:c16="http://schemas.microsoft.com/office/drawing/2014/chart" uri="{C3380CC4-5D6E-409C-BE32-E72D297353CC}">
              <c16:uniqueId val="{00000004-9358-47AD-9424-75FCCF1DF571}"/>
            </c:ext>
          </c:extLst>
        </c:ser>
        <c:dLbls>
          <c:showLegendKey val="0"/>
          <c:showVal val="0"/>
          <c:showCatName val="0"/>
          <c:showSerName val="0"/>
          <c:showPercent val="0"/>
          <c:showBubbleSize val="0"/>
        </c:dLbls>
        <c:gapWidth val="150"/>
        <c:axId val="45946833"/>
        <c:axId val="91329485"/>
      </c:barChart>
      <c:catAx>
        <c:axId val="4594683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91329485"/>
        <c:crosses val="autoZero"/>
        <c:auto val="1"/>
        <c:lblAlgn val="ctr"/>
        <c:lblOffset val="100"/>
        <c:noMultiLvlLbl val="0"/>
      </c:catAx>
      <c:valAx>
        <c:axId val="9132948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Horas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459468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Tasa de Atención Diaria (solicitudes/día)</a:t>
            </a:r>
          </a:p>
        </c:rich>
      </c:tx>
      <c:overlay val="0"/>
      <c:spPr>
        <a:noFill/>
        <a:ln w="0">
          <a:noFill/>
        </a:ln>
      </c:spPr>
    </c:title>
    <c:autoTitleDeleted val="0"/>
    <c:plotArea>
      <c:layout/>
      <c:barChart>
        <c:barDir val="col"/>
        <c:grouping val="clustered"/>
        <c:varyColors val="0"/>
        <c:ser>
          <c:idx val="0"/>
          <c:order val="0"/>
          <c:tx>
            <c:strRef>
              <c:f>'Análisis Estadístico'!$J$11</c:f>
              <c:strCache>
                <c:ptCount val="1"/>
                <c:pt idx="0">
                  <c:v>Sol./día</c:v>
                </c:pt>
              </c:strCache>
            </c:strRef>
          </c:tx>
          <c:spPr>
            <a:solidFill>
              <a:srgbClr val="4F81BD"/>
            </a:solidFill>
            <a:ln w="0">
              <a:solidFill>
                <a:srgbClr val="000000"/>
              </a:solidFill>
            </a:ln>
          </c:spPr>
          <c:invertIfNegative val="0"/>
          <c:dPt>
            <c:idx val="0"/>
            <c:invertIfNegative val="0"/>
            <c:bubble3D val="0"/>
            <c:spPr>
              <a:solidFill>
                <a:srgbClr val="C9A84C"/>
              </a:solidFill>
              <a:ln w="0">
                <a:solidFill>
                  <a:srgbClr val="000000"/>
                </a:solidFill>
              </a:ln>
            </c:spPr>
            <c:extLst>
              <c:ext xmlns:c16="http://schemas.microsoft.com/office/drawing/2014/chart" uri="{C3380CC4-5D6E-409C-BE32-E72D297353CC}">
                <c16:uniqueId val="{00000001-8880-48DB-B82A-246B5CF5D7FA}"/>
              </c:ext>
            </c:extLst>
          </c:dPt>
          <c:dPt>
            <c:idx val="1"/>
            <c:invertIfNegative val="0"/>
            <c:bubble3D val="0"/>
            <c:spPr>
              <a:solidFill>
                <a:srgbClr val="1A6635"/>
              </a:solidFill>
              <a:ln w="0">
                <a:solidFill>
                  <a:srgbClr val="000000"/>
                </a:solidFill>
              </a:ln>
            </c:spPr>
            <c:extLst>
              <c:ext xmlns:c16="http://schemas.microsoft.com/office/drawing/2014/chart" uri="{C3380CC4-5D6E-409C-BE32-E72D297353CC}">
                <c16:uniqueId val="{00000003-8880-48DB-B82A-246B5CF5D7FA}"/>
              </c:ext>
            </c:extLst>
          </c:dPt>
          <c:dLbls>
            <c:dLbl>
              <c:idx val="0"/>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extLst>
                <c:ext xmlns:c16="http://schemas.microsoft.com/office/drawing/2014/chart" uri="{C3380CC4-5D6E-409C-BE32-E72D297353CC}">
                  <c16:uniqueId val="{00000001-8880-48DB-B82A-246B5CF5D7FA}"/>
                </c:ext>
              </c:extLst>
            </c:dLbl>
            <c:dLbl>
              <c:idx val="1"/>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extLst>
                <c:ext xmlns:c16="http://schemas.microsoft.com/office/drawing/2014/chart" uri="{C3380CC4-5D6E-409C-BE32-E72D297353CC}">
                  <c16:uniqueId val="{00000003-8880-48DB-B82A-246B5CF5D7FA}"/>
                </c:ext>
              </c:extLst>
            </c:dLbl>
            <c:spPr>
              <a:noFill/>
              <a:ln>
                <a:noFill/>
              </a:ln>
              <a:effectLst/>
            </c:spPr>
            <c:txPr>
              <a:bodyPr wrap="square"/>
              <a:lstStyle/>
              <a:p>
                <a:pPr>
                  <a:defRPr sz="1000" b="0" strike="noStrike" spc="-1">
                    <a:solidFill>
                      <a:srgbClr val="000000"/>
                    </a:solidFill>
                    <a:latin typeface="Calibri"/>
                  </a:defRPr>
                </a:pPr>
                <a:endParaRPr lang="es-GT"/>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'Análisis Estadístico'!$I$12:$I$13</c:f>
              <c:strCache>
                <c:ptCount val="2"/>
                <c:pt idx="0">
                  <c:v>PRE-GAMMA</c:v>
                </c:pt>
                <c:pt idx="1">
                  <c:v>POST-GAMMA</c:v>
                </c:pt>
              </c:strCache>
            </c:strRef>
          </c:cat>
          <c:val>
            <c:numRef>
              <c:f>'Análisis Estadístico'!$J$12:$J$13</c:f>
              <c:numCache>
                <c:formatCode>General</c:formatCode>
                <c:ptCount val="2"/>
                <c:pt idx="0">
                  <c:v>2.92</c:v>
                </c:pt>
                <c:pt idx="1">
                  <c:v>4</c:v>
                </c:pt>
              </c:numCache>
            </c:numRef>
          </c:val>
          <c:extLst>
            <c:ext xmlns:c16="http://schemas.microsoft.com/office/drawing/2014/chart" uri="{C3380CC4-5D6E-409C-BE32-E72D297353CC}">
              <c16:uniqueId val="{00000004-8880-48DB-B82A-246B5CF5D7FA}"/>
            </c:ext>
          </c:extLst>
        </c:ser>
        <c:dLbls>
          <c:showLegendKey val="0"/>
          <c:showVal val="0"/>
          <c:showCatName val="0"/>
          <c:showSerName val="0"/>
          <c:showPercent val="0"/>
          <c:showBubbleSize val="0"/>
        </c:dLbls>
        <c:gapWidth val="150"/>
        <c:axId val="14345130"/>
        <c:axId val="14332275"/>
      </c:barChart>
      <c:catAx>
        <c:axId val="1434513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14332275"/>
        <c:crosses val="autoZero"/>
        <c:auto val="1"/>
        <c:lblAlgn val="ctr"/>
        <c:lblOffset val="100"/>
        <c:noMultiLvlLbl val="0"/>
      </c:catAx>
      <c:valAx>
        <c:axId val="1433227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Solicitudes por día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143451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10080</xdr:rowOff>
    </xdr:from>
    <xdr:to>
      <xdr:col>2</xdr:col>
      <xdr:colOff>88200</xdr:colOff>
      <xdr:row>41</xdr:row>
      <xdr:rowOff>29880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26</xdr:row>
      <xdr:rowOff>10080</xdr:rowOff>
    </xdr:from>
    <xdr:to>
      <xdr:col>14</xdr:col>
      <xdr:colOff>37080</xdr:colOff>
      <xdr:row>41</xdr:row>
      <xdr:rowOff>29880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showGridLines="0" zoomScaleNormal="100" workbookViewId="0"/>
  </sheetViews>
  <sheetFormatPr baseColWidth="10" defaultColWidth="8.6640625" defaultRowHeight="14.4" x14ac:dyDescent="0.3"/>
  <cols>
    <col min="1" max="1" width="38" customWidth="1"/>
    <col min="2" max="2" width="18" customWidth="1"/>
    <col min="3" max="3" width="22" customWidth="1"/>
    <col min="4" max="4" width="30" customWidth="1"/>
  </cols>
  <sheetData>
    <row r="1" spans="1:4" ht="36" customHeight="1" x14ac:dyDescent="0.3">
      <c r="A1" s="11" t="s">
        <v>0</v>
      </c>
      <c r="B1" s="11"/>
      <c r="C1" s="11"/>
      <c r="D1" s="11"/>
    </row>
    <row r="2" spans="1:4" ht="15" customHeight="1" x14ac:dyDescent="0.3">
      <c r="A2" s="10" t="s">
        <v>1</v>
      </c>
      <c r="B2" s="10"/>
      <c r="C2" s="10"/>
      <c r="D2" s="10"/>
    </row>
    <row r="3" spans="1:4" ht="15" customHeight="1" x14ac:dyDescent="0.3">
      <c r="A3" s="9" t="s">
        <v>2</v>
      </c>
      <c r="B3" s="9"/>
      <c r="C3" s="9"/>
      <c r="D3" s="9"/>
    </row>
    <row r="5" spans="1:4" ht="19.5" customHeight="1" x14ac:dyDescent="0.3">
      <c r="A5" s="8" t="s">
        <v>3</v>
      </c>
      <c r="B5" s="8"/>
      <c r="C5" s="8"/>
      <c r="D5" s="8"/>
    </row>
    <row r="6" spans="1:4" ht="15" customHeight="1" x14ac:dyDescent="0.3">
      <c r="A6" s="12" t="s">
        <v>4</v>
      </c>
      <c r="B6" s="13">
        <v>11000</v>
      </c>
      <c r="C6" s="14"/>
      <c r="D6" s="15" t="s">
        <v>5</v>
      </c>
    </row>
    <row r="7" spans="1:4" ht="15" customHeight="1" x14ac:dyDescent="0.3">
      <c r="A7" s="12" t="s">
        <v>6</v>
      </c>
      <c r="B7" s="13">
        <v>250</v>
      </c>
      <c r="C7" s="14"/>
      <c r="D7" s="15" t="s">
        <v>7</v>
      </c>
    </row>
    <row r="8" spans="1:4" ht="15" customHeight="1" x14ac:dyDescent="0.3">
      <c r="A8" s="16" t="s">
        <v>8</v>
      </c>
      <c r="B8" s="17">
        <f>B6+B7</f>
        <v>11250</v>
      </c>
      <c r="C8" s="12"/>
      <c r="D8" s="15" t="s">
        <v>9</v>
      </c>
    </row>
    <row r="10" spans="1:4" ht="19.5" customHeight="1" x14ac:dyDescent="0.3">
      <c r="A10" s="8" t="s">
        <v>10</v>
      </c>
      <c r="B10" s="8"/>
      <c r="C10" s="8"/>
      <c r="D10" s="8"/>
    </row>
    <row r="11" spans="1:4" ht="15" customHeight="1" x14ac:dyDescent="0.3">
      <c r="A11" s="18" t="s">
        <v>11</v>
      </c>
      <c r="B11" s="19">
        <v>0.12670000000000001</v>
      </c>
      <c r="C11" s="20">
        <f>B8*B11</f>
        <v>1425.375</v>
      </c>
      <c r="D11" s="21" t="s">
        <v>12</v>
      </c>
    </row>
    <row r="12" spans="1:4" ht="15" customHeight="1" x14ac:dyDescent="0.3">
      <c r="A12" s="18" t="s">
        <v>13</v>
      </c>
      <c r="B12" s="19">
        <v>8.3299999999999999E-2</v>
      </c>
      <c r="C12" s="20">
        <f>B8*B12</f>
        <v>937.125</v>
      </c>
      <c r="D12" s="21" t="s">
        <v>14</v>
      </c>
    </row>
    <row r="13" spans="1:4" ht="15" customHeight="1" x14ac:dyDescent="0.3">
      <c r="A13" s="18" t="s">
        <v>15</v>
      </c>
      <c r="B13" s="19">
        <v>8.3299999999999999E-2</v>
      </c>
      <c r="C13" s="20">
        <f>B8*B13</f>
        <v>937.125</v>
      </c>
      <c r="D13" s="21" t="s">
        <v>16</v>
      </c>
    </row>
    <row r="14" spans="1:4" ht="15" customHeight="1" x14ac:dyDescent="0.3">
      <c r="A14" s="18" t="s">
        <v>17</v>
      </c>
      <c r="B14" s="19">
        <v>5.7500000000000002E-2</v>
      </c>
      <c r="C14" s="20">
        <f>B8*B14</f>
        <v>646.875</v>
      </c>
      <c r="D14" s="21" t="s">
        <v>18</v>
      </c>
    </row>
    <row r="15" spans="1:4" ht="15" customHeight="1" x14ac:dyDescent="0.3">
      <c r="A15" s="16" t="s">
        <v>19</v>
      </c>
      <c r="B15" s="22">
        <f>1+B11+B12+B13+B14</f>
        <v>1.3508</v>
      </c>
      <c r="C15" s="17">
        <f>B8*(B11+B12+B13+B14)</f>
        <v>3946.5</v>
      </c>
      <c r="D15" s="15" t="s">
        <v>20</v>
      </c>
    </row>
    <row r="16" spans="1:4" ht="15" customHeight="1" x14ac:dyDescent="0.3">
      <c r="A16" s="23" t="s">
        <v>21</v>
      </c>
      <c r="B16" s="24">
        <f>B8*B15</f>
        <v>15196.5</v>
      </c>
      <c r="C16" s="24">
        <f>B8+C15</f>
        <v>15196.5</v>
      </c>
      <c r="D16" s="15" t="s">
        <v>22</v>
      </c>
    </row>
    <row r="18" spans="1:4" ht="19.5" customHeight="1" x14ac:dyDescent="0.3">
      <c r="A18" s="8" t="s">
        <v>23</v>
      </c>
      <c r="B18" s="8"/>
      <c r="C18" s="8"/>
      <c r="D18" s="8"/>
    </row>
    <row r="19" spans="1:4" ht="15" customHeight="1" x14ac:dyDescent="0.3">
      <c r="A19" s="18" t="s">
        <v>24</v>
      </c>
      <c r="B19" s="25">
        <v>52</v>
      </c>
      <c r="C19" s="18"/>
      <c r="D19" s="21" t="s">
        <v>25</v>
      </c>
    </row>
    <row r="20" spans="1:4" ht="15" customHeight="1" x14ac:dyDescent="0.3">
      <c r="A20" s="18" t="s">
        <v>26</v>
      </c>
      <c r="B20" s="25">
        <v>5</v>
      </c>
      <c r="C20" s="18"/>
      <c r="D20" s="21" t="s">
        <v>27</v>
      </c>
    </row>
    <row r="21" spans="1:4" ht="15" customHeight="1" x14ac:dyDescent="0.3">
      <c r="A21" s="18" t="s">
        <v>28</v>
      </c>
      <c r="B21" s="25">
        <v>8</v>
      </c>
      <c r="C21" s="18"/>
      <c r="D21" s="21" t="s">
        <v>29</v>
      </c>
    </row>
    <row r="22" spans="1:4" ht="15" customHeight="1" x14ac:dyDescent="0.3">
      <c r="A22" s="18" t="s">
        <v>30</v>
      </c>
      <c r="B22" s="25">
        <v>261</v>
      </c>
      <c r="C22" s="18"/>
      <c r="D22" s="21" t="s">
        <v>31</v>
      </c>
    </row>
    <row r="23" spans="1:4" ht="15" customHeight="1" x14ac:dyDescent="0.3">
      <c r="A23" s="16" t="s">
        <v>32</v>
      </c>
      <c r="B23" s="26">
        <f>(B19*B20*B21)/12</f>
        <v>173.33333333333334</v>
      </c>
      <c r="D23" s="15" t="s">
        <v>33</v>
      </c>
    </row>
    <row r="24" spans="1:4" ht="15" customHeight="1" x14ac:dyDescent="0.3">
      <c r="A24" s="23" t="s">
        <v>34</v>
      </c>
      <c r="B24" s="7">
        <f>C16/B23</f>
        <v>87.672115384615381</v>
      </c>
      <c r="C24" s="7"/>
      <c r="D24" s="27" t="s">
        <v>35</v>
      </c>
    </row>
    <row r="26" spans="1:4" ht="19.5" customHeight="1" x14ac:dyDescent="0.3">
      <c r="A26" s="8" t="s">
        <v>36</v>
      </c>
      <c r="B26" s="8"/>
      <c r="C26" s="8"/>
      <c r="D26" s="8"/>
    </row>
    <row r="27" spans="1:4" ht="15" customHeight="1" x14ac:dyDescent="0.3">
      <c r="A27" s="18" t="s">
        <v>37</v>
      </c>
      <c r="B27" s="25">
        <v>5</v>
      </c>
      <c r="C27" s="18"/>
      <c r="D27" s="21" t="s">
        <v>38</v>
      </c>
    </row>
    <row r="28" spans="1:4" ht="15" customHeight="1" x14ac:dyDescent="0.3">
      <c r="A28" s="18" t="s">
        <v>39</v>
      </c>
      <c r="B28" s="28">
        <v>7.75</v>
      </c>
      <c r="C28" s="18"/>
      <c r="D28" s="21" t="s">
        <v>40</v>
      </c>
    </row>
    <row r="30" spans="1:4" ht="19.5" customHeight="1" x14ac:dyDescent="0.3">
      <c r="A30" s="8" t="s">
        <v>41</v>
      </c>
      <c r="B30" s="8"/>
      <c r="C30" s="8"/>
      <c r="D30" s="8"/>
    </row>
    <row r="31" spans="1:4" ht="15" customHeight="1" x14ac:dyDescent="0.3">
      <c r="A31" s="18" t="s">
        <v>42</v>
      </c>
      <c r="B31" s="29">
        <v>3.3437000000000001</v>
      </c>
      <c r="C31" s="18"/>
      <c r="D31" s="21" t="s">
        <v>43</v>
      </c>
    </row>
    <row r="32" spans="1:4" ht="15" customHeight="1" x14ac:dyDescent="0.3">
      <c r="A32" s="18" t="s">
        <v>44</v>
      </c>
      <c r="B32" s="29">
        <v>2.8167</v>
      </c>
      <c r="C32" s="18"/>
      <c r="D32" s="21" t="s">
        <v>43</v>
      </c>
    </row>
    <row r="33" spans="1:4" ht="15" customHeight="1" x14ac:dyDescent="0.3">
      <c r="A33" s="18" t="s">
        <v>45</v>
      </c>
      <c r="B33" s="29">
        <v>1.4443999999999999</v>
      </c>
      <c r="C33" s="18"/>
      <c r="D33" s="21" t="s">
        <v>46</v>
      </c>
    </row>
    <row r="34" spans="1:4" ht="15" customHeight="1" x14ac:dyDescent="0.3">
      <c r="A34" s="18" t="s">
        <v>47</v>
      </c>
      <c r="B34" s="29">
        <v>1.3083</v>
      </c>
      <c r="C34" s="18"/>
      <c r="D34" s="21" t="s">
        <v>46</v>
      </c>
    </row>
    <row r="35" spans="1:4" ht="15" customHeight="1" x14ac:dyDescent="0.3">
      <c r="A35" s="18" t="s">
        <v>48</v>
      </c>
      <c r="B35" s="25">
        <v>2963</v>
      </c>
      <c r="C35" s="18"/>
      <c r="D35" s="21" t="s">
        <v>49</v>
      </c>
    </row>
    <row r="37" spans="1:4" ht="15" customHeight="1" x14ac:dyDescent="0.3">
      <c r="A37" s="30" t="s">
        <v>50</v>
      </c>
    </row>
    <row r="38" spans="1:4" ht="15" customHeight="1" x14ac:dyDescent="0.3">
      <c r="A38" t="s">
        <v>51</v>
      </c>
      <c r="B38" s="31">
        <v>5.7550999999999997</v>
      </c>
      <c r="D38" t="s">
        <v>52</v>
      </c>
    </row>
    <row r="39" spans="1:4" ht="15" customHeight="1" x14ac:dyDescent="0.3">
      <c r="A39" t="s">
        <v>53</v>
      </c>
      <c r="B39" s="31">
        <v>4.8063000000000002</v>
      </c>
      <c r="D39" t="s">
        <v>54</v>
      </c>
    </row>
    <row r="40" spans="1:4" ht="15" customHeight="1" x14ac:dyDescent="0.3">
      <c r="A40" t="s">
        <v>55</v>
      </c>
      <c r="D40" t="s">
        <v>56</v>
      </c>
    </row>
    <row r="42" spans="1:4" ht="15" customHeight="1" x14ac:dyDescent="0.3">
      <c r="A42" s="30" t="s">
        <v>57</v>
      </c>
    </row>
    <row r="43" spans="1:4" ht="30" customHeight="1" x14ac:dyDescent="0.3">
      <c r="A43" t="s">
        <v>58</v>
      </c>
      <c r="D43" s="32" t="s">
        <v>59</v>
      </c>
    </row>
    <row r="44" spans="1:4" ht="30" customHeight="1" x14ac:dyDescent="0.3">
      <c r="A44" t="s">
        <v>60</v>
      </c>
      <c r="D44" s="32" t="s">
        <v>61</v>
      </c>
    </row>
    <row r="45" spans="1:4" ht="30" customHeight="1" x14ac:dyDescent="0.3">
      <c r="A45" t="s">
        <v>62</v>
      </c>
      <c r="D45" s="32" t="s">
        <v>63</v>
      </c>
    </row>
  </sheetData>
  <mergeCells count="9">
    <mergeCell ref="A18:D18"/>
    <mergeCell ref="B24:C24"/>
    <mergeCell ref="A26:D26"/>
    <mergeCell ref="A30:D30"/>
    <mergeCell ref="A1:D1"/>
    <mergeCell ref="A2:D2"/>
    <mergeCell ref="A3:D3"/>
    <mergeCell ref="A5:D5"/>
    <mergeCell ref="A10:D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zoomScaleNormal="100" workbookViewId="0"/>
  </sheetViews>
  <sheetFormatPr baseColWidth="10" defaultColWidth="8.6640625" defaultRowHeight="14.4" x14ac:dyDescent="0.3"/>
  <cols>
    <col min="1" max="1" width="40" customWidth="1"/>
    <col min="2" max="4" width="22" customWidth="1"/>
  </cols>
  <sheetData>
    <row r="1" spans="1:4" ht="36" customHeight="1" x14ac:dyDescent="0.3">
      <c r="A1" s="6" t="s">
        <v>64</v>
      </c>
      <c r="B1" s="6"/>
      <c r="C1" s="6"/>
      <c r="D1" s="6"/>
    </row>
    <row r="2" spans="1:4" ht="15" customHeight="1" x14ac:dyDescent="0.3">
      <c r="A2" s="10" t="s">
        <v>65</v>
      </c>
      <c r="B2" s="10"/>
      <c r="C2" s="10"/>
      <c r="D2" s="10"/>
    </row>
    <row r="4" spans="1:4" ht="15" customHeight="1" x14ac:dyDescent="0.3">
      <c r="A4" s="33" t="s">
        <v>66</v>
      </c>
      <c r="B4" s="33" t="s">
        <v>67</v>
      </c>
      <c r="C4" s="33" t="s">
        <v>68</v>
      </c>
      <c r="D4" s="33" t="s">
        <v>55</v>
      </c>
    </row>
    <row r="5" spans="1:4" ht="15" customHeight="1" x14ac:dyDescent="0.3">
      <c r="A5" s="12" t="s">
        <v>69</v>
      </c>
      <c r="B5" s="34">
        <f>Supuestos!B31</f>
        <v>3.3437000000000001</v>
      </c>
      <c r="C5" s="34">
        <f>Supuestos!B32</f>
        <v>2.8167</v>
      </c>
      <c r="D5" s="15" t="s">
        <v>70</v>
      </c>
    </row>
    <row r="6" spans="1:4" ht="15" customHeight="1" x14ac:dyDescent="0.3">
      <c r="A6" s="18" t="s">
        <v>71</v>
      </c>
      <c r="B6" s="35">
        <f>Supuestos!B33</f>
        <v>1.4443999999999999</v>
      </c>
      <c r="C6" s="35">
        <f>Supuestos!B34</f>
        <v>1.3083</v>
      </c>
      <c r="D6" s="15" t="s">
        <v>72</v>
      </c>
    </row>
    <row r="7" spans="1:4" ht="15" customHeight="1" x14ac:dyDescent="0.3">
      <c r="A7" s="12" t="s">
        <v>73</v>
      </c>
      <c r="B7" s="34">
        <f>B5-B6</f>
        <v>1.8993000000000002</v>
      </c>
      <c r="C7" s="34">
        <f>C5-C6</f>
        <v>1.5084</v>
      </c>
      <c r="D7" s="15" t="s">
        <v>74</v>
      </c>
    </row>
    <row r="8" spans="1:4" ht="15" customHeight="1" x14ac:dyDescent="0.3">
      <c r="A8" s="18" t="s">
        <v>75</v>
      </c>
      <c r="B8" s="36">
        <f>(B5-B6)/B5</f>
        <v>0.56802344707958252</v>
      </c>
      <c r="C8" s="36">
        <f>(C5-C6)/C5</f>
        <v>0.53552028970071364</v>
      </c>
      <c r="D8" s="15" t="s">
        <v>76</v>
      </c>
    </row>
    <row r="9" spans="1:4" ht="15" customHeight="1" x14ac:dyDescent="0.3">
      <c r="A9" s="12" t="s">
        <v>77</v>
      </c>
      <c r="B9" s="37">
        <f>Supuestos!B35</f>
        <v>2963</v>
      </c>
      <c r="C9" s="37">
        <f>Supuestos!B35</f>
        <v>2963</v>
      </c>
      <c r="D9" s="15" t="s">
        <v>78</v>
      </c>
    </row>
    <row r="10" spans="1:4" ht="15" customHeight="1" x14ac:dyDescent="0.3">
      <c r="A10" s="18" t="s">
        <v>79</v>
      </c>
      <c r="B10" s="38">
        <f>B7*B9</f>
        <v>5627.6259000000009</v>
      </c>
      <c r="C10" s="38">
        <f>C7*C9</f>
        <v>4469.3891999999996</v>
      </c>
      <c r="D10" s="15" t="s">
        <v>80</v>
      </c>
    </row>
    <row r="11" spans="1:4" ht="15" customHeight="1" x14ac:dyDescent="0.3">
      <c r="A11" s="12" t="s">
        <v>81</v>
      </c>
      <c r="B11" s="39">
        <f>Supuestos!B24</f>
        <v>87.672115384615381</v>
      </c>
      <c r="C11" s="39">
        <f>Supuestos!B24</f>
        <v>87.672115384615381</v>
      </c>
      <c r="D11" s="15" t="s">
        <v>82</v>
      </c>
    </row>
    <row r="12" spans="1:4" ht="15" customHeight="1" x14ac:dyDescent="0.3">
      <c r="A12" s="23" t="s">
        <v>83</v>
      </c>
      <c r="B12" s="40">
        <f>B10*B11</f>
        <v>493385.86724625004</v>
      </c>
      <c r="C12" s="40">
        <f>C10*C11</f>
        <v>391840.80564115377</v>
      </c>
      <c r="D12" s="41" t="s">
        <v>84</v>
      </c>
    </row>
    <row r="13" spans="1:4" ht="15" customHeight="1" x14ac:dyDescent="0.3">
      <c r="A13" s="23" t="s">
        <v>85</v>
      </c>
      <c r="B13" s="42">
        <f>B12/Supuestos!B28</f>
        <v>63662.692547903229</v>
      </c>
      <c r="C13" s="42">
        <f>C12/Supuestos!B28</f>
        <v>50560.10395369726</v>
      </c>
      <c r="D13" s="41" t="s">
        <v>86</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showGridLines="0" zoomScaleNormal="100" workbookViewId="0">
      <selection activeCell="A16" sqref="A16"/>
    </sheetView>
  </sheetViews>
  <sheetFormatPr baseColWidth="10" defaultColWidth="8.6640625" defaultRowHeight="14.4" x14ac:dyDescent="0.3"/>
  <cols>
    <col min="1" max="1" width="42" customWidth="1"/>
    <col min="2" max="2" width="20" customWidth="1"/>
    <col min="3" max="3" width="16" customWidth="1"/>
    <col min="4" max="4" width="18" customWidth="1"/>
    <col min="5" max="5" width="20" customWidth="1"/>
  </cols>
  <sheetData>
    <row r="1" spans="1:5" ht="36" customHeight="1" x14ac:dyDescent="0.3">
      <c r="A1" s="6" t="s">
        <v>87</v>
      </c>
      <c r="B1" s="6"/>
      <c r="C1" s="6"/>
      <c r="D1" s="6"/>
      <c r="E1" s="6"/>
    </row>
    <row r="2" spans="1:5" ht="15" customHeight="1" x14ac:dyDescent="0.3">
      <c r="A2" s="10" t="s">
        <v>88</v>
      </c>
      <c r="B2" s="10"/>
      <c r="C2" s="10"/>
      <c r="D2" s="10"/>
      <c r="E2" s="10"/>
    </row>
    <row r="4" spans="1:5" ht="15" customHeight="1" x14ac:dyDescent="0.3">
      <c r="A4" s="33" t="s">
        <v>89</v>
      </c>
      <c r="B4" s="33" t="s">
        <v>90</v>
      </c>
      <c r="C4" s="33" t="s">
        <v>91</v>
      </c>
      <c r="D4" s="33" t="s">
        <v>92</v>
      </c>
      <c r="E4" s="33" t="s">
        <v>93</v>
      </c>
    </row>
    <row r="5" spans="1:5" ht="15" customHeight="1" x14ac:dyDescent="0.3">
      <c r="A5" s="12" t="s">
        <v>94</v>
      </c>
      <c r="B5" s="43" t="s">
        <v>95</v>
      </c>
      <c r="C5" s="44" t="s">
        <v>171</v>
      </c>
      <c r="D5" s="44" t="s">
        <v>96</v>
      </c>
      <c r="E5" s="17">
        <f>32.9*7.82*3</f>
        <v>771.83400000000006</v>
      </c>
    </row>
    <row r="6" spans="1:5" ht="15" customHeight="1" x14ac:dyDescent="0.3">
      <c r="A6" s="18" t="s">
        <v>97</v>
      </c>
      <c r="B6" s="45" t="s">
        <v>98</v>
      </c>
      <c r="C6" s="46" t="str">
        <f>Supuestos!B24&amp;"/hora"</f>
        <v>87.6721153846154/hora</v>
      </c>
      <c r="D6" s="46" t="s">
        <v>99</v>
      </c>
      <c r="E6" s="47">
        <f>Supuestos!B24*2*Supuestos!B27</f>
        <v>876.72115384615381</v>
      </c>
    </row>
    <row r="7" spans="1:5" ht="15" customHeight="1" x14ac:dyDescent="0.3">
      <c r="A7" s="12" t="s">
        <v>100</v>
      </c>
      <c r="B7" s="43" t="s">
        <v>101</v>
      </c>
      <c r="C7" s="44" t="s">
        <v>102</v>
      </c>
      <c r="D7" s="44" t="s">
        <v>103</v>
      </c>
      <c r="E7" s="17">
        <v>0</v>
      </c>
    </row>
    <row r="8" spans="1:5" ht="15" customHeight="1" x14ac:dyDescent="0.3">
      <c r="A8" s="18" t="s">
        <v>104</v>
      </c>
      <c r="B8" s="45" t="s">
        <v>105</v>
      </c>
      <c r="C8" s="46" t="s">
        <v>102</v>
      </c>
      <c r="D8" s="46" t="s">
        <v>103</v>
      </c>
      <c r="E8" s="47">
        <v>0</v>
      </c>
    </row>
    <row r="9" spans="1:5" ht="15" customHeight="1" x14ac:dyDescent="0.3">
      <c r="A9" s="12" t="s">
        <v>106</v>
      </c>
      <c r="B9" s="43" t="s">
        <v>107</v>
      </c>
      <c r="C9" s="44" t="s">
        <v>102</v>
      </c>
      <c r="D9" s="44" t="s">
        <v>103</v>
      </c>
      <c r="E9" s="17">
        <v>0</v>
      </c>
    </row>
    <row r="10" spans="1:5" ht="15" customHeight="1" x14ac:dyDescent="0.3">
      <c r="A10" s="8" t="s">
        <v>108</v>
      </c>
      <c r="B10" s="8"/>
      <c r="C10" s="8"/>
      <c r="D10" s="8"/>
      <c r="E10" s="48">
        <f>SUM(E5:E9)</f>
        <v>1648.5551538461539</v>
      </c>
    </row>
    <row r="12" spans="1:5" ht="15" customHeight="1" x14ac:dyDescent="0.3">
      <c r="A12" s="30" t="s">
        <v>109</v>
      </c>
    </row>
    <row r="13" spans="1:5" ht="60" customHeight="1" x14ac:dyDescent="0.3">
      <c r="A13" s="49" t="s">
        <v>110</v>
      </c>
      <c r="B13" s="5" t="s">
        <v>111</v>
      </c>
      <c r="C13" s="5"/>
      <c r="D13" s="5"/>
      <c r="E13" s="5"/>
    </row>
    <row r="14" spans="1:5" ht="54.75" customHeight="1" x14ac:dyDescent="0.3">
      <c r="A14" s="49" t="s">
        <v>112</v>
      </c>
      <c r="B14" s="5" t="s">
        <v>113</v>
      </c>
      <c r="C14" s="5"/>
      <c r="D14" s="5"/>
      <c r="E14" s="5"/>
    </row>
  </sheetData>
  <mergeCells count="5">
    <mergeCell ref="A1:E1"/>
    <mergeCell ref="A2:E2"/>
    <mergeCell ref="A10:D10"/>
    <mergeCell ref="B13:E13"/>
    <mergeCell ref="B14:E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tabSelected="1" zoomScaleNormal="100" workbookViewId="0">
      <selection activeCell="D14" sqref="D14"/>
    </sheetView>
  </sheetViews>
  <sheetFormatPr baseColWidth="10" defaultColWidth="8.6640625" defaultRowHeight="14.4" x14ac:dyDescent="0.3"/>
  <cols>
    <col min="1" max="1" width="40" customWidth="1"/>
    <col min="2" max="3" width="24" customWidth="1"/>
    <col min="4" max="4" width="45.109375" bestFit="1" customWidth="1"/>
  </cols>
  <sheetData>
    <row r="1" spans="1:4" ht="36" customHeight="1" x14ac:dyDescent="0.3">
      <c r="A1" s="6" t="s">
        <v>114</v>
      </c>
      <c r="B1" s="6"/>
      <c r="C1" s="6"/>
      <c r="D1" s="6"/>
    </row>
    <row r="2" spans="1:4" ht="15" customHeight="1" x14ac:dyDescent="0.3">
      <c r="A2" s="4" t="s">
        <v>115</v>
      </c>
      <c r="B2" s="4"/>
      <c r="C2" s="4"/>
      <c r="D2" s="4"/>
    </row>
    <row r="4" spans="1:4" ht="15" customHeight="1" x14ac:dyDescent="0.3">
      <c r="A4" s="33" t="s">
        <v>66</v>
      </c>
      <c r="B4" s="33" t="s">
        <v>67</v>
      </c>
      <c r="C4" s="33" t="s">
        <v>68</v>
      </c>
      <c r="D4" s="33" t="s">
        <v>116</v>
      </c>
    </row>
    <row r="5" spans="1:4" ht="15" customHeight="1" x14ac:dyDescent="0.3">
      <c r="A5" s="12" t="s">
        <v>117</v>
      </c>
      <c r="B5" s="39">
        <f>'B1 - Ahorro Tiempo'!B11</f>
        <v>87.672115384615381</v>
      </c>
      <c r="C5" s="39">
        <f>'B1 - Ahorro Tiempo'!C11</f>
        <v>87.672115384615381</v>
      </c>
      <c r="D5" s="50" t="s">
        <v>118</v>
      </c>
    </row>
    <row r="6" spans="1:4" ht="15" customHeight="1" x14ac:dyDescent="0.3">
      <c r="A6" s="18" t="s">
        <v>119</v>
      </c>
      <c r="B6" s="38">
        <f>'B1 - Ahorro Tiempo'!B5</f>
        <v>3.3437000000000001</v>
      </c>
      <c r="C6" s="38">
        <f>'B1 - Ahorro Tiempo'!C5</f>
        <v>2.8167</v>
      </c>
      <c r="D6" s="21" t="s">
        <v>120</v>
      </c>
    </row>
    <row r="7" spans="1:4" ht="15" customHeight="1" x14ac:dyDescent="0.3">
      <c r="A7" s="12" t="s">
        <v>121</v>
      </c>
      <c r="B7" s="51">
        <f>'B1 - Ahorro Tiempo'!B6</f>
        <v>1.4443999999999999</v>
      </c>
      <c r="C7" s="51">
        <f>'B1 - Ahorro Tiempo'!C6</f>
        <v>1.3083</v>
      </c>
      <c r="D7" s="50" t="s">
        <v>122</v>
      </c>
    </row>
    <row r="8" spans="1:4" ht="15" customHeight="1" x14ac:dyDescent="0.3">
      <c r="A8" s="18" t="s">
        <v>123</v>
      </c>
      <c r="B8" s="36">
        <f>'B1 - Ahorro Tiempo'!B8</f>
        <v>0.56802344707958252</v>
      </c>
      <c r="C8" s="36">
        <f>'B1 - Ahorro Tiempo'!C8</f>
        <v>0.53552028970071364</v>
      </c>
      <c r="D8" s="21" t="s">
        <v>124</v>
      </c>
    </row>
    <row r="9" spans="1:4" ht="15" customHeight="1" x14ac:dyDescent="0.3">
      <c r="A9" s="23" t="s">
        <v>125</v>
      </c>
      <c r="B9" s="40">
        <f>'B1 - Ahorro Tiempo'!B12</f>
        <v>493385.86724625004</v>
      </c>
      <c r="C9" s="40">
        <f>'B1 - Ahorro Tiempo'!C12</f>
        <v>391840.80564115377</v>
      </c>
      <c r="D9" s="41" t="s">
        <v>126</v>
      </c>
    </row>
    <row r="10" spans="1:4" ht="15" customHeight="1" x14ac:dyDescent="0.3">
      <c r="A10" s="23" t="s">
        <v>127</v>
      </c>
      <c r="B10" s="42">
        <f>'B1 - Ahorro Tiempo'!B13</f>
        <v>63662.692547903229</v>
      </c>
      <c r="C10" s="42">
        <f>'B1 - Ahorro Tiempo'!C13</f>
        <v>50560.10395369726</v>
      </c>
      <c r="D10" s="41" t="s">
        <v>128</v>
      </c>
    </row>
    <row r="11" spans="1:4" ht="15" customHeight="1" x14ac:dyDescent="0.3">
      <c r="A11" s="12" t="s">
        <v>129</v>
      </c>
      <c r="B11" s="52">
        <f>'Costos del Proyecto'!E10</f>
        <v>1648.5551538461539</v>
      </c>
      <c r="C11" s="52">
        <f>'Costos del Proyecto'!E10</f>
        <v>1648.5551538461539</v>
      </c>
      <c r="D11" s="50" t="s">
        <v>130</v>
      </c>
    </row>
    <row r="12" spans="1:4" ht="15" customHeight="1" x14ac:dyDescent="0.3">
      <c r="A12" s="23" t="s">
        <v>131</v>
      </c>
      <c r="B12" s="53">
        <f>(B9-B11)/B11</f>
        <v>298.28380988355678</v>
      </c>
      <c r="C12" s="53">
        <f>(C9-C11)/C11</f>
        <v>236.68741053459536</v>
      </c>
      <c r="D12" s="41" t="s">
        <v>132</v>
      </c>
    </row>
    <row r="13" spans="1:4" ht="15" customHeight="1" x14ac:dyDescent="0.3">
      <c r="A13" s="23" t="s">
        <v>172</v>
      </c>
      <c r="B13" s="67">
        <f>B11/(B9/12)*30</f>
        <v>1.2028716158754671</v>
      </c>
      <c r="C13" s="67">
        <f>C11/(C9/12)*30</f>
        <v>1.5145943118750165</v>
      </c>
      <c r="D13" s="41" t="s">
        <v>173</v>
      </c>
    </row>
    <row r="15" spans="1:4" ht="15" customHeight="1" x14ac:dyDescent="0.3">
      <c r="A15" s="3" t="s">
        <v>133</v>
      </c>
      <c r="B15" s="3"/>
      <c r="C15" s="3"/>
      <c r="D15" s="3"/>
    </row>
    <row r="16" spans="1:4" ht="36" customHeight="1" x14ac:dyDescent="0.3">
      <c r="A16" s="2" t="s">
        <v>134</v>
      </c>
      <c r="B16" s="2"/>
      <c r="C16" s="2"/>
      <c r="D16" s="2"/>
    </row>
  </sheetData>
  <mergeCells count="4">
    <mergeCell ref="A1:D1"/>
    <mergeCell ref="A2:D2"/>
    <mergeCell ref="A15:D15"/>
    <mergeCell ref="A16:D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5"/>
  <sheetViews>
    <sheetView showGridLines="0" zoomScaleNormal="100" workbookViewId="0"/>
  </sheetViews>
  <sheetFormatPr baseColWidth="10" defaultColWidth="8.6640625" defaultRowHeight="14.4" x14ac:dyDescent="0.3"/>
  <cols>
    <col min="1" max="1" width="42" customWidth="1"/>
    <col min="2" max="5" width="18" customWidth="1"/>
    <col min="6" max="6" width="40" customWidth="1"/>
  </cols>
  <sheetData>
    <row r="1" spans="1:10" ht="17.25" customHeight="1" x14ac:dyDescent="0.3">
      <c r="A1" s="54" t="s">
        <v>135</v>
      </c>
    </row>
    <row r="2" spans="1:10" ht="15" customHeight="1" x14ac:dyDescent="0.3">
      <c r="A2" s="55" t="s">
        <v>136</v>
      </c>
    </row>
    <row r="4" spans="1:10" ht="15" customHeight="1" x14ac:dyDescent="0.3">
      <c r="A4" s="30" t="s">
        <v>137</v>
      </c>
      <c r="I4" t="s">
        <v>138</v>
      </c>
    </row>
    <row r="5" spans="1:10" ht="15" customHeight="1" x14ac:dyDescent="0.3">
      <c r="A5" s="56" t="s">
        <v>139</v>
      </c>
      <c r="B5" s="56" t="s">
        <v>140</v>
      </c>
      <c r="C5" s="56" t="s">
        <v>141</v>
      </c>
      <c r="D5" s="56" t="s">
        <v>142</v>
      </c>
      <c r="E5" s="56" t="s">
        <v>143</v>
      </c>
      <c r="F5" s="56" t="s">
        <v>144</v>
      </c>
      <c r="G5" s="56" t="s">
        <v>145</v>
      </c>
      <c r="I5" t="s">
        <v>139</v>
      </c>
      <c r="J5" t="s">
        <v>146</v>
      </c>
    </row>
    <row r="6" spans="1:10" ht="15" customHeight="1" x14ac:dyDescent="0.3">
      <c r="A6" s="57" t="s">
        <v>147</v>
      </c>
      <c r="B6" s="58">
        <v>353</v>
      </c>
      <c r="C6" s="59">
        <v>3.3437000000000001</v>
      </c>
      <c r="D6" s="59">
        <v>2.8167</v>
      </c>
      <c r="E6" s="59">
        <v>2.5712999999999999</v>
      </c>
      <c r="F6" s="59">
        <v>3.0754000000000001</v>
      </c>
      <c r="G6" s="59">
        <v>3.6118999999999999</v>
      </c>
      <c r="I6" t="s">
        <v>148</v>
      </c>
      <c r="J6">
        <v>3.3437000000000001</v>
      </c>
    </row>
    <row r="7" spans="1:10" ht="15" customHeight="1" x14ac:dyDescent="0.3">
      <c r="A7" s="57" t="s">
        <v>149</v>
      </c>
      <c r="B7" s="58">
        <v>84</v>
      </c>
      <c r="C7" s="59">
        <v>1.4443999999999999</v>
      </c>
      <c r="D7" s="59">
        <v>1.3083</v>
      </c>
      <c r="E7" s="59">
        <v>1.0265</v>
      </c>
      <c r="F7" s="59">
        <v>1.2249000000000001</v>
      </c>
      <c r="G7" s="59">
        <v>1.6639999999999999</v>
      </c>
      <c r="I7" t="s">
        <v>149</v>
      </c>
      <c r="J7">
        <v>1.4443999999999999</v>
      </c>
    </row>
    <row r="8" spans="1:10" ht="15" customHeight="1" x14ac:dyDescent="0.3">
      <c r="F8" s="60" t="s">
        <v>150</v>
      </c>
    </row>
    <row r="10" spans="1:10" ht="15" customHeight="1" x14ac:dyDescent="0.3">
      <c r="A10" s="30" t="s">
        <v>151</v>
      </c>
      <c r="I10" t="s">
        <v>152</v>
      </c>
    </row>
    <row r="11" spans="1:10" ht="15" customHeight="1" x14ac:dyDescent="0.3">
      <c r="A11" s="61" t="s">
        <v>153</v>
      </c>
      <c r="B11" s="61" t="s">
        <v>154</v>
      </c>
      <c r="C11" s="61" t="s">
        <v>155</v>
      </c>
      <c r="I11" t="s">
        <v>156</v>
      </c>
      <c r="J11" t="s">
        <v>157</v>
      </c>
    </row>
    <row r="12" spans="1:10" ht="30" customHeight="1" x14ac:dyDescent="0.3">
      <c r="A12" s="62" t="s">
        <v>158</v>
      </c>
      <c r="B12" s="63">
        <v>21682</v>
      </c>
      <c r="C12" s="64">
        <v>2.196962E-11</v>
      </c>
      <c r="I12" t="s">
        <v>148</v>
      </c>
      <c r="J12">
        <v>2.92</v>
      </c>
    </row>
    <row r="13" spans="1:10" ht="26.25" customHeight="1" x14ac:dyDescent="0.3">
      <c r="A13" s="62" t="s">
        <v>159</v>
      </c>
      <c r="B13" s="63">
        <v>10.7395</v>
      </c>
      <c r="C13" s="64">
        <v>2.4045139999999999E-23</v>
      </c>
      <c r="I13" t="s">
        <v>149</v>
      </c>
      <c r="J13">
        <v>4</v>
      </c>
    </row>
    <row r="14" spans="1:10" ht="15" customHeight="1" x14ac:dyDescent="0.3">
      <c r="A14" s="30" t="s">
        <v>160</v>
      </c>
    </row>
    <row r="15" spans="1:10" ht="45" customHeight="1" x14ac:dyDescent="0.3">
      <c r="A15" s="5" t="s">
        <v>161</v>
      </c>
      <c r="B15" s="5"/>
      <c r="C15" s="5"/>
      <c r="D15" s="5"/>
      <c r="E15" s="5"/>
      <c r="F15" s="5"/>
      <c r="G15" s="5"/>
    </row>
    <row r="18" spans="1:7" ht="15" customHeight="1" x14ac:dyDescent="0.3">
      <c r="A18" s="30" t="s">
        <v>162</v>
      </c>
    </row>
    <row r="19" spans="1:7" ht="15" customHeight="1" x14ac:dyDescent="0.3">
      <c r="A19" s="56" t="s">
        <v>156</v>
      </c>
      <c r="B19" s="56" t="s">
        <v>163</v>
      </c>
      <c r="C19" s="56" t="s">
        <v>164</v>
      </c>
      <c r="D19" s="56" t="s">
        <v>165</v>
      </c>
    </row>
    <row r="20" spans="1:7" ht="15" customHeight="1" x14ac:dyDescent="0.3">
      <c r="A20" s="65" t="s">
        <v>166</v>
      </c>
      <c r="B20" s="65">
        <v>121</v>
      </c>
      <c r="C20" s="65">
        <v>353</v>
      </c>
      <c r="D20" s="66">
        <v>2.92</v>
      </c>
    </row>
    <row r="21" spans="1:7" ht="15" customHeight="1" x14ac:dyDescent="0.3">
      <c r="A21" s="65" t="s">
        <v>167</v>
      </c>
      <c r="B21" s="65">
        <v>21</v>
      </c>
      <c r="C21" s="65">
        <v>84</v>
      </c>
      <c r="D21" s="66">
        <v>4</v>
      </c>
    </row>
    <row r="22" spans="1:7" ht="15" customHeight="1" x14ac:dyDescent="0.3">
      <c r="A22" s="1" t="s">
        <v>168</v>
      </c>
      <c r="B22" s="1"/>
      <c r="C22" s="1"/>
      <c r="D22" s="1"/>
      <c r="E22" s="1"/>
      <c r="F22" s="1"/>
    </row>
    <row r="24" spans="1:7" ht="15" customHeight="1" x14ac:dyDescent="0.3">
      <c r="A24" s="30" t="s">
        <v>169</v>
      </c>
    </row>
    <row r="25" spans="1:7" ht="45" customHeight="1" x14ac:dyDescent="0.3">
      <c r="A25" s="5" t="s">
        <v>170</v>
      </c>
      <c r="B25" s="5"/>
      <c r="C25" s="5"/>
      <c r="D25" s="5"/>
      <c r="E25" s="5"/>
      <c r="F25" s="5"/>
      <c r="G25" s="5"/>
    </row>
  </sheetData>
  <mergeCells count="3">
    <mergeCell ref="A15:G15"/>
    <mergeCell ref="A22:F22"/>
    <mergeCell ref="A25:G2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Supuestos</vt:lpstr>
      <vt:lpstr>B1 - Ahorro Tiempo</vt:lpstr>
      <vt:lpstr>Costos del Proyecto</vt:lpstr>
      <vt:lpstr>ROI Consolidado</vt:lpstr>
      <vt:lpstr>Análisis Estadístico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ALVARADO JIMENEZ, GABRIELA ALEJANDRA</cp:lastModifiedBy>
  <cp:revision>7</cp:revision>
  <dcterms:created xsi:type="dcterms:W3CDTF">2026-07-18T18:49:03Z</dcterms:created>
  <dcterms:modified xsi:type="dcterms:W3CDTF">2026-08-07T19:46:36Z</dcterms:modified>
  <dc:language>en-US</dc:language>
</cp:coreProperties>
</file>